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7475" yWindow="105" windowWidth="8730" windowHeight="10860" tabRatio="921" activeTab="13"/>
  </bookViews>
  <sheets>
    <sheet name="Обложка" sheetId="6" r:id="rId1"/>
    <sheet name="Усл.обозначения" sheetId="26" r:id="rId2"/>
    <sheet name="Содержание" sheetId="8" r:id="rId3"/>
    <sheet name="Метод.пояснения" sheetId="9" r:id="rId4"/>
    <sheet name="1." sheetId="16" r:id="rId5"/>
    <sheet name="2." sheetId="17" r:id="rId6"/>
    <sheet name="3." sheetId="18" r:id="rId7"/>
    <sheet name="4." sheetId="21" r:id="rId8"/>
    <sheet name="5." sheetId="19" r:id="rId9"/>
    <sheet name="6." sheetId="20" r:id="rId10"/>
    <sheet name="7." sheetId="22" r:id="rId11"/>
    <sheet name="8." sheetId="23" r:id="rId12"/>
    <sheet name="9." sheetId="24" r:id="rId13"/>
    <sheet name="10." sheetId="25" r:id="rId14"/>
    <sheet name="Лист1" sheetId="27" r:id="rId15"/>
  </sheets>
  <definedNames>
    <definedName name="_xlnm.Print_Titles" localSheetId="4">'1.'!$A:$C,'1.'!$3:$6</definedName>
    <definedName name="_xlnm.Print_Titles" localSheetId="13">'10.'!$A$1:$C$65468,'10.'!$A$2:$IV$6</definedName>
    <definedName name="_xlnm.Print_Titles" localSheetId="5">'2.'!$A:$C,'2.'!$3:$6</definedName>
    <definedName name="_xlnm.Print_Titles" localSheetId="6">'3.'!$A:$C,'3.'!$3:$6</definedName>
    <definedName name="_xlnm.Print_Titles" localSheetId="7">'4.'!$A:$C,'4.'!$3:$6</definedName>
    <definedName name="_xlnm.Print_Titles" localSheetId="8">'5.'!$A:$C,'5.'!$3:$6</definedName>
    <definedName name="_xlnm.Print_Titles" localSheetId="9">'6.'!$A:$C,'6.'!$3:$6</definedName>
    <definedName name="_xlnm.Print_Titles" localSheetId="10">'7.'!$A:$C,'7.'!$3:$6</definedName>
    <definedName name="_xlnm.Print_Titles" localSheetId="11">'8.'!$A:$C,'8.'!$3:$6</definedName>
    <definedName name="_xlnm.Print_Titles" localSheetId="12">'9.'!$A$1:$C$65423,'9.'!$A$2:$IE$6</definedName>
    <definedName name="_xlnm.Print_Area" localSheetId="4">'1.'!$A$2:$CB$77</definedName>
    <definedName name="_xlnm.Print_Area" localSheetId="13">'10.'!$A$2:$CO$78</definedName>
    <definedName name="_xlnm.Print_Area" localSheetId="5">'2.'!$A$2:$CE$87</definedName>
    <definedName name="_xlnm.Print_Area" localSheetId="6">'3.'!$A$2:$CE$77</definedName>
    <definedName name="_xlnm.Print_Area" localSheetId="7">'4.'!$A$2:$CE$77</definedName>
    <definedName name="_xlnm.Print_Area" localSheetId="8">'5.'!$A$2:$CE$77</definedName>
    <definedName name="_xlnm.Print_Area" localSheetId="9">'6.'!$A$2:$CE$88</definedName>
    <definedName name="_xlnm.Print_Area" localSheetId="10">'7.'!$A$2:$CE$77</definedName>
    <definedName name="_xlnm.Print_Area" localSheetId="11">'8.'!$A$2:$CE$77</definedName>
    <definedName name="_xlnm.Print_Area" localSheetId="12">'9.'!$A$2:$BT$79</definedName>
  </definedNames>
  <calcPr calcId="144525"/>
  <fileRecoveryPr autoRecover="0"/>
</workbook>
</file>

<file path=xl/calcChain.xml><?xml version="1.0" encoding="utf-8"?>
<calcChain xmlns="http://schemas.openxmlformats.org/spreadsheetml/2006/main">
  <c r="AP76" i="25" l="1"/>
  <c r="AJ76" i="25"/>
  <c r="L76" i="25"/>
  <c r="I76" i="25"/>
  <c r="F76" i="25"/>
  <c r="CL75" i="25"/>
  <c r="CI75" i="25"/>
  <c r="CF75" i="25"/>
  <c r="CC75" i="25"/>
  <c r="BZ75" i="25"/>
  <c r="BW75" i="25"/>
  <c r="BT75" i="25"/>
  <c r="BQ75" i="25"/>
  <c r="BN75" i="25"/>
  <c r="BK75" i="25"/>
  <c r="BH75" i="25"/>
  <c r="BE75" i="25"/>
  <c r="BB75" i="25"/>
  <c r="AY75" i="25"/>
  <c r="AV75" i="25"/>
  <c r="AS75" i="25"/>
  <c r="AP75" i="25"/>
  <c r="AM75" i="25"/>
  <c r="AJ75" i="25"/>
  <c r="AG75" i="25"/>
  <c r="AD75" i="25"/>
  <c r="AA75" i="25"/>
  <c r="X75" i="25"/>
  <c r="U75" i="25"/>
  <c r="R75" i="25"/>
  <c r="O75" i="25"/>
  <c r="L75" i="25"/>
  <c r="I75" i="25"/>
  <c r="F75" i="25"/>
  <c r="CM8" i="25" l="1"/>
  <c r="G75" i="25" l="1"/>
  <c r="J75" i="25"/>
  <c r="M75" i="25"/>
  <c r="P75" i="25"/>
  <c r="V75" i="25"/>
  <c r="Y75" i="25"/>
  <c r="AB75" i="25"/>
  <c r="AE75" i="25"/>
  <c r="AH75" i="25"/>
  <c r="AK75" i="25"/>
  <c r="AN75" i="25"/>
  <c r="AQ75" i="25"/>
  <c r="AT75" i="25"/>
  <c r="AW75" i="25"/>
  <c r="AZ75" i="25"/>
  <c r="BC75" i="25"/>
  <c r="BF75" i="25"/>
  <c r="BI75" i="25"/>
  <c r="BL75" i="25"/>
  <c r="BO75" i="25"/>
  <c r="BR75" i="25"/>
  <c r="BU75" i="25"/>
  <c r="BX75" i="25"/>
  <c r="CA75" i="25"/>
  <c r="CD75" i="25"/>
  <c r="CG75" i="25"/>
  <c r="CJ75" i="25"/>
  <c r="CM75" i="25"/>
  <c r="D75" i="25"/>
  <c r="CM74" i="25"/>
  <c r="CM73" i="25"/>
  <c r="CM72" i="25"/>
  <c r="CM71" i="25"/>
  <c r="CM70" i="25"/>
  <c r="CM69" i="25"/>
  <c r="CM68" i="25"/>
  <c r="CM67" i="25"/>
  <c r="CM66" i="25"/>
  <c r="CM65" i="25"/>
  <c r="CM64" i="25"/>
  <c r="CM63" i="25"/>
  <c r="CM62" i="25"/>
  <c r="CM61" i="25"/>
  <c r="CM60" i="25"/>
  <c r="CM59" i="25"/>
  <c r="CM58" i="25"/>
  <c r="CM57" i="25"/>
  <c r="CM56" i="25"/>
  <c r="CM55" i="25"/>
  <c r="CM54" i="25"/>
  <c r="CM53" i="25"/>
  <c r="CM52" i="25"/>
  <c r="CM51" i="25"/>
  <c r="CM50" i="25"/>
  <c r="CM49" i="25"/>
  <c r="CM48" i="25"/>
  <c r="CM47" i="25"/>
  <c r="CM46" i="25"/>
  <c r="CM45" i="25"/>
  <c r="CM44" i="25"/>
  <c r="CM43" i="25"/>
  <c r="CM42" i="25"/>
  <c r="CM41" i="25"/>
  <c r="CM40" i="25"/>
  <c r="CM39" i="25"/>
  <c r="CM38" i="25"/>
  <c r="CM37" i="25"/>
  <c r="CM36" i="25"/>
  <c r="CM35" i="25"/>
  <c r="CM34" i="25"/>
  <c r="CM33" i="25"/>
  <c r="CM32" i="25"/>
  <c r="CM31" i="25"/>
  <c r="CM30" i="25"/>
  <c r="CM29" i="25"/>
  <c r="CM28" i="25"/>
  <c r="CM27" i="25"/>
  <c r="CM26" i="25"/>
  <c r="CM25" i="25"/>
  <c r="CM24" i="25"/>
  <c r="CM23" i="25"/>
  <c r="CM22" i="25"/>
  <c r="CM21" i="25"/>
  <c r="CM20" i="25"/>
  <c r="CM19" i="25"/>
  <c r="CM18" i="25"/>
  <c r="CM17" i="25"/>
  <c r="CM16" i="25"/>
  <c r="CM15" i="25"/>
  <c r="CM14" i="25"/>
  <c r="CM13" i="25"/>
  <c r="CM12" i="25"/>
  <c r="CM11" i="25"/>
  <c r="CM10" i="25"/>
  <c r="CM9" i="25"/>
  <c r="CM7" i="25"/>
  <c r="CJ74" i="25"/>
  <c r="CJ73" i="25"/>
  <c r="CJ72" i="25"/>
  <c r="CJ71" i="25"/>
  <c r="CJ70" i="25"/>
  <c r="CJ69" i="25"/>
  <c r="CJ68" i="25"/>
  <c r="CJ67" i="25"/>
  <c r="CJ66" i="25"/>
  <c r="CJ65" i="25"/>
  <c r="CJ64" i="25"/>
  <c r="CJ63" i="25"/>
  <c r="CJ62" i="25"/>
  <c r="CJ61" i="25"/>
  <c r="CJ60" i="25"/>
  <c r="CJ59" i="25"/>
  <c r="CJ58" i="25"/>
  <c r="CJ57" i="25"/>
  <c r="CJ56" i="25"/>
  <c r="CJ55" i="25"/>
  <c r="CJ54" i="25"/>
  <c r="CJ53" i="25"/>
  <c r="CJ52" i="25"/>
  <c r="CJ51" i="25"/>
  <c r="CJ50" i="25"/>
  <c r="CJ49" i="25"/>
  <c r="CJ48" i="25"/>
  <c r="CJ47" i="25"/>
  <c r="CJ46" i="25"/>
  <c r="CJ45" i="25"/>
  <c r="CJ44" i="25"/>
  <c r="CJ43" i="25"/>
  <c r="CJ42" i="25"/>
  <c r="CJ41" i="25"/>
  <c r="CJ40" i="25"/>
  <c r="CJ39" i="25"/>
  <c r="CJ38" i="25"/>
  <c r="CJ37" i="25"/>
  <c r="CJ36" i="25"/>
  <c r="CJ35" i="25"/>
  <c r="CJ34" i="25"/>
  <c r="CJ33" i="25"/>
  <c r="CJ32" i="25"/>
  <c r="CJ31" i="25"/>
  <c r="CJ30" i="25"/>
  <c r="CJ29" i="25"/>
  <c r="CJ28" i="25"/>
  <c r="CJ27" i="25"/>
  <c r="CJ26" i="25"/>
  <c r="CJ25" i="25"/>
  <c r="CJ24" i="25"/>
  <c r="CJ23" i="25"/>
  <c r="CJ22" i="25"/>
  <c r="CJ21" i="25"/>
  <c r="CJ20" i="25"/>
  <c r="CJ19" i="25"/>
  <c r="CJ18" i="25"/>
  <c r="CJ17" i="25"/>
  <c r="CJ16" i="25"/>
  <c r="CJ15" i="25"/>
  <c r="CJ14" i="25"/>
  <c r="CJ13" i="25"/>
  <c r="CJ12" i="25"/>
  <c r="CJ11" i="25"/>
  <c r="CJ10" i="25"/>
  <c r="CJ9" i="25"/>
  <c r="CJ8" i="25"/>
  <c r="CJ7" i="25"/>
  <c r="CG74" i="25"/>
  <c r="CG73" i="25"/>
  <c r="CG72" i="25"/>
  <c r="CG71" i="25"/>
  <c r="CG70" i="25"/>
  <c r="CG69" i="25"/>
  <c r="CG68" i="25"/>
  <c r="CG67" i="25"/>
  <c r="CG66" i="25"/>
  <c r="CG65" i="25"/>
  <c r="CG64" i="25"/>
  <c r="CG63" i="25"/>
  <c r="CG62" i="25"/>
  <c r="CG61" i="25"/>
  <c r="CG60" i="25"/>
  <c r="CG59" i="25"/>
  <c r="CG58" i="25"/>
  <c r="CG57" i="25"/>
  <c r="CG56" i="25"/>
  <c r="CG55" i="25"/>
  <c r="CG54" i="25"/>
  <c r="CG53" i="25"/>
  <c r="CG52" i="25"/>
  <c r="CG51" i="25"/>
  <c r="CG50" i="25"/>
  <c r="CG49" i="25"/>
  <c r="CG48" i="25"/>
  <c r="CG47" i="25"/>
  <c r="CG46" i="25"/>
  <c r="CG45" i="25"/>
  <c r="CG44" i="25"/>
  <c r="CG43" i="25"/>
  <c r="CG42" i="25"/>
  <c r="CG41" i="25"/>
  <c r="CG40" i="25"/>
  <c r="CG39" i="25"/>
  <c r="CG38" i="25"/>
  <c r="CG37" i="25"/>
  <c r="CG36" i="25"/>
  <c r="CG35" i="25"/>
  <c r="CG34" i="25"/>
  <c r="CG33" i="25"/>
  <c r="CG32" i="25"/>
  <c r="CG31" i="25"/>
  <c r="CG30" i="25"/>
  <c r="CG29" i="25"/>
  <c r="CG28" i="25"/>
  <c r="CG27" i="25"/>
  <c r="CG26" i="25"/>
  <c r="CG25" i="25"/>
  <c r="CG24" i="25"/>
  <c r="CG23" i="25"/>
  <c r="CG22" i="25"/>
  <c r="CG21" i="25"/>
  <c r="CG20" i="25"/>
  <c r="CG19" i="25"/>
  <c r="CG18" i="25"/>
  <c r="CG17" i="25"/>
  <c r="CG16" i="25"/>
  <c r="CG15" i="25"/>
  <c r="CG14" i="25"/>
  <c r="CG13" i="25"/>
  <c r="CG12" i="25"/>
  <c r="CG11" i="25"/>
  <c r="CG10" i="25"/>
  <c r="CG9" i="25"/>
  <c r="CG8" i="25"/>
  <c r="CG7" i="25"/>
  <c r="CD74" i="25"/>
  <c r="CD73" i="25"/>
  <c r="CD72" i="25"/>
  <c r="CD71" i="25"/>
  <c r="CD70" i="25"/>
  <c r="CD69" i="25"/>
  <c r="CD68" i="25"/>
  <c r="CD67" i="25"/>
  <c r="CD66" i="25"/>
  <c r="CD65" i="25"/>
  <c r="CD64" i="25"/>
  <c r="CD63" i="25"/>
  <c r="CD62" i="25"/>
  <c r="CD61" i="25"/>
  <c r="CD60" i="25"/>
  <c r="CD59" i="25"/>
  <c r="CD58" i="25"/>
  <c r="CD57" i="25"/>
  <c r="CD56" i="25"/>
  <c r="CD55" i="25"/>
  <c r="CD54" i="25"/>
  <c r="CD53" i="25"/>
  <c r="CD52" i="25"/>
  <c r="CD51" i="25"/>
  <c r="CD50" i="25"/>
  <c r="CD49" i="25"/>
  <c r="CD48" i="25"/>
  <c r="CD47" i="25"/>
  <c r="CD46" i="25"/>
  <c r="CD45" i="25"/>
  <c r="CD44" i="25"/>
  <c r="CD43" i="25"/>
  <c r="CD42" i="25"/>
  <c r="CD41" i="25"/>
  <c r="CD40" i="25"/>
  <c r="CD39" i="25"/>
  <c r="CD38" i="25"/>
  <c r="CD37" i="25"/>
  <c r="CD36" i="25"/>
  <c r="CD35" i="25"/>
  <c r="CD34" i="25"/>
  <c r="CD33" i="25"/>
  <c r="CD32" i="25"/>
  <c r="CD31" i="25"/>
  <c r="CD30" i="25"/>
  <c r="CD29" i="25"/>
  <c r="CD28" i="25"/>
  <c r="CD27" i="25"/>
  <c r="CD26" i="25"/>
  <c r="CD25" i="25"/>
  <c r="CD24" i="25"/>
  <c r="CD23" i="25"/>
  <c r="CD22" i="25"/>
  <c r="CD21" i="25"/>
  <c r="CD20" i="25"/>
  <c r="CD19" i="25"/>
  <c r="CD18" i="25"/>
  <c r="CD17" i="25"/>
  <c r="CD16" i="25"/>
  <c r="CD15" i="25"/>
  <c r="CD14" i="25"/>
  <c r="CD13" i="25"/>
  <c r="CD12" i="25"/>
  <c r="CD11" i="25"/>
  <c r="CD10" i="25"/>
  <c r="CD9" i="25"/>
  <c r="CD8" i="25"/>
  <c r="CD7" i="25"/>
  <c r="CA74" i="25"/>
  <c r="CA73" i="25"/>
  <c r="CA72" i="25"/>
  <c r="CA71" i="25"/>
  <c r="CA70" i="25"/>
  <c r="CA69" i="25"/>
  <c r="CA68" i="25"/>
  <c r="CA67" i="25"/>
  <c r="CA66" i="25"/>
  <c r="CA65" i="25"/>
  <c r="CA64" i="25"/>
  <c r="CA63" i="25"/>
  <c r="CA62" i="25"/>
  <c r="CA61" i="25"/>
  <c r="CA60" i="25"/>
  <c r="CA59" i="25"/>
  <c r="CA58" i="25"/>
  <c r="CA57" i="25"/>
  <c r="CA56" i="25"/>
  <c r="CA55" i="25"/>
  <c r="CA54" i="25"/>
  <c r="CA53" i="25"/>
  <c r="CA52" i="25"/>
  <c r="CA51" i="25"/>
  <c r="CA50" i="25"/>
  <c r="CA49" i="25"/>
  <c r="CA48" i="25"/>
  <c r="CA47" i="25"/>
  <c r="CA46" i="25"/>
  <c r="CA45" i="25"/>
  <c r="CA44" i="25"/>
  <c r="CA43" i="25"/>
  <c r="CA42" i="25"/>
  <c r="CA41" i="25"/>
  <c r="CA40" i="25"/>
  <c r="CA39" i="25"/>
  <c r="CA38" i="25"/>
  <c r="CA37" i="25"/>
  <c r="CA36" i="25"/>
  <c r="CA35" i="25"/>
  <c r="CA34" i="25"/>
  <c r="CA33" i="25"/>
  <c r="CA32" i="25"/>
  <c r="CA31" i="25"/>
  <c r="CA30" i="25"/>
  <c r="CA29" i="25"/>
  <c r="CA28" i="25"/>
  <c r="CA27" i="25"/>
  <c r="CA26" i="25"/>
  <c r="CA25" i="25"/>
  <c r="CA24" i="25"/>
  <c r="CA23" i="25"/>
  <c r="CA22" i="25"/>
  <c r="CA21" i="25"/>
  <c r="CA20" i="25"/>
  <c r="CA19" i="25"/>
  <c r="CA18" i="25"/>
  <c r="CA17" i="25"/>
  <c r="CA16" i="25"/>
  <c r="CA15" i="25"/>
  <c r="CA14" i="25"/>
  <c r="CA13" i="25"/>
  <c r="CA12" i="25"/>
  <c r="CA11" i="25"/>
  <c r="CA10" i="25"/>
  <c r="CA9" i="25"/>
  <c r="CA8" i="25"/>
  <c r="CA7" i="25"/>
  <c r="BX74" i="25"/>
  <c r="BX73" i="25"/>
  <c r="BX72" i="25"/>
  <c r="BX71" i="25"/>
  <c r="BX70" i="25"/>
  <c r="BX69" i="25"/>
  <c r="BX68" i="25"/>
  <c r="BX67" i="25"/>
  <c r="BX66" i="25"/>
  <c r="BX65" i="25"/>
  <c r="BX64" i="25"/>
  <c r="BX63" i="25"/>
  <c r="BX62" i="25"/>
  <c r="BX61" i="25"/>
  <c r="BX60" i="25"/>
  <c r="BX59" i="25"/>
  <c r="BX58" i="25"/>
  <c r="BX57" i="25"/>
  <c r="BX56" i="25"/>
  <c r="BX55" i="25"/>
  <c r="BX54" i="25"/>
  <c r="BX53" i="25"/>
  <c r="BX52" i="25"/>
  <c r="BX51" i="25"/>
  <c r="BX50" i="25"/>
  <c r="BX49" i="25"/>
  <c r="BX48" i="25"/>
  <c r="BX47" i="25"/>
  <c r="BX46" i="25"/>
  <c r="BX45" i="25"/>
  <c r="BX44" i="25"/>
  <c r="BX43" i="25"/>
  <c r="BX42" i="25"/>
  <c r="BX41" i="25"/>
  <c r="BX40" i="25"/>
  <c r="BX39" i="25"/>
  <c r="BX38" i="25"/>
  <c r="BX37" i="25"/>
  <c r="BX36" i="25"/>
  <c r="BX35" i="25"/>
  <c r="BX34" i="25"/>
  <c r="BX33" i="25"/>
  <c r="BX32" i="25"/>
  <c r="BX31" i="25"/>
  <c r="BX30" i="25"/>
  <c r="BX29" i="25"/>
  <c r="BX28" i="25"/>
  <c r="BX27" i="25"/>
  <c r="BX26" i="25"/>
  <c r="BX25" i="25"/>
  <c r="BX24" i="25"/>
  <c r="BX23" i="25"/>
  <c r="BX22" i="25"/>
  <c r="BX21" i="25"/>
  <c r="BX20" i="25"/>
  <c r="BX19" i="25"/>
  <c r="BX18" i="25"/>
  <c r="BX17" i="25"/>
  <c r="BX16" i="25"/>
  <c r="BX15" i="25"/>
  <c r="BX14" i="25"/>
  <c r="BX13" i="25"/>
  <c r="BX12" i="25"/>
  <c r="BX11" i="25"/>
  <c r="BX10" i="25"/>
  <c r="BX9" i="25"/>
  <c r="BX8" i="25"/>
  <c r="BX7" i="25"/>
  <c r="BU74" i="25"/>
  <c r="BU73" i="25"/>
  <c r="BU72" i="25"/>
  <c r="BU71" i="25"/>
  <c r="BU70" i="25"/>
  <c r="BU69" i="25"/>
  <c r="BU68" i="25"/>
  <c r="BU67" i="25"/>
  <c r="BU66" i="25"/>
  <c r="BU65" i="25"/>
  <c r="BU64" i="25"/>
  <c r="BU63" i="25"/>
  <c r="BU62" i="25"/>
  <c r="BU61" i="25"/>
  <c r="BU60" i="25"/>
  <c r="BU59" i="25"/>
  <c r="BU58" i="25"/>
  <c r="BU57" i="25"/>
  <c r="BU56" i="25"/>
  <c r="BU55" i="25"/>
  <c r="BU54" i="25"/>
  <c r="BU53" i="25"/>
  <c r="BU52" i="25"/>
  <c r="BU51" i="25"/>
  <c r="BU50" i="25"/>
  <c r="BU49" i="25"/>
  <c r="BU48" i="25"/>
  <c r="BU47" i="25"/>
  <c r="BU46" i="25"/>
  <c r="BU45" i="25"/>
  <c r="BU44" i="25"/>
  <c r="BU43" i="25"/>
  <c r="BU42" i="25"/>
  <c r="BU41" i="25"/>
  <c r="BU40" i="25"/>
  <c r="BU39" i="25"/>
  <c r="BU38" i="25"/>
  <c r="BU37" i="25"/>
  <c r="BU36" i="25"/>
  <c r="BU35" i="25"/>
  <c r="BU34" i="25"/>
  <c r="BU33" i="25"/>
  <c r="BU32" i="25"/>
  <c r="BU31" i="25"/>
  <c r="BU30" i="25"/>
  <c r="BU29" i="25"/>
  <c r="BU28" i="25"/>
  <c r="BU27" i="25"/>
  <c r="BU26" i="25"/>
  <c r="BU25" i="25"/>
  <c r="BU24" i="25"/>
  <c r="BU23" i="25"/>
  <c r="BU22" i="25"/>
  <c r="BU21" i="25"/>
  <c r="BU20" i="25"/>
  <c r="BU19" i="25"/>
  <c r="BU18" i="25"/>
  <c r="BU17" i="25"/>
  <c r="BU16" i="25"/>
  <c r="BU15" i="25"/>
  <c r="BU14" i="25"/>
  <c r="BU13" i="25"/>
  <c r="BU12" i="25"/>
  <c r="BU11" i="25"/>
  <c r="BU10" i="25"/>
  <c r="BU9" i="25"/>
  <c r="BU8" i="25"/>
  <c r="BU7" i="25"/>
  <c r="BR74" i="25"/>
  <c r="BR73" i="25"/>
  <c r="BR72" i="25"/>
  <c r="BR71" i="25"/>
  <c r="BR70" i="25"/>
  <c r="BR69" i="25"/>
  <c r="BR68" i="25"/>
  <c r="BR67" i="25"/>
  <c r="BR66" i="25"/>
  <c r="BR65" i="25"/>
  <c r="BR64" i="25"/>
  <c r="BR63" i="25"/>
  <c r="BR62" i="25"/>
  <c r="BR61" i="25"/>
  <c r="BR60" i="25"/>
  <c r="BR59" i="25"/>
  <c r="BR58" i="25"/>
  <c r="BR57" i="25"/>
  <c r="BR56" i="25"/>
  <c r="BR55" i="25"/>
  <c r="BR54" i="25"/>
  <c r="BR53" i="25"/>
  <c r="BR52" i="25"/>
  <c r="BR51" i="25"/>
  <c r="BR50" i="25"/>
  <c r="BR49" i="25"/>
  <c r="BR48" i="25"/>
  <c r="BR47" i="25"/>
  <c r="BR46" i="25"/>
  <c r="BR45" i="25"/>
  <c r="BR44" i="25"/>
  <c r="BR43" i="25"/>
  <c r="BR42" i="25"/>
  <c r="BR41" i="25"/>
  <c r="BR40" i="25"/>
  <c r="BR39" i="25"/>
  <c r="BR38" i="25"/>
  <c r="BR37" i="25"/>
  <c r="BR36" i="25"/>
  <c r="BR35" i="25"/>
  <c r="BR34" i="25"/>
  <c r="BR33" i="25"/>
  <c r="BR32" i="25"/>
  <c r="BR31" i="25"/>
  <c r="BR30" i="25"/>
  <c r="BR29" i="25"/>
  <c r="BR28" i="25"/>
  <c r="BR27" i="25"/>
  <c r="BR26" i="25"/>
  <c r="BR25" i="25"/>
  <c r="BR24" i="25"/>
  <c r="BR23" i="25"/>
  <c r="BR22" i="25"/>
  <c r="BR21" i="25"/>
  <c r="BR20" i="25"/>
  <c r="BR19" i="25"/>
  <c r="BR18" i="25"/>
  <c r="BR17" i="25"/>
  <c r="BR16" i="25"/>
  <c r="BR15" i="25"/>
  <c r="BR14" i="25"/>
  <c r="BR13" i="25"/>
  <c r="BR12" i="25"/>
  <c r="BR11" i="25"/>
  <c r="BR10" i="25"/>
  <c r="BR9" i="25"/>
  <c r="BR8" i="25"/>
  <c r="BR7" i="25"/>
  <c r="BO74" i="25"/>
  <c r="BO73" i="25"/>
  <c r="BO72" i="25"/>
  <c r="BO71" i="25"/>
  <c r="BO70" i="25"/>
  <c r="BO69" i="25"/>
  <c r="BO68" i="25"/>
  <c r="BO67" i="25"/>
  <c r="BO66" i="25"/>
  <c r="BO65" i="25"/>
  <c r="BO64" i="25"/>
  <c r="BO63" i="25"/>
  <c r="BO62" i="25"/>
  <c r="BO61" i="25"/>
  <c r="BO60" i="25"/>
  <c r="BO59" i="25"/>
  <c r="BO58" i="25"/>
  <c r="BO57" i="25"/>
  <c r="BO56" i="25"/>
  <c r="BO55" i="25"/>
  <c r="BO54" i="25"/>
  <c r="BO53" i="25"/>
  <c r="BO52" i="25"/>
  <c r="BO51" i="25"/>
  <c r="BO50" i="25"/>
  <c r="BO49" i="25"/>
  <c r="BO48" i="25"/>
  <c r="BO47" i="25"/>
  <c r="BO46" i="25"/>
  <c r="BO45" i="25"/>
  <c r="BO44" i="25"/>
  <c r="BO43" i="25"/>
  <c r="BO42" i="25"/>
  <c r="BO41" i="25"/>
  <c r="BO40" i="25"/>
  <c r="BO39" i="25"/>
  <c r="BO38" i="25"/>
  <c r="BO37" i="25"/>
  <c r="BO36" i="25"/>
  <c r="BO35" i="25"/>
  <c r="BO34" i="25"/>
  <c r="BO33" i="25"/>
  <c r="BO32" i="25"/>
  <c r="BO31" i="25"/>
  <c r="BO30" i="25"/>
  <c r="BO29" i="25"/>
  <c r="BO28" i="25"/>
  <c r="BO27" i="25"/>
  <c r="BO26" i="25"/>
  <c r="BO25" i="25"/>
  <c r="BO24" i="25"/>
  <c r="BO23" i="25"/>
  <c r="BO22" i="25"/>
  <c r="BO21" i="25"/>
  <c r="BO20" i="25"/>
  <c r="BO19" i="25"/>
  <c r="BO18" i="25"/>
  <c r="BO17" i="25"/>
  <c r="BO16" i="25"/>
  <c r="BO15" i="25"/>
  <c r="BO14" i="25"/>
  <c r="BO13" i="25"/>
  <c r="BO12" i="25"/>
  <c r="BO11" i="25"/>
  <c r="BO10" i="25"/>
  <c r="BO9" i="25"/>
  <c r="BO8" i="25"/>
  <c r="BO7" i="25"/>
  <c r="BL74" i="25"/>
  <c r="BL73" i="25"/>
  <c r="BL72" i="25"/>
  <c r="BL71" i="25"/>
  <c r="BL70" i="25"/>
  <c r="BL69" i="25"/>
  <c r="BL68" i="25"/>
  <c r="BL67" i="25"/>
  <c r="BL66" i="25"/>
  <c r="BL65" i="25"/>
  <c r="BL64" i="25"/>
  <c r="BL63" i="25"/>
  <c r="BL62" i="25"/>
  <c r="BL61" i="25"/>
  <c r="BL60" i="25"/>
  <c r="BL59" i="25"/>
  <c r="BL58" i="25"/>
  <c r="BL57" i="25"/>
  <c r="BL56" i="25"/>
  <c r="BL55" i="25"/>
  <c r="BL54" i="25"/>
  <c r="BL53" i="25"/>
  <c r="BL52" i="25"/>
  <c r="BL51" i="25"/>
  <c r="BL50" i="25"/>
  <c r="BL49" i="25"/>
  <c r="BL48" i="25"/>
  <c r="BL47" i="25"/>
  <c r="BL46" i="25"/>
  <c r="BL45" i="25"/>
  <c r="BL44" i="25"/>
  <c r="BL43" i="25"/>
  <c r="BL42" i="25"/>
  <c r="BL41" i="25"/>
  <c r="BL40" i="25"/>
  <c r="BL39" i="25"/>
  <c r="BL38" i="25"/>
  <c r="BL37" i="25"/>
  <c r="BL36" i="25"/>
  <c r="BL35" i="25"/>
  <c r="BL34" i="25"/>
  <c r="BL33" i="25"/>
  <c r="BL32" i="25"/>
  <c r="BL31" i="25"/>
  <c r="BL30" i="25"/>
  <c r="BL29" i="25"/>
  <c r="BL28" i="25"/>
  <c r="BL27" i="25"/>
  <c r="BL26" i="25"/>
  <c r="BL25" i="25"/>
  <c r="BL24" i="25"/>
  <c r="BL23" i="25"/>
  <c r="BL22" i="25"/>
  <c r="BL21" i="25"/>
  <c r="BL20" i="25"/>
  <c r="BL19" i="25"/>
  <c r="BL18" i="25"/>
  <c r="BL17" i="25"/>
  <c r="BL16" i="25"/>
  <c r="BL15" i="25"/>
  <c r="BL14" i="25"/>
  <c r="BL13" i="25"/>
  <c r="BL12" i="25"/>
  <c r="BL11" i="25"/>
  <c r="BL10" i="25"/>
  <c r="BL9" i="25"/>
  <c r="BL8" i="25"/>
  <c r="BL7" i="25"/>
  <c r="BI74" i="25"/>
  <c r="BI73" i="25"/>
  <c r="BI72" i="25"/>
  <c r="BI71" i="25"/>
  <c r="BI70" i="25"/>
  <c r="BI69" i="25"/>
  <c r="BI68" i="25"/>
  <c r="BI67" i="25"/>
  <c r="BI66" i="25"/>
  <c r="BI65" i="25"/>
  <c r="BI64" i="25"/>
  <c r="BI63" i="25"/>
  <c r="BI62" i="25"/>
  <c r="BI61" i="25"/>
  <c r="BI60" i="25"/>
  <c r="BI59" i="25"/>
  <c r="BI58" i="25"/>
  <c r="BI57" i="25"/>
  <c r="BI56" i="25"/>
  <c r="BI55" i="25"/>
  <c r="BI54" i="25"/>
  <c r="BI53" i="25"/>
  <c r="BI52" i="25"/>
  <c r="BI51" i="25"/>
  <c r="BI50" i="25"/>
  <c r="BI49" i="25"/>
  <c r="BI48" i="25"/>
  <c r="BI47" i="25"/>
  <c r="BI46" i="25"/>
  <c r="BI45" i="25"/>
  <c r="BI44" i="25"/>
  <c r="BI43" i="25"/>
  <c r="BI42" i="25"/>
  <c r="BI41" i="25"/>
  <c r="BI40" i="25"/>
  <c r="BI39" i="25"/>
  <c r="BI38" i="25"/>
  <c r="BI37" i="25"/>
  <c r="BI36" i="25"/>
  <c r="BI35" i="25"/>
  <c r="BI34" i="25"/>
  <c r="BI33" i="25"/>
  <c r="BI32" i="25"/>
  <c r="BI31" i="25"/>
  <c r="BI30" i="25"/>
  <c r="BI29" i="25"/>
  <c r="BI28" i="25"/>
  <c r="BI27" i="25"/>
  <c r="BI26" i="25"/>
  <c r="BI25" i="25"/>
  <c r="BI24" i="25"/>
  <c r="BI23" i="25"/>
  <c r="BI22" i="25"/>
  <c r="BI21" i="25"/>
  <c r="BI20" i="25"/>
  <c r="BI19" i="25"/>
  <c r="BI18" i="25"/>
  <c r="BI17" i="25"/>
  <c r="BI16" i="25"/>
  <c r="BI15" i="25"/>
  <c r="BI14" i="25"/>
  <c r="BI13" i="25"/>
  <c r="BI12" i="25"/>
  <c r="BI11" i="25"/>
  <c r="BI10" i="25"/>
  <c r="BI9" i="25"/>
  <c r="BI8" i="25"/>
  <c r="BI7" i="25"/>
  <c r="BF74" i="25"/>
  <c r="BF73" i="25"/>
  <c r="BF72" i="25"/>
  <c r="BF71" i="25"/>
  <c r="BF70" i="25"/>
  <c r="BF69" i="25"/>
  <c r="BF68" i="25"/>
  <c r="BF67" i="25"/>
  <c r="BF66" i="25"/>
  <c r="BF65" i="25"/>
  <c r="BF64" i="25"/>
  <c r="BF63" i="25"/>
  <c r="BF62" i="25"/>
  <c r="BF61" i="25"/>
  <c r="BF60" i="25"/>
  <c r="BF59" i="25"/>
  <c r="BF58" i="25"/>
  <c r="BF57" i="25"/>
  <c r="BF56" i="25"/>
  <c r="BF55" i="25"/>
  <c r="BF54" i="25"/>
  <c r="BF53" i="25"/>
  <c r="BF52" i="25"/>
  <c r="BF51" i="25"/>
  <c r="BF50" i="25"/>
  <c r="BF49" i="25"/>
  <c r="BF48" i="25"/>
  <c r="BF47" i="25"/>
  <c r="BF46" i="25"/>
  <c r="BF45" i="25"/>
  <c r="BF44" i="25"/>
  <c r="BF43" i="25"/>
  <c r="BF42" i="25"/>
  <c r="BF41" i="25"/>
  <c r="BF40" i="25"/>
  <c r="BF39" i="25"/>
  <c r="BF38" i="25"/>
  <c r="BF37" i="25"/>
  <c r="BF36" i="25"/>
  <c r="BF35" i="25"/>
  <c r="BF34" i="25"/>
  <c r="BF33" i="25"/>
  <c r="BF32" i="25"/>
  <c r="BF31" i="25"/>
  <c r="BF30" i="25"/>
  <c r="BF29" i="25"/>
  <c r="BF28" i="25"/>
  <c r="BF27" i="25"/>
  <c r="BF26" i="25"/>
  <c r="BF25" i="25"/>
  <c r="BF24" i="25"/>
  <c r="BF23" i="25"/>
  <c r="BF22" i="25"/>
  <c r="BF21" i="25"/>
  <c r="BF20" i="25"/>
  <c r="BF19" i="25"/>
  <c r="BF18" i="25"/>
  <c r="BF17" i="25"/>
  <c r="BF16" i="25"/>
  <c r="BF15" i="25"/>
  <c r="BF14" i="25"/>
  <c r="BF13" i="25"/>
  <c r="BF12" i="25"/>
  <c r="BF11" i="25"/>
  <c r="BF10" i="25"/>
  <c r="BF9" i="25"/>
  <c r="BF8" i="25"/>
  <c r="BF7" i="25"/>
  <c r="BC74" i="25"/>
  <c r="BC73" i="25"/>
  <c r="BC72" i="25"/>
  <c r="BC71" i="25"/>
  <c r="BC70" i="25"/>
  <c r="BC69" i="25"/>
  <c r="BC68" i="25"/>
  <c r="BC67" i="25"/>
  <c r="BC66" i="25"/>
  <c r="BC65" i="25"/>
  <c r="BC64" i="25"/>
  <c r="BC63" i="25"/>
  <c r="BC62" i="25"/>
  <c r="BC61" i="25"/>
  <c r="BC60" i="25"/>
  <c r="BC59" i="25"/>
  <c r="BC58" i="25"/>
  <c r="BC57" i="25"/>
  <c r="BC56" i="25"/>
  <c r="BC55" i="25"/>
  <c r="BC54" i="25"/>
  <c r="BC53" i="25"/>
  <c r="BC52" i="25"/>
  <c r="BC51" i="25"/>
  <c r="BC50" i="25"/>
  <c r="BC49" i="25"/>
  <c r="BC48" i="25"/>
  <c r="BC47" i="25"/>
  <c r="BC46" i="25"/>
  <c r="BC45" i="25"/>
  <c r="BC44" i="25"/>
  <c r="BC43" i="25"/>
  <c r="BC42" i="25"/>
  <c r="BC41" i="25"/>
  <c r="BC40" i="25"/>
  <c r="BC39" i="25"/>
  <c r="BC38" i="25"/>
  <c r="BC37" i="25"/>
  <c r="BC36" i="25"/>
  <c r="BC35" i="25"/>
  <c r="BC34" i="25"/>
  <c r="BC33" i="25"/>
  <c r="BC32" i="25"/>
  <c r="BC31" i="25"/>
  <c r="BC30" i="25"/>
  <c r="BC29" i="25"/>
  <c r="BC28" i="25"/>
  <c r="BC27" i="25"/>
  <c r="BC26" i="25"/>
  <c r="BC25" i="25"/>
  <c r="BC24" i="25"/>
  <c r="BC23" i="25"/>
  <c r="BC22" i="25"/>
  <c r="BC21" i="25"/>
  <c r="BC20" i="25"/>
  <c r="BC19" i="25"/>
  <c r="BC18" i="25"/>
  <c r="BC17" i="25"/>
  <c r="BC16" i="25"/>
  <c r="BC15" i="25"/>
  <c r="BC14" i="25"/>
  <c r="BC13" i="25"/>
  <c r="BC12" i="25"/>
  <c r="BC11" i="25"/>
  <c r="BC10" i="25"/>
  <c r="BC9" i="25"/>
  <c r="BC8" i="25"/>
  <c r="BC7" i="25"/>
  <c r="AZ74" i="25"/>
  <c r="AZ73" i="25"/>
  <c r="AZ72" i="25"/>
  <c r="AZ71" i="25"/>
  <c r="AZ70" i="25"/>
  <c r="AZ69" i="25"/>
  <c r="AZ68" i="25"/>
  <c r="AZ67" i="25"/>
  <c r="AZ66" i="25"/>
  <c r="AZ65" i="25"/>
  <c r="AZ64" i="25"/>
  <c r="AZ63" i="25"/>
  <c r="AZ62" i="25"/>
  <c r="AZ61" i="25"/>
  <c r="AZ60" i="25"/>
  <c r="AZ59" i="25"/>
  <c r="AZ58" i="25"/>
  <c r="AZ57" i="25"/>
  <c r="AZ56" i="25"/>
  <c r="AZ55" i="25"/>
  <c r="AZ54" i="25"/>
  <c r="AZ53" i="25"/>
  <c r="AZ52" i="25"/>
  <c r="AZ51" i="25"/>
  <c r="AZ50" i="25"/>
  <c r="AZ49" i="25"/>
  <c r="AZ48" i="25"/>
  <c r="AZ47" i="25"/>
  <c r="AZ46" i="25"/>
  <c r="AZ45" i="25"/>
  <c r="AZ44" i="25"/>
  <c r="AZ43" i="25"/>
  <c r="AZ42" i="25"/>
  <c r="AZ41" i="25"/>
  <c r="AZ40" i="25"/>
  <c r="AZ39" i="25"/>
  <c r="AZ38" i="25"/>
  <c r="AZ37" i="25"/>
  <c r="AZ36" i="25"/>
  <c r="AZ35" i="25"/>
  <c r="AZ34" i="25"/>
  <c r="AZ33" i="25"/>
  <c r="AZ32" i="25"/>
  <c r="AZ31" i="25"/>
  <c r="AZ30" i="25"/>
  <c r="AZ29" i="25"/>
  <c r="AZ28" i="25"/>
  <c r="AZ27" i="25"/>
  <c r="AZ26" i="25"/>
  <c r="AZ25" i="25"/>
  <c r="AZ24" i="25"/>
  <c r="AZ23" i="25"/>
  <c r="AZ22" i="25"/>
  <c r="AZ21" i="25"/>
  <c r="AZ20" i="25"/>
  <c r="AZ19" i="25"/>
  <c r="AZ18" i="25"/>
  <c r="AZ17" i="25"/>
  <c r="AZ16" i="25"/>
  <c r="AZ15" i="25"/>
  <c r="AZ14" i="25"/>
  <c r="AZ13" i="25"/>
  <c r="AZ12" i="25"/>
  <c r="AZ11" i="25"/>
  <c r="AZ10" i="25"/>
  <c r="AZ9" i="25"/>
  <c r="AZ8" i="25"/>
  <c r="AZ7" i="25"/>
  <c r="AW74" i="25"/>
  <c r="AW73" i="25"/>
  <c r="AW72" i="25"/>
  <c r="AW71" i="25"/>
  <c r="AW70" i="25"/>
  <c r="AW69" i="25"/>
  <c r="AW68" i="25"/>
  <c r="AW67" i="25"/>
  <c r="AW66" i="25"/>
  <c r="AW65" i="25"/>
  <c r="AW64" i="25"/>
  <c r="AW63" i="25"/>
  <c r="AW62" i="25"/>
  <c r="AW61" i="25"/>
  <c r="AW60" i="25"/>
  <c r="AW59" i="25"/>
  <c r="AW58" i="25"/>
  <c r="AW57" i="25"/>
  <c r="AW56" i="25"/>
  <c r="AW55" i="25"/>
  <c r="AW54" i="25"/>
  <c r="AW53" i="25"/>
  <c r="AW52" i="25"/>
  <c r="AW51" i="25"/>
  <c r="AW50" i="25"/>
  <c r="AW49" i="25"/>
  <c r="AW48" i="25"/>
  <c r="AW47" i="25"/>
  <c r="AW46" i="25"/>
  <c r="AW45" i="25"/>
  <c r="AW44" i="25"/>
  <c r="AW43" i="25"/>
  <c r="AW42" i="25"/>
  <c r="AW41" i="25"/>
  <c r="AW40" i="25"/>
  <c r="AW39" i="25"/>
  <c r="AW38" i="25"/>
  <c r="AW37" i="25"/>
  <c r="AW36" i="25"/>
  <c r="AW35" i="25"/>
  <c r="AW34" i="25"/>
  <c r="AW33" i="25"/>
  <c r="AW32" i="25"/>
  <c r="AW31" i="25"/>
  <c r="AW30" i="25"/>
  <c r="AW29" i="25"/>
  <c r="AW28" i="25"/>
  <c r="AW27" i="25"/>
  <c r="AW26" i="25"/>
  <c r="AW25" i="25"/>
  <c r="AW24" i="25"/>
  <c r="AW23" i="25"/>
  <c r="AW22" i="25"/>
  <c r="AW21" i="25"/>
  <c r="AW20" i="25"/>
  <c r="AW19" i="25"/>
  <c r="AW18" i="25"/>
  <c r="AW17" i="25"/>
  <c r="AW16" i="25"/>
  <c r="AW15" i="25"/>
  <c r="AW14" i="25"/>
  <c r="AW13" i="25"/>
  <c r="AW12" i="25"/>
  <c r="AW11" i="25"/>
  <c r="AW10" i="25"/>
  <c r="AW9" i="25"/>
  <c r="AW8" i="25"/>
  <c r="AW7" i="25"/>
  <c r="AT74" i="25"/>
  <c r="AT73" i="25"/>
  <c r="AT72" i="25"/>
  <c r="AT71" i="25"/>
  <c r="AT70" i="25"/>
  <c r="AT69" i="25"/>
  <c r="AT68" i="25"/>
  <c r="AT67" i="25"/>
  <c r="AT66" i="25"/>
  <c r="AT65" i="25"/>
  <c r="AT64" i="25"/>
  <c r="AT63" i="25"/>
  <c r="AT62" i="25"/>
  <c r="AT61" i="25"/>
  <c r="AT60" i="25"/>
  <c r="AT59" i="25"/>
  <c r="AT58" i="25"/>
  <c r="AT57" i="25"/>
  <c r="AT56" i="25"/>
  <c r="AT55" i="25"/>
  <c r="AT54" i="25"/>
  <c r="AT53" i="25"/>
  <c r="AT52" i="25"/>
  <c r="AT51" i="25"/>
  <c r="AT50" i="25"/>
  <c r="AT49" i="25"/>
  <c r="AT48" i="25"/>
  <c r="AT47" i="25"/>
  <c r="AT46" i="25"/>
  <c r="AT45" i="25"/>
  <c r="AT44" i="25"/>
  <c r="AT43" i="25"/>
  <c r="AT42" i="25"/>
  <c r="AT41" i="25"/>
  <c r="AT40" i="25"/>
  <c r="AT39" i="25"/>
  <c r="AT38" i="25"/>
  <c r="AT37" i="25"/>
  <c r="AT36" i="25"/>
  <c r="AT35" i="25"/>
  <c r="AT34" i="25"/>
  <c r="AT33" i="25"/>
  <c r="AT32" i="25"/>
  <c r="AT31" i="25"/>
  <c r="AT30" i="25"/>
  <c r="AT29" i="25"/>
  <c r="AT28" i="25"/>
  <c r="AT27" i="25"/>
  <c r="AT26" i="25"/>
  <c r="AT25" i="25"/>
  <c r="AT24" i="25"/>
  <c r="AT23" i="25"/>
  <c r="AT22" i="25"/>
  <c r="AT21" i="25"/>
  <c r="AT20" i="25"/>
  <c r="AT19" i="25"/>
  <c r="AT18" i="25"/>
  <c r="AT17" i="25"/>
  <c r="AT16" i="25"/>
  <c r="AT15" i="25"/>
  <c r="AT14" i="25"/>
  <c r="AT13" i="25"/>
  <c r="AT12" i="25"/>
  <c r="AT11" i="25"/>
  <c r="AT10" i="25"/>
  <c r="AT9" i="25"/>
  <c r="AT8" i="25"/>
  <c r="AT7" i="25"/>
  <c r="AQ74" i="25"/>
  <c r="AQ73" i="25"/>
  <c r="AQ72" i="25"/>
  <c r="AQ71" i="25"/>
  <c r="AQ70" i="25"/>
  <c r="AQ69" i="25"/>
  <c r="AQ68" i="25"/>
  <c r="AQ67" i="25"/>
  <c r="AQ66" i="25"/>
  <c r="AQ65" i="25"/>
  <c r="AQ64" i="25"/>
  <c r="AQ63" i="25"/>
  <c r="AQ62" i="25"/>
  <c r="AQ61" i="25"/>
  <c r="AQ60" i="25"/>
  <c r="AQ59" i="25"/>
  <c r="AQ58" i="25"/>
  <c r="AQ57" i="25"/>
  <c r="AQ56" i="25"/>
  <c r="AQ55" i="25"/>
  <c r="AQ54" i="25"/>
  <c r="AQ53" i="25"/>
  <c r="AQ52" i="25"/>
  <c r="AQ51" i="25"/>
  <c r="AQ50" i="25"/>
  <c r="AQ49" i="25"/>
  <c r="AQ48" i="25"/>
  <c r="AQ47" i="25"/>
  <c r="AQ46" i="25"/>
  <c r="AQ45" i="25"/>
  <c r="AQ44" i="25"/>
  <c r="AQ43" i="25"/>
  <c r="AQ42" i="25"/>
  <c r="AQ41" i="25"/>
  <c r="AQ40" i="25"/>
  <c r="AQ39" i="25"/>
  <c r="AQ38" i="25"/>
  <c r="AQ37" i="25"/>
  <c r="AQ36" i="25"/>
  <c r="AQ35" i="25"/>
  <c r="AQ34" i="25"/>
  <c r="AQ33" i="25"/>
  <c r="AQ32" i="25"/>
  <c r="AQ31" i="25"/>
  <c r="AQ30" i="25"/>
  <c r="AQ29" i="25"/>
  <c r="AQ28" i="25"/>
  <c r="AQ27" i="25"/>
  <c r="AQ26" i="25"/>
  <c r="AQ25" i="25"/>
  <c r="AQ24" i="25"/>
  <c r="AQ23" i="25"/>
  <c r="AQ22" i="25"/>
  <c r="AQ21" i="25"/>
  <c r="AQ20" i="25"/>
  <c r="AQ19" i="25"/>
  <c r="AQ18" i="25"/>
  <c r="AQ17" i="25"/>
  <c r="AQ16" i="25"/>
  <c r="AQ15" i="25"/>
  <c r="AQ14" i="25"/>
  <c r="AQ13" i="25"/>
  <c r="AQ12" i="25"/>
  <c r="AQ11" i="25"/>
  <c r="AQ10" i="25"/>
  <c r="AQ9" i="25"/>
  <c r="AQ8" i="25"/>
  <c r="AQ7" i="25"/>
  <c r="AN74" i="25"/>
  <c r="AN73" i="25"/>
  <c r="AN72" i="25"/>
  <c r="AN71" i="25"/>
  <c r="AN70" i="25"/>
  <c r="AN69" i="25"/>
  <c r="AN68" i="25"/>
  <c r="AN67" i="25"/>
  <c r="AN66" i="25"/>
  <c r="AN65" i="25"/>
  <c r="AN64" i="25"/>
  <c r="AN63" i="25"/>
  <c r="AN62" i="25"/>
  <c r="AN61" i="25"/>
  <c r="AN60" i="25"/>
  <c r="AN59" i="25"/>
  <c r="AN58" i="25"/>
  <c r="AN57" i="25"/>
  <c r="AN56" i="25"/>
  <c r="AN55" i="25"/>
  <c r="AN54" i="25"/>
  <c r="AN53" i="25"/>
  <c r="AN52" i="25"/>
  <c r="AN51" i="25"/>
  <c r="AN50" i="25"/>
  <c r="AN49" i="25"/>
  <c r="AN48" i="25"/>
  <c r="AN47" i="25"/>
  <c r="AN46" i="25"/>
  <c r="AN45" i="25"/>
  <c r="AN44" i="25"/>
  <c r="AN43" i="25"/>
  <c r="AN42" i="25"/>
  <c r="AN41" i="25"/>
  <c r="AN40" i="25"/>
  <c r="AN39" i="25"/>
  <c r="AN38" i="25"/>
  <c r="AN37" i="25"/>
  <c r="AN36" i="25"/>
  <c r="AN35" i="25"/>
  <c r="AN34" i="25"/>
  <c r="AN33" i="25"/>
  <c r="AN32" i="25"/>
  <c r="AN31" i="25"/>
  <c r="AN30" i="25"/>
  <c r="AN29" i="25"/>
  <c r="AN28" i="25"/>
  <c r="AN27" i="25"/>
  <c r="AN26" i="25"/>
  <c r="AN25" i="25"/>
  <c r="AN24" i="25"/>
  <c r="AN23" i="25"/>
  <c r="AN22" i="25"/>
  <c r="AN21" i="25"/>
  <c r="AN20" i="25"/>
  <c r="AN19" i="25"/>
  <c r="AN18" i="25"/>
  <c r="AN17" i="25"/>
  <c r="AN16" i="25"/>
  <c r="AN15" i="25"/>
  <c r="AN14" i="25"/>
  <c r="AN13" i="25"/>
  <c r="AN12" i="25"/>
  <c r="AN11" i="25"/>
  <c r="AN10" i="25"/>
  <c r="AN9" i="25"/>
  <c r="AN8" i="25"/>
  <c r="AN7" i="25"/>
  <c r="AK74" i="25"/>
  <c r="AK73" i="25"/>
  <c r="AK72" i="25"/>
  <c r="AK71" i="25"/>
  <c r="AK70" i="25"/>
  <c r="AK69" i="25"/>
  <c r="AK68" i="25"/>
  <c r="AK67" i="25"/>
  <c r="AK66" i="25"/>
  <c r="AK65" i="25"/>
  <c r="AK64" i="25"/>
  <c r="AK63" i="25"/>
  <c r="AK62" i="25"/>
  <c r="AK61" i="25"/>
  <c r="AK60" i="25"/>
  <c r="AK59" i="25"/>
  <c r="AK58" i="25"/>
  <c r="AK57" i="25"/>
  <c r="AK56" i="25"/>
  <c r="AK55" i="25"/>
  <c r="AK54" i="25"/>
  <c r="AK53" i="25"/>
  <c r="AK52" i="25"/>
  <c r="AK51" i="25"/>
  <c r="AK50" i="25"/>
  <c r="AK49" i="25"/>
  <c r="AK48" i="25"/>
  <c r="AK47" i="25"/>
  <c r="AK46" i="25"/>
  <c r="AK45" i="25"/>
  <c r="AK44" i="25"/>
  <c r="AK43" i="25"/>
  <c r="AK42" i="25"/>
  <c r="AK41" i="25"/>
  <c r="AK40" i="25"/>
  <c r="AK39" i="25"/>
  <c r="AK38" i="25"/>
  <c r="AK37" i="25"/>
  <c r="AK36" i="25"/>
  <c r="AK35" i="25"/>
  <c r="AK34" i="25"/>
  <c r="AK33" i="25"/>
  <c r="AK32" i="25"/>
  <c r="AK31" i="25"/>
  <c r="AK30" i="25"/>
  <c r="AK29" i="25"/>
  <c r="AK28" i="25"/>
  <c r="AK27" i="25"/>
  <c r="AK26" i="25"/>
  <c r="AK25" i="25"/>
  <c r="AK24" i="25"/>
  <c r="AK23" i="25"/>
  <c r="AK22" i="25"/>
  <c r="AK21" i="25"/>
  <c r="AK20" i="25"/>
  <c r="AK19" i="25"/>
  <c r="AK18" i="25"/>
  <c r="AK17" i="25"/>
  <c r="AK16" i="25"/>
  <c r="AK15" i="25"/>
  <c r="AK14" i="25"/>
  <c r="AK13" i="25"/>
  <c r="AK12" i="25"/>
  <c r="AK11" i="25"/>
  <c r="AK10" i="25"/>
  <c r="AK9" i="25"/>
  <c r="AK8" i="25"/>
  <c r="AK7" i="25"/>
  <c r="AH74" i="25"/>
  <c r="AH73" i="25"/>
  <c r="AH72" i="25"/>
  <c r="AH71" i="25"/>
  <c r="AH70" i="25"/>
  <c r="AH69" i="25"/>
  <c r="AH68" i="25"/>
  <c r="AH67" i="25"/>
  <c r="AH66" i="25"/>
  <c r="AH65" i="25"/>
  <c r="AH64" i="25"/>
  <c r="AH63" i="25"/>
  <c r="AH62" i="25"/>
  <c r="AH61" i="25"/>
  <c r="AH60" i="25"/>
  <c r="AH59" i="25"/>
  <c r="AH58" i="25"/>
  <c r="AH57" i="25"/>
  <c r="AH56" i="25"/>
  <c r="AH55" i="25"/>
  <c r="AH54" i="25"/>
  <c r="AH53" i="25"/>
  <c r="AH52" i="25"/>
  <c r="AH51" i="25"/>
  <c r="AH50" i="25"/>
  <c r="AH49" i="25"/>
  <c r="AH48" i="25"/>
  <c r="AH47" i="25"/>
  <c r="AH46" i="25"/>
  <c r="AH45" i="25"/>
  <c r="AH44" i="25"/>
  <c r="AH43" i="25"/>
  <c r="AH42" i="25"/>
  <c r="AH41" i="25"/>
  <c r="AH40" i="25"/>
  <c r="AH39" i="25"/>
  <c r="AH38" i="25"/>
  <c r="AH37" i="25"/>
  <c r="AH36" i="25"/>
  <c r="AH35" i="25"/>
  <c r="AH34" i="25"/>
  <c r="AH33" i="25"/>
  <c r="AH32" i="25"/>
  <c r="AH31" i="25"/>
  <c r="AH30" i="25"/>
  <c r="AH29" i="25"/>
  <c r="AH28" i="25"/>
  <c r="AH27" i="25"/>
  <c r="AH26" i="25"/>
  <c r="AH25" i="25"/>
  <c r="AH24" i="25"/>
  <c r="AH23" i="25"/>
  <c r="AH22" i="25"/>
  <c r="AH21" i="25"/>
  <c r="AH20" i="25"/>
  <c r="AH19" i="25"/>
  <c r="AH18" i="25"/>
  <c r="AH17" i="25"/>
  <c r="AH16" i="25"/>
  <c r="AH15" i="25"/>
  <c r="AH14" i="25"/>
  <c r="AH13" i="25"/>
  <c r="AH12" i="25"/>
  <c r="AH11" i="25"/>
  <c r="AH10" i="25"/>
  <c r="AH9" i="25"/>
  <c r="AH8" i="25"/>
  <c r="AH7" i="25"/>
  <c r="AE74" i="25"/>
  <c r="AE73" i="25"/>
  <c r="AE72" i="25"/>
  <c r="AE71" i="25"/>
  <c r="AE70" i="25"/>
  <c r="AE69" i="25"/>
  <c r="AE68" i="25"/>
  <c r="AE67" i="25"/>
  <c r="AE66" i="25"/>
  <c r="AE65" i="25"/>
  <c r="AE64" i="25"/>
  <c r="AE63" i="25"/>
  <c r="AE62" i="25"/>
  <c r="AE61" i="25"/>
  <c r="AE60" i="25"/>
  <c r="AE59" i="25"/>
  <c r="AE58" i="25"/>
  <c r="AE57" i="25"/>
  <c r="AE56" i="25"/>
  <c r="AE55" i="25"/>
  <c r="AE54" i="25"/>
  <c r="AE53" i="25"/>
  <c r="AE52" i="25"/>
  <c r="AE51" i="25"/>
  <c r="AE50" i="25"/>
  <c r="AE49" i="25"/>
  <c r="AE48" i="25"/>
  <c r="AE47" i="25"/>
  <c r="AE46" i="25"/>
  <c r="AE45" i="25"/>
  <c r="AE44" i="25"/>
  <c r="AE43" i="25"/>
  <c r="AE42" i="25"/>
  <c r="AE41" i="25"/>
  <c r="AE40" i="25"/>
  <c r="AE39" i="25"/>
  <c r="AE38" i="25"/>
  <c r="AE37" i="25"/>
  <c r="AE36" i="25"/>
  <c r="AE35" i="25"/>
  <c r="AE34" i="25"/>
  <c r="AE33" i="25"/>
  <c r="AE32" i="25"/>
  <c r="AE31" i="25"/>
  <c r="AE30" i="25"/>
  <c r="AE29" i="25"/>
  <c r="AE28" i="25"/>
  <c r="AE27" i="25"/>
  <c r="AE26" i="25"/>
  <c r="AE25" i="25"/>
  <c r="AE24" i="25"/>
  <c r="AE23" i="25"/>
  <c r="AE22" i="25"/>
  <c r="AE21" i="25"/>
  <c r="AE20" i="25"/>
  <c r="AE19" i="25"/>
  <c r="AE18" i="25"/>
  <c r="AE17" i="25"/>
  <c r="AE16" i="25"/>
  <c r="AE15" i="25"/>
  <c r="AE14" i="25"/>
  <c r="AE13" i="25"/>
  <c r="AE12" i="25"/>
  <c r="AE11" i="25"/>
  <c r="AE10" i="25"/>
  <c r="AE9" i="25"/>
  <c r="AE8" i="25"/>
  <c r="AE7" i="25"/>
  <c r="AB74" i="25"/>
  <c r="AB73" i="25"/>
  <c r="AB72" i="25"/>
  <c r="AB71" i="25"/>
  <c r="AB70" i="25"/>
  <c r="AB69" i="25"/>
  <c r="AB68" i="25"/>
  <c r="AB67" i="25"/>
  <c r="AB66" i="25"/>
  <c r="AB65" i="25"/>
  <c r="AB64" i="25"/>
  <c r="AB63" i="25"/>
  <c r="AB62" i="25"/>
  <c r="AB61" i="25"/>
  <c r="AB60" i="25"/>
  <c r="AB59" i="25"/>
  <c r="AB58" i="25"/>
  <c r="AB57" i="25"/>
  <c r="AB56" i="25"/>
  <c r="AB55" i="25"/>
  <c r="AB54" i="25"/>
  <c r="AB53" i="25"/>
  <c r="AB52" i="25"/>
  <c r="AB51" i="25"/>
  <c r="AB50" i="25"/>
  <c r="AB49" i="25"/>
  <c r="AB48" i="25"/>
  <c r="AB47" i="25"/>
  <c r="AB46" i="25"/>
  <c r="AB45" i="25"/>
  <c r="AB44" i="25"/>
  <c r="AB43" i="25"/>
  <c r="AB42" i="25"/>
  <c r="AB41" i="25"/>
  <c r="AB40" i="25"/>
  <c r="AB39" i="25"/>
  <c r="AB38" i="25"/>
  <c r="AB37" i="25"/>
  <c r="AB36" i="25"/>
  <c r="AB35" i="25"/>
  <c r="AB34" i="25"/>
  <c r="AB33" i="25"/>
  <c r="AB32" i="25"/>
  <c r="AB31" i="25"/>
  <c r="AB30" i="25"/>
  <c r="AB29" i="25"/>
  <c r="AB28" i="25"/>
  <c r="AB27" i="25"/>
  <c r="AB26" i="25"/>
  <c r="AB25" i="25"/>
  <c r="AB24" i="25"/>
  <c r="AB23" i="25"/>
  <c r="AB22" i="25"/>
  <c r="AB21" i="25"/>
  <c r="AB20" i="25"/>
  <c r="AB19" i="25"/>
  <c r="AB18" i="25"/>
  <c r="AB17" i="25"/>
  <c r="AB16" i="25"/>
  <c r="AB15" i="25"/>
  <c r="AB14" i="25"/>
  <c r="AB13" i="25"/>
  <c r="AB12" i="25"/>
  <c r="AB11" i="25"/>
  <c r="AB10" i="25"/>
  <c r="AB9" i="25"/>
  <c r="AB8" i="25"/>
  <c r="AB7" i="25"/>
  <c r="Y74" i="25"/>
  <c r="Y73" i="25"/>
  <c r="Y72" i="25"/>
  <c r="Y71" i="25"/>
  <c r="Y70" i="25"/>
  <c r="Y69" i="25"/>
  <c r="Y68" i="25"/>
  <c r="Y67" i="25"/>
  <c r="Y66" i="25"/>
  <c r="Y65" i="25"/>
  <c r="Y64" i="25"/>
  <c r="Y63" i="25"/>
  <c r="Y62" i="25"/>
  <c r="Y61" i="25"/>
  <c r="Y60" i="25"/>
  <c r="Y59" i="25"/>
  <c r="Y58" i="25"/>
  <c r="Y57" i="25"/>
  <c r="Y56" i="25"/>
  <c r="Y55" i="25"/>
  <c r="Y54" i="25"/>
  <c r="Y53" i="25"/>
  <c r="Y52" i="25"/>
  <c r="Y51" i="25"/>
  <c r="Y50" i="25"/>
  <c r="Y49" i="25"/>
  <c r="Y48" i="25"/>
  <c r="Y47" i="25"/>
  <c r="Y46" i="25"/>
  <c r="Y45" i="25"/>
  <c r="Y44" i="25"/>
  <c r="Y43" i="25"/>
  <c r="Y42" i="25"/>
  <c r="Y41" i="25"/>
  <c r="Y40" i="25"/>
  <c r="Y39" i="25"/>
  <c r="Y38" i="25"/>
  <c r="Y37" i="25"/>
  <c r="Y36" i="25"/>
  <c r="Y35" i="25"/>
  <c r="Y34" i="25"/>
  <c r="Y33" i="25"/>
  <c r="Y32" i="25"/>
  <c r="Y31" i="25"/>
  <c r="Y30" i="25"/>
  <c r="Y29" i="25"/>
  <c r="Y28" i="25"/>
  <c r="Y27" i="25"/>
  <c r="Y26" i="25"/>
  <c r="Y25" i="25"/>
  <c r="Y24" i="25"/>
  <c r="Y23" i="25"/>
  <c r="Y22" i="25"/>
  <c r="Y21" i="25"/>
  <c r="Y20" i="25"/>
  <c r="Y19" i="25"/>
  <c r="Y18" i="25"/>
  <c r="Y17" i="25"/>
  <c r="Y16" i="25"/>
  <c r="Y15" i="25"/>
  <c r="Y14" i="25"/>
  <c r="Y13" i="25"/>
  <c r="Y12" i="25"/>
  <c r="Y11" i="25"/>
  <c r="Y10" i="25"/>
  <c r="Y9" i="25"/>
  <c r="Y8" i="25"/>
  <c r="Y7" i="25"/>
  <c r="V74" i="25"/>
  <c r="V73" i="25"/>
  <c r="V72" i="25"/>
  <c r="V71" i="25"/>
  <c r="V70" i="25"/>
  <c r="V69" i="25"/>
  <c r="V68" i="25"/>
  <c r="V67" i="25"/>
  <c r="V66" i="25"/>
  <c r="V65" i="25"/>
  <c r="V64" i="25"/>
  <c r="V63" i="25"/>
  <c r="V62" i="25"/>
  <c r="V61" i="25"/>
  <c r="V60" i="25"/>
  <c r="V59" i="25"/>
  <c r="V58" i="25"/>
  <c r="V57" i="25"/>
  <c r="V56" i="25"/>
  <c r="V55" i="25"/>
  <c r="V54" i="25"/>
  <c r="V53" i="25"/>
  <c r="V52" i="25"/>
  <c r="V51" i="25"/>
  <c r="V50" i="25"/>
  <c r="V49" i="25"/>
  <c r="V48" i="25"/>
  <c r="V47" i="25"/>
  <c r="V46" i="25"/>
  <c r="V45" i="25"/>
  <c r="V44" i="25"/>
  <c r="V43" i="25"/>
  <c r="V42" i="25"/>
  <c r="V41" i="25"/>
  <c r="V40" i="25"/>
  <c r="V39" i="25"/>
  <c r="V38" i="25"/>
  <c r="V37" i="25"/>
  <c r="V36" i="25"/>
  <c r="V35" i="25"/>
  <c r="V34" i="25"/>
  <c r="V33" i="25"/>
  <c r="V32" i="25"/>
  <c r="V31" i="25"/>
  <c r="V30" i="25"/>
  <c r="V29" i="25"/>
  <c r="V28" i="25"/>
  <c r="V27" i="25"/>
  <c r="V26" i="25"/>
  <c r="V25" i="25"/>
  <c r="V24" i="25"/>
  <c r="V23" i="25"/>
  <c r="V22" i="25"/>
  <c r="V21" i="25"/>
  <c r="V20" i="25"/>
  <c r="V19" i="25"/>
  <c r="V18" i="25"/>
  <c r="V17" i="25"/>
  <c r="V16" i="25"/>
  <c r="V15" i="25"/>
  <c r="V14" i="25"/>
  <c r="V13" i="25"/>
  <c r="V12" i="25"/>
  <c r="V11" i="25"/>
  <c r="V10" i="25"/>
  <c r="V9" i="25"/>
  <c r="V8" i="25"/>
  <c r="V7" i="25"/>
  <c r="S74" i="25"/>
  <c r="S73" i="25"/>
  <c r="S72" i="25"/>
  <c r="S71" i="25"/>
  <c r="S70" i="25"/>
  <c r="S69" i="25"/>
  <c r="S68" i="25"/>
  <c r="S67" i="25"/>
  <c r="S66" i="25"/>
  <c r="S65" i="25"/>
  <c r="S64" i="25"/>
  <c r="S63" i="25"/>
  <c r="S62" i="25"/>
  <c r="S61" i="25"/>
  <c r="S60" i="25"/>
  <c r="S59" i="25"/>
  <c r="S58" i="25"/>
  <c r="S57" i="25"/>
  <c r="S56" i="25"/>
  <c r="S55" i="25"/>
  <c r="S54" i="25"/>
  <c r="S53" i="25"/>
  <c r="S52" i="25"/>
  <c r="S51" i="25"/>
  <c r="S50" i="25"/>
  <c r="S49" i="25"/>
  <c r="S75" i="25" s="1"/>
  <c r="S48" i="25"/>
  <c r="S47" i="25"/>
  <c r="S46" i="25"/>
  <c r="S45" i="25"/>
  <c r="S44" i="25"/>
  <c r="S43" i="25"/>
  <c r="S42" i="25"/>
  <c r="S41" i="25"/>
  <c r="S40" i="25"/>
  <c r="S39" i="25"/>
  <c r="S38" i="25"/>
  <c r="S37" i="25"/>
  <c r="S36" i="25"/>
  <c r="S35" i="25"/>
  <c r="S34" i="25"/>
  <c r="S33" i="25"/>
  <c r="S32" i="25"/>
  <c r="S31" i="25"/>
  <c r="S30" i="25"/>
  <c r="S29" i="25"/>
  <c r="S28" i="25"/>
  <c r="S27" i="25"/>
  <c r="S26" i="25"/>
  <c r="S25" i="25"/>
  <c r="S24" i="25"/>
  <c r="S23" i="25"/>
  <c r="S22" i="25"/>
  <c r="S21" i="25"/>
  <c r="S20" i="25"/>
  <c r="S19" i="25"/>
  <c r="S18" i="25"/>
  <c r="S17" i="25"/>
  <c r="S16" i="25"/>
  <c r="S15" i="25"/>
  <c r="S14" i="25"/>
  <c r="S13" i="25"/>
  <c r="S12" i="25"/>
  <c r="S11" i="25"/>
  <c r="S10" i="25"/>
  <c r="S9" i="25"/>
  <c r="S8" i="25"/>
  <c r="S7" i="25"/>
  <c r="P74" i="25"/>
  <c r="P73" i="25"/>
  <c r="P72" i="25"/>
  <c r="P71" i="25"/>
  <c r="P70" i="25"/>
  <c r="P69" i="25"/>
  <c r="P68" i="25"/>
  <c r="P67" i="25"/>
  <c r="P66" i="25"/>
  <c r="P65" i="25"/>
  <c r="P64" i="25"/>
  <c r="P63" i="25"/>
  <c r="P62" i="25"/>
  <c r="P61" i="25"/>
  <c r="P60" i="25"/>
  <c r="P59" i="25"/>
  <c r="P58" i="25"/>
  <c r="P57" i="25"/>
  <c r="P56" i="25"/>
  <c r="P55" i="25"/>
  <c r="P54" i="25"/>
  <c r="P53" i="25"/>
  <c r="P52" i="25"/>
  <c r="P51" i="25"/>
  <c r="P50" i="25"/>
  <c r="P49" i="25"/>
  <c r="P48" i="25"/>
  <c r="P47" i="25"/>
  <c r="P46" i="25"/>
  <c r="P45" i="25"/>
  <c r="P44" i="25"/>
  <c r="P43" i="25"/>
  <c r="P42" i="25"/>
  <c r="P41" i="25"/>
  <c r="P40" i="25"/>
  <c r="P39" i="25"/>
  <c r="P38" i="25"/>
  <c r="P37" i="25"/>
  <c r="P36" i="25"/>
  <c r="P35" i="25"/>
  <c r="P34" i="25"/>
  <c r="P33" i="25"/>
  <c r="P32" i="25"/>
  <c r="P31" i="25"/>
  <c r="P30" i="25"/>
  <c r="P29" i="25"/>
  <c r="P28" i="25"/>
  <c r="P27" i="25"/>
  <c r="P26" i="25"/>
  <c r="P25" i="25"/>
  <c r="P24" i="25"/>
  <c r="P23" i="25"/>
  <c r="P22" i="25"/>
  <c r="P21" i="25"/>
  <c r="P20" i="25"/>
  <c r="P19" i="25"/>
  <c r="P18" i="25"/>
  <c r="P17" i="25"/>
  <c r="P16" i="25"/>
  <c r="P15" i="25"/>
  <c r="P14" i="25"/>
  <c r="P13" i="25"/>
  <c r="P12" i="25"/>
  <c r="P11" i="25"/>
  <c r="P10" i="25"/>
  <c r="P9" i="25"/>
  <c r="P8" i="25"/>
  <c r="P7" i="25"/>
  <c r="M64" i="25"/>
  <c r="M74" i="25"/>
  <c r="M73" i="25"/>
  <c r="M72" i="25"/>
  <c r="M71" i="25"/>
  <c r="M70" i="25"/>
  <c r="M69" i="25"/>
  <c r="M68" i="25"/>
  <c r="M67" i="25"/>
  <c r="M66" i="25"/>
  <c r="M65" i="25"/>
  <c r="M63" i="25"/>
  <c r="M62" i="25"/>
  <c r="M61" i="25"/>
  <c r="M60" i="25"/>
  <c r="M59" i="25"/>
  <c r="M58" i="25"/>
  <c r="M57" i="25"/>
  <c r="M56" i="25"/>
  <c r="M55" i="25"/>
  <c r="M54" i="25"/>
  <c r="M53" i="25"/>
  <c r="M52" i="25"/>
  <c r="M51" i="25"/>
  <c r="M50" i="25"/>
  <c r="M49" i="25"/>
  <c r="M48" i="25"/>
  <c r="M47" i="25"/>
  <c r="M46" i="25"/>
  <c r="M45" i="25"/>
  <c r="M44" i="25"/>
  <c r="M43" i="25"/>
  <c r="M42" i="25"/>
  <c r="M41" i="25"/>
  <c r="M40" i="25"/>
  <c r="M39" i="25"/>
  <c r="M38" i="25"/>
  <c r="M37" i="25"/>
  <c r="M36" i="25"/>
  <c r="M35" i="25"/>
  <c r="M34" i="25"/>
  <c r="M33" i="25"/>
  <c r="M32" i="25"/>
  <c r="M31" i="25"/>
  <c r="M30" i="25"/>
  <c r="M29" i="25"/>
  <c r="M28" i="25"/>
  <c r="M27" i="25"/>
  <c r="M26" i="25"/>
  <c r="M25" i="25"/>
  <c r="M24" i="25"/>
  <c r="M23" i="25"/>
  <c r="M22" i="25"/>
  <c r="M21" i="25"/>
  <c r="M20" i="25"/>
  <c r="M19" i="25"/>
  <c r="M18" i="25"/>
  <c r="M17" i="25"/>
  <c r="M16" i="25"/>
  <c r="M15" i="25"/>
  <c r="M14" i="25"/>
  <c r="M13" i="25"/>
  <c r="M12" i="25"/>
  <c r="M11" i="25"/>
  <c r="M10" i="25"/>
  <c r="M9" i="25"/>
  <c r="M8" i="25"/>
  <c r="M7" i="25"/>
  <c r="J74" i="25"/>
  <c r="J73" i="25"/>
  <c r="J72" i="25"/>
  <c r="J71" i="25"/>
  <c r="J70" i="25"/>
  <c r="J69" i="25"/>
  <c r="J68" i="25"/>
  <c r="J67" i="25"/>
  <c r="J66" i="25"/>
  <c r="J65" i="25"/>
  <c r="J64" i="25"/>
  <c r="J63" i="25"/>
  <c r="J62" i="25"/>
  <c r="J61" i="25"/>
  <c r="J60" i="25"/>
  <c r="J59" i="25"/>
  <c r="J58" i="25"/>
  <c r="J57" i="25"/>
  <c r="J56" i="25"/>
  <c r="J55" i="25"/>
  <c r="J54" i="25"/>
  <c r="J53" i="25"/>
  <c r="J52" i="25"/>
  <c r="J51" i="25"/>
  <c r="J50" i="25"/>
  <c r="J49" i="25"/>
  <c r="J48" i="25"/>
  <c r="J47" i="25"/>
  <c r="J46" i="25"/>
  <c r="J45" i="25"/>
  <c r="J44" i="25"/>
  <c r="J43" i="25"/>
  <c r="J42" i="25"/>
  <c r="J41" i="25"/>
  <c r="J40" i="25"/>
  <c r="J39" i="25"/>
  <c r="J38" i="25"/>
  <c r="J37" i="25"/>
  <c r="J36" i="25"/>
  <c r="J35" i="25"/>
  <c r="J34" i="25"/>
  <c r="J33" i="25"/>
  <c r="J32" i="25"/>
  <c r="J31" i="25"/>
  <c r="J30" i="25"/>
  <c r="J29" i="25"/>
  <c r="J28" i="25"/>
  <c r="J27" i="25"/>
  <c r="J26" i="25"/>
  <c r="J25" i="25"/>
  <c r="J24" i="25"/>
  <c r="J23" i="25"/>
  <c r="J22" i="25"/>
  <c r="J21" i="25"/>
  <c r="J20" i="25"/>
  <c r="J19" i="25"/>
  <c r="J18" i="25"/>
  <c r="J17" i="25"/>
  <c r="J16" i="25"/>
  <c r="J15" i="25"/>
  <c r="J14" i="25"/>
  <c r="J13" i="25"/>
  <c r="J12" i="25"/>
  <c r="J11" i="25"/>
  <c r="J10" i="25"/>
  <c r="J9" i="25"/>
  <c r="J8" i="25"/>
  <c r="J7" i="25"/>
  <c r="G74" i="25"/>
  <c r="G73" i="25"/>
  <c r="G72" i="25"/>
  <c r="G71" i="25"/>
  <c r="G70" i="25"/>
  <c r="G69" i="25"/>
  <c r="G68" i="25"/>
  <c r="G67" i="25"/>
  <c r="G66" i="25"/>
  <c r="G65" i="25"/>
  <c r="G64" i="25"/>
  <c r="G63" i="25"/>
  <c r="G62" i="25"/>
  <c r="G61" i="25"/>
  <c r="G60" i="25"/>
  <c r="G59" i="25"/>
  <c r="G58" i="25"/>
  <c r="G57" i="25"/>
  <c r="G56" i="25"/>
  <c r="G55" i="25"/>
  <c r="G54" i="25"/>
  <c r="G53" i="25"/>
  <c r="G52" i="25"/>
  <c r="G51" i="25"/>
  <c r="G50" i="25"/>
  <c r="G49" i="25"/>
  <c r="G48" i="25"/>
  <c r="G47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" i="25"/>
  <c r="E86" i="20" l="1"/>
  <c r="F86" i="20"/>
  <c r="G86" i="20"/>
  <c r="H86" i="20"/>
  <c r="I86" i="20"/>
  <c r="J86" i="20"/>
  <c r="K86" i="20"/>
  <c r="L86" i="20"/>
  <c r="M86" i="20"/>
  <c r="N86" i="20"/>
  <c r="O86" i="20"/>
  <c r="P86" i="20"/>
  <c r="Q86" i="20"/>
  <c r="R86" i="20"/>
  <c r="S86" i="20"/>
  <c r="T86" i="20"/>
  <c r="U86" i="20"/>
  <c r="V86" i="20"/>
  <c r="W86" i="20"/>
  <c r="X86" i="20"/>
  <c r="Y86" i="20"/>
  <c r="Z86" i="20"/>
  <c r="AA86" i="20"/>
  <c r="AB86" i="20"/>
  <c r="AC86" i="20"/>
  <c r="AD86" i="20"/>
  <c r="AE86" i="20"/>
  <c r="AF86" i="20"/>
  <c r="AG86" i="20"/>
  <c r="AH86" i="20"/>
  <c r="AI86" i="20"/>
  <c r="AJ86" i="20"/>
  <c r="AK86" i="20"/>
  <c r="AL86" i="20"/>
  <c r="AM86" i="20"/>
  <c r="AN86" i="20"/>
  <c r="AO86" i="20"/>
  <c r="AP86" i="20"/>
  <c r="AQ86" i="20"/>
  <c r="AR86" i="20"/>
  <c r="AS86" i="20"/>
  <c r="AT86" i="20"/>
  <c r="AU86" i="20"/>
  <c r="AV86" i="20"/>
  <c r="AW86" i="20"/>
  <c r="AX86" i="20"/>
  <c r="AY86" i="20"/>
  <c r="AZ86" i="20"/>
  <c r="BA86" i="20"/>
  <c r="BB86" i="20"/>
  <c r="BC86" i="20"/>
  <c r="BD86" i="20"/>
  <c r="BE86" i="20"/>
  <c r="BF86" i="20"/>
  <c r="BG86" i="20"/>
  <c r="BH86" i="20"/>
  <c r="BI86" i="20"/>
  <c r="BJ86" i="20"/>
  <c r="BK86" i="20"/>
  <c r="BL86" i="20"/>
  <c r="BM86" i="20"/>
  <c r="BN86" i="20"/>
  <c r="BO86" i="20"/>
  <c r="BP86" i="20"/>
  <c r="BQ86" i="20"/>
  <c r="BR86" i="20"/>
  <c r="BS86" i="20"/>
  <c r="BT86" i="20"/>
  <c r="D86" i="20"/>
</calcChain>
</file>

<file path=xl/sharedStrings.xml><?xml version="1.0" encoding="utf-8"?>
<sst xmlns="http://schemas.openxmlformats.org/spreadsheetml/2006/main" count="2798" uniqueCount="226">
  <si>
    <t>Содержание</t>
  </si>
  <si>
    <t>Методологические пояснения</t>
  </si>
  <si>
    <t>1 серия Статистика национальных счетов</t>
  </si>
  <si>
    <t>Ресурсы в основных ценах, переход к ценам покупателя</t>
  </si>
  <si>
    <t>Использование товаров и услуг в ценах покупателя</t>
  </si>
  <si>
    <t>Транспортные наценки</t>
  </si>
  <si>
    <t>Использование товаров и услуг в основных ценах</t>
  </si>
  <si>
    <t>Итого</t>
  </si>
  <si>
    <t>Прямые покупки на внутреннем рынке, совершаемые нерезидентами</t>
  </si>
  <si>
    <t>Прямые покупки за рубежом, совершаемые резидентами</t>
  </si>
  <si>
    <t>Услуги домашних хозяйств, нанимающих домашнюю прислугу и услуги по производству товаров и услуг для собственного потребления</t>
  </si>
  <si>
    <t>97-98</t>
  </si>
  <si>
    <t>Услуги социальные</t>
  </si>
  <si>
    <t>87-88</t>
  </si>
  <si>
    <t>Услуги в области здравоохранения</t>
  </si>
  <si>
    <t>86</t>
  </si>
  <si>
    <t>Услуги в области образования</t>
  </si>
  <si>
    <t>85</t>
  </si>
  <si>
    <t>Услуги в области государственного управления и обороны; услуги по обязательному социальному обеспечению</t>
  </si>
  <si>
    <t>84</t>
  </si>
  <si>
    <t>Услуги, связанные с имуществом недвижимым</t>
  </si>
  <si>
    <t>68</t>
  </si>
  <si>
    <t>66</t>
  </si>
  <si>
    <t>65</t>
  </si>
  <si>
    <t>Услуги финансовые, кроме услуг по страхованию и обеспечению пенсионному</t>
  </si>
  <si>
    <t>64</t>
  </si>
  <si>
    <t>Услуги связи</t>
  </si>
  <si>
    <t>61</t>
  </si>
  <si>
    <t>Услуги по предоставлению продуктов питания и напитков</t>
  </si>
  <si>
    <t>56</t>
  </si>
  <si>
    <t>Услуги по организации проживания</t>
  </si>
  <si>
    <t>55</t>
  </si>
  <si>
    <t>Услуги почтовые и курьерские</t>
  </si>
  <si>
    <t>53</t>
  </si>
  <si>
    <t>Услуги по хранению и услуги транспортные вспомогательные</t>
  </si>
  <si>
    <t>52</t>
  </si>
  <si>
    <t>Услуги воздушного транспорта</t>
  </si>
  <si>
    <t>51</t>
  </si>
  <si>
    <t>Услуги водного транспорта</t>
  </si>
  <si>
    <t>50</t>
  </si>
  <si>
    <t>Услуги сухопутного транспорта и транспортирование по трубопроводам</t>
  </si>
  <si>
    <t>49</t>
  </si>
  <si>
    <t>Услуги по торговле розничной, за исключением автомобилями и мотоциклами</t>
  </si>
  <si>
    <t>47</t>
  </si>
  <si>
    <t>Услуги по торговле оптовой, кроме торговли автомобилями и мотоциклами</t>
  </si>
  <si>
    <t>46</t>
  </si>
  <si>
    <t>45</t>
  </si>
  <si>
    <t>Здания и работы строительные</t>
  </si>
  <si>
    <t>41-43</t>
  </si>
  <si>
    <t>Услуги по снабжению паром и воздухом охлажденным</t>
  </si>
  <si>
    <t>353</t>
  </si>
  <si>
    <t>Газ отопительный; услуги по распределению топлива газообразного трубопроводного</t>
  </si>
  <si>
    <t>352</t>
  </si>
  <si>
    <t>Услуги по производству и распределению электроэнергии</t>
  </si>
  <si>
    <t>351</t>
  </si>
  <si>
    <t>33</t>
  </si>
  <si>
    <t>Изделия готовые прочие</t>
  </si>
  <si>
    <t>32</t>
  </si>
  <si>
    <t>Мебель</t>
  </si>
  <si>
    <t>31</t>
  </si>
  <si>
    <t>Оборудование транспортное прочее</t>
  </si>
  <si>
    <t>30</t>
  </si>
  <si>
    <t>Автомобили, прицепы и полуприцепы</t>
  </si>
  <si>
    <t>29</t>
  </si>
  <si>
    <t>26</t>
  </si>
  <si>
    <t>Изделия металлические готовые, кроме машин и оборудования</t>
  </si>
  <si>
    <t>25</t>
  </si>
  <si>
    <t>Изделия минеральные неметаллические прочие</t>
  </si>
  <si>
    <t>Продукты фармацевтические и препараты фармацевтические основные</t>
  </si>
  <si>
    <t>21</t>
  </si>
  <si>
    <t>Продукты переработки нефти</t>
  </si>
  <si>
    <t>192</t>
  </si>
  <si>
    <t>Продукция печей коксовых</t>
  </si>
  <si>
    <t>191</t>
  </si>
  <si>
    <t>Услуги по печатанию и воспроизведению</t>
  </si>
  <si>
    <t>18</t>
  </si>
  <si>
    <t>Бумага и изделия бумажные</t>
  </si>
  <si>
    <t>17</t>
  </si>
  <si>
    <t>Древесина и изделия из древесины и пробки (кроме мебели), изделия из соломки и материалов для плетения</t>
  </si>
  <si>
    <t>16</t>
  </si>
  <si>
    <t>Кожа и изделия из кожи</t>
  </si>
  <si>
    <t>15</t>
  </si>
  <si>
    <t>Одежда</t>
  </si>
  <si>
    <t>Изделия табачные</t>
  </si>
  <si>
    <t>12</t>
  </si>
  <si>
    <t>Услуги вспомогательные в области горнодобывающей промышленности</t>
  </si>
  <si>
    <t>09</t>
  </si>
  <si>
    <t>Уголь каменный и лигнит</t>
  </si>
  <si>
    <t>05</t>
  </si>
  <si>
    <t>Рыба и продукция рыболовства прочая; аквакультура; услуги вспомогательные в области рыболовства</t>
  </si>
  <si>
    <t>03</t>
  </si>
  <si>
    <t>02</t>
  </si>
  <si>
    <t>94-96</t>
  </si>
  <si>
    <t>90-93</t>
  </si>
  <si>
    <t>36-39</t>
  </si>
  <si>
    <t>28</t>
  </si>
  <si>
    <t>27</t>
  </si>
  <si>
    <t>23</t>
  </si>
  <si>
    <t>22</t>
  </si>
  <si>
    <t>20</t>
  </si>
  <si>
    <t>14</t>
  </si>
  <si>
    <t>13</t>
  </si>
  <si>
    <t>08</t>
  </si>
  <si>
    <t>01</t>
  </si>
  <si>
    <t>Ресурсы в ценах покупателя</t>
  </si>
  <si>
    <t>Налоги на продукты (НДС, акцизы, таможенные пошлины)</t>
  </si>
  <si>
    <t>Чистые налоги на продукты</t>
  </si>
  <si>
    <t xml:space="preserve">Транспортные 
наценки </t>
  </si>
  <si>
    <t>Торговые наценки</t>
  </si>
  <si>
    <t>Ресурсы продукции в основных ценах</t>
  </si>
  <si>
    <t>Импорт  товаров и   услуг</t>
  </si>
  <si>
    <t>Всего по отраслям</t>
  </si>
  <si>
    <t>тыс. тенге</t>
  </si>
  <si>
    <t>Общий спрос на товары и услуги</t>
  </si>
  <si>
    <t>Конечный спрос</t>
  </si>
  <si>
    <t>Экспорт товаров и услуг</t>
  </si>
  <si>
    <t>Валовое накопление, всего</t>
  </si>
  <si>
    <t>Приобретение минус выбытие ценностей</t>
  </si>
  <si>
    <t>Изменение запасов материальных оборотных средств</t>
  </si>
  <si>
    <t xml:space="preserve">Валовое накопление основного капитала </t>
  </si>
  <si>
    <t>Конечное потребление, всего</t>
  </si>
  <si>
    <t>Расходы на конечное потребление НКООДХ</t>
  </si>
  <si>
    <t>Расходы на конечное потребление домашних хозяйств</t>
  </si>
  <si>
    <t xml:space="preserve">Использование продукции в отраслях экономики </t>
  </si>
  <si>
    <t>E-mail: ai.nursultanova@aspire.gov.kz</t>
  </si>
  <si>
    <t>Тел. +7 7172 74 95 26</t>
  </si>
  <si>
    <t>1. Ресурсы в основных ценах, переход к ценам покупателя</t>
  </si>
  <si>
    <t xml:space="preserve">8. Использование отечественной продукции (товаров и услуг) </t>
  </si>
  <si>
    <t>7. Использование импортной продукции (товаров и услуг)</t>
  </si>
  <si>
    <t>6. Использование товаров и услуг в основных ценах</t>
  </si>
  <si>
    <t>5. Чистые налоги на продукты</t>
  </si>
  <si>
    <t>4. Транспортные наценки</t>
  </si>
  <si>
    <t>3. Торговые наценки</t>
  </si>
  <si>
    <t>2. Использование товаров и услуг в ценах покупателя</t>
  </si>
  <si>
    <t>Продукция лесного хозяйства, лесозаготовок и услуг в этих областях</t>
  </si>
  <si>
    <t xml:space="preserve">Компьютеры, продукция электронная и оптическая </t>
  </si>
  <si>
    <t xml:space="preserve">Услуги по ремонту и установке машин и оборудования </t>
  </si>
  <si>
    <t xml:space="preserve">Услуги по торговле оптовой и розничной; услуги по ремонту автомобилей и мотоциклов </t>
  </si>
  <si>
    <t xml:space="preserve">Услуги по страхованию, перестрахованию и пенсионному обеспечению, кроме услуг по обязательному социальному обеспечению </t>
  </si>
  <si>
    <t xml:space="preserve">Услуги вспомогательные по отношению к финансовому посредничеству и страхованию </t>
  </si>
  <si>
    <t>Корректировка СИФ/ФОБ</t>
  </si>
  <si>
    <t xml:space="preserve">Всего выпуск </t>
  </si>
  <si>
    <t>Оплата труда</t>
  </si>
  <si>
    <t>Другие налоги на производство за вычетом субсидий на производство</t>
  </si>
  <si>
    <t>Потребление основного капитала</t>
  </si>
  <si>
    <t>Валовая добавленная стоимость</t>
  </si>
  <si>
    <t>Выпуск в основных ценах</t>
  </si>
  <si>
    <t>№</t>
  </si>
  <si>
    <t>Код</t>
  </si>
  <si>
    <t>Ответственные за выпуск:</t>
  </si>
  <si>
    <t>Использование импортной продукции (товаров и услуг)</t>
  </si>
  <si>
    <t xml:space="preserve">Использование отечественной продукции (товаров и услуг) </t>
  </si>
  <si>
    <t>Матрица коэффициентов полных затрат отражает технологическую взаимозависимость между производством и спросом на выпускаемую продукцию с точки зрения конечного потребления.
Основная цена – цена, получаемая производителем за единицу товара или услуги, исключая любые подлежащие уплате налоги на продукты и включая субсидии на продукты (кроме субсидий на импорт).
Цена покупателя - это сумма, уплачиваемая покупателем за поставку товара или услуги в установленные покупателем сроки и месте. Включает следующие элементы:
-основная цена товара или услуги;
-торгово-транспортные наценки;
-налоги на продукты, включая невычитаемый НДС, налоги на импорт, экспорт.
Выпуск продукции представляет собой суммарную стоимость товаров и услуг, произведенных в экономике в отчетном периоде.
Промежуточное потребление - это стоимость товаров и услуг, которые трансформируются или полностью потребляются в процессе производства в отчетном периоде.
Конечное использование включает расходы на конечное потребление домашних хозяйств, расходы органов государственного управления на конечное потребление (на коллективное и индивидуальное потребление), расходы  некоммерческих организаций обслуживающих домашние хозяйства, валовое накопление.
Валовая добавленная стоимость отражает образование первичных доходов в результате процесса производства товаров и услуг. Исчисляется как разность между выпуском товаров и услуг и их промежуточным потреблением.</t>
  </si>
  <si>
    <t>Ресурсы в основных ценах</t>
  </si>
  <si>
    <t>Импорт товаров и услуг</t>
  </si>
  <si>
    <t>Услуги прочие</t>
  </si>
  <si>
    <t>Услуги в области искусства, развлечений и отдыха</t>
  </si>
  <si>
    <t>Услуги в области административного и вспомогательного обслуживания</t>
  </si>
  <si>
    <t>77-82</t>
  </si>
  <si>
    <t>Услуги профессиональные, научные и технические</t>
  </si>
  <si>
    <t>69-75</t>
  </si>
  <si>
    <t>Услуги по информации</t>
  </si>
  <si>
    <t>Водоснабжение; канализационная система, услуги по сбору и удалению отходов</t>
  </si>
  <si>
    <t>Машины и оборудование, не включенные в другие группировки</t>
  </si>
  <si>
    <t>Оборудование электрическое</t>
  </si>
  <si>
    <t>Услуги производства литейного</t>
  </si>
  <si>
    <t>245</t>
  </si>
  <si>
    <t>Металлы драгоценные основные и металлы цветные прочие</t>
  </si>
  <si>
    <t>244</t>
  </si>
  <si>
    <t>Продукция первичной обработки стали прочая</t>
  </si>
  <si>
    <t>243</t>
  </si>
  <si>
    <t>Трубы разных диаметров, профили полые и фитинги для труб разных диаметров из стали</t>
  </si>
  <si>
    <t>242</t>
  </si>
  <si>
    <t>Металлы черные основные: железо, чугун, сталь и ферросплавы</t>
  </si>
  <si>
    <t>241</t>
  </si>
  <si>
    <t>Изделия резиновые и пластмассовые</t>
  </si>
  <si>
    <t>Вещества химические и продукты химические</t>
  </si>
  <si>
    <t>Текстиль</t>
  </si>
  <si>
    <t>Продукты пищевые и напитки</t>
  </si>
  <si>
    <t>10-11</t>
  </si>
  <si>
    <t>Продукция горнодобывающей промышленности</t>
  </si>
  <si>
    <t>Руды металлов цветных</t>
  </si>
  <si>
    <t>072</t>
  </si>
  <si>
    <t>Руды железные</t>
  </si>
  <si>
    <t>071</t>
  </si>
  <si>
    <t>Газ природный в жидком или газообразном состоянии</t>
  </si>
  <si>
    <t>062</t>
  </si>
  <si>
    <t>Нефть сырая</t>
  </si>
  <si>
    <t>061</t>
  </si>
  <si>
    <t>Продукция сельского хозяйства, охоты и сопутствующие услуги</t>
  </si>
  <si>
    <t>Дата релиза: 22.12.2022</t>
  </si>
  <si>
    <t>9 . Коэффициенты прямых затрат</t>
  </si>
  <si>
    <t>10.  Коэффициенты полных затрат</t>
  </si>
  <si>
    <t>Расходы на конечное потребление органов государственного управления, всего</t>
  </si>
  <si>
    <t>Наценки</t>
  </si>
  <si>
    <t>Использовано в ценах покупателя</t>
  </si>
  <si>
    <t>Департамент национальных счетов</t>
  </si>
  <si>
    <t xml:space="preserve">А.Накипбеков </t>
  </si>
  <si>
    <t xml:space="preserve">58-63, кроме 61 </t>
  </si>
  <si>
    <t>58-63, кроме 61</t>
  </si>
  <si>
    <t>Коэффициенты прямых затрат</t>
  </si>
  <si>
    <t>Коэффициенты полных затрат</t>
  </si>
  <si>
    <t>Симметричные таблицы «Затраты – Выпуск» построены до 68 видов продукции. Для каждой продукции выполняется балансовое тождество: ресурсы равны использованию.
Исходной основой для составления симметричных таблиц «Затраты – Выпуск» являются таблицы ресурсов и использования.
Таблицы «Затраты – Выпуск» составляются «продукт на продукт».
Данные сформированы в основных ценах и ценах покупателя. В таблице ресурсов раскрывается процесс производства и показывается переход от основных цен к ценам покупателя. Таблица использования содержит информацию о промежуточном потреблении и конечном использовании и  включает три квадранта.
I квадрант содержит информацию о промежуточном потреблении продукции. 
II квадрант характеризует конечный спрос по его функциональным элементам (расходам на конечное потребление, валовое накопление, экспорт в разрезе выделенных группировок товаров и услуг).
В III квадранте отражена валовая добавленная стоимость. 
В таблицах промежуточного и конечного использования в ценах покупателей затраты по каждой группе товаров и услуг I и II квадрантов отражаются в ценах покупателей.  Сумма показателей I и III квадрантов, характеризуют выпуск в основных ценах. Для обеспечения согласования показателей выпуска в основных ценах с использованием ресурсов в ценах покупателей, в таблице ресурсов выделены специальные столбцы, в которых показаны транспортные и торгово-посреднические наценки, налоги и субсидии на продукты.
Матрица коэффициентов прямых затрат отражает использование продукции в качестве промежуточных затрат на единицу выпускаемой продукции.</t>
  </si>
  <si>
    <t>Директор департамента:</t>
  </si>
  <si>
    <t>Исполнитель: А.Нурсултанова</t>
  </si>
  <si>
    <r>
      <rPr>
        <b/>
        <sz val="8"/>
        <color theme="1"/>
        <rFont val="Roboto"/>
        <charset val="204"/>
      </rPr>
      <t xml:space="preserve">Адрес: </t>
    </r>
    <r>
      <rPr>
        <sz val="8"/>
        <color theme="1"/>
        <rFont val="Roboto"/>
        <charset val="204"/>
      </rPr>
      <t>010000, г.Астана</t>
    </r>
  </si>
  <si>
    <t>пр. Мәңгілік ел, 8</t>
  </si>
  <si>
    <t>Тел. +7 7172 74 97 17</t>
  </si>
  <si>
    <t xml:space="preserve">Дом Министерств, 4 подъезд 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</si>
  <si>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</si>
  <si>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</si>
  <si>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</si>
  <si>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</si>
  <si>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</si>
  <si>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</si>
  <si>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Субсидии на продукты</t>
  </si>
  <si>
    <t xml:space="preserve">Чистая прибыль, чистый смешанный доход </t>
  </si>
  <si>
    <t>Таблицы «Затраты - Выпуск» 
Республики Казахстан за 2024 год</t>
  </si>
  <si>
    <t>2024 год</t>
  </si>
  <si>
    <t>Дата опубликования: 19.12.2025</t>
  </si>
  <si>
    <t>Дата следующего опубликования: 18.12.2026</t>
  </si>
  <si>
    <t xml:space="preserve">© Бюро национальной статистики Агентства по стратегическому планированию и реформам Республики Казахстан </t>
  </si>
  <si>
    <t>№ 4-15/7197</t>
  </si>
  <si>
    <t>Продукция</t>
  </si>
  <si>
    <r>
      <t xml:space="preserve">Вклад в экономику </t>
    </r>
    <r>
      <rPr>
        <i/>
        <sz val="10"/>
        <color indexed="8"/>
        <rFont val="Times New Roman"/>
        <family val="1"/>
        <charset val="204"/>
      </rPr>
      <t>(мультипликатор ВВП за вычетом чистых налогов),           в коэфф.</t>
    </r>
  </si>
  <si>
    <r>
      <t xml:space="preserve">Основные мультипликаторы                                                         </t>
    </r>
    <r>
      <rPr>
        <i/>
        <sz val="14"/>
        <color indexed="8"/>
        <rFont val="Times New Roman"/>
        <family val="1"/>
        <charset val="204"/>
      </rPr>
      <t>(за вычетом горнодобывающей промышленности и сфер услуг)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</si>
</sst>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#"/>
    <numFmt numFmtId="165" formatCode="###\ ###\ ###\ ##0"/>
    <numFmt numFmtId="166" formatCode="###\ ###\ ###\ ###\ ##0"/>
    <numFmt numFmtId="167" formatCode="0.0"/>
    <numFmt numFmtId="168" formatCode="#,##0.000000"/>
    <numFmt numFmtId="169" formatCode="#,###.00"/>
  </numFmts>
  <fonts count="27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 Cyr"/>
      <charset val="204"/>
    </font>
    <font>
      <sz val="11"/>
      <color indexed="8"/>
      <name val="Calibri"/>
      <family val="2"/>
      <scheme val="minor"/>
    </font>
    <font>
      <u/>
      <sz val="8.8000000000000007"/>
      <color theme="10"/>
      <name val="Calibri"/>
      <family val="2"/>
    </font>
    <font>
      <sz val="9"/>
      <color theme="1"/>
      <name val="Calibri"/>
      <family val="2"/>
      <charset val="204"/>
      <scheme val="minor"/>
    </font>
    <font>
      <sz val="10"/>
      <name val="MS Sans Serif"/>
      <family val="2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sz val="12"/>
      <name val="Roboto"/>
      <charset val="204"/>
    </font>
    <font>
      <b/>
      <sz val="12"/>
      <name val="Roboto"/>
      <charset val="204"/>
    </font>
    <font>
      <sz val="10"/>
      <name val="Roboto"/>
      <charset val="204"/>
    </font>
    <font>
      <b/>
      <sz val="10"/>
      <name val="Roboto"/>
      <charset val="204"/>
    </font>
    <font>
      <sz val="10"/>
      <color theme="1"/>
      <name val="Roboto"/>
      <charset val="204"/>
    </font>
    <font>
      <sz val="8"/>
      <color theme="1"/>
      <name val="Roboto"/>
      <charset val="204"/>
    </font>
    <font>
      <b/>
      <sz val="8"/>
      <color theme="1"/>
      <name val="Roboto"/>
      <charset val="204"/>
    </font>
    <font>
      <sz val="8"/>
      <name val="Roboto"/>
      <charset val="204"/>
    </font>
    <font>
      <sz val="8"/>
      <color rgb="FFFF0000"/>
      <name val="Roboto"/>
      <charset val="204"/>
    </font>
    <font>
      <sz val="10"/>
      <color indexed="8"/>
      <name val="Roboto"/>
      <charset val="204"/>
    </font>
    <font>
      <i/>
      <sz val="8"/>
      <name val="Roboto"/>
      <charset val="204"/>
    </font>
    <font>
      <u/>
      <sz val="10"/>
      <name val="Roboto"/>
      <charset val="204"/>
    </font>
    <font>
      <b/>
      <sz val="8"/>
      <color theme="1"/>
      <name val="Roboto"/>
      <charset val="1"/>
    </font>
    <font>
      <sz val="14"/>
      <color indexed="8"/>
      <name val="Times New Roman"/>
      <family val="1"/>
      <charset val="204"/>
    </font>
    <font>
      <i/>
      <sz val="14"/>
      <color indexed="8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sz val="8"/>
      <color theme="1"/>
      <name val="Roboto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6" fillId="0" borderId="0"/>
  </cellStyleXfs>
  <cellXfs count="127">
    <xf numFmtId="0" fontId="0" fillId="0" borderId="0" xfId="0"/>
    <xf numFmtId="0" fontId="7" fillId="0" borderId="0" xfId="1" applyFont="1" applyAlignment="1">
      <alignment vertical="top" wrapText="1"/>
    </xf>
    <xf numFmtId="0" fontId="7" fillId="0" borderId="0" xfId="1" applyNumberFormat="1" applyFont="1" applyFill="1" applyBorder="1" applyAlignment="1" applyProtection="1">
      <alignment vertical="top"/>
    </xf>
    <xf numFmtId="0" fontId="7" fillId="0" borderId="0" xfId="1" applyFont="1" applyBorder="1" applyAlignment="1">
      <alignment vertical="top" wrapText="1"/>
    </xf>
    <xf numFmtId="0" fontId="7" fillId="0" borderId="0" xfId="1" applyFont="1" applyBorder="1" applyAlignment="1"/>
    <xf numFmtId="0" fontId="7" fillId="0" borderId="0" xfId="1" applyFont="1" applyBorder="1"/>
    <xf numFmtId="0" fontId="7" fillId="0" borderId="0" xfId="1" applyFont="1"/>
    <xf numFmtId="0" fontId="7" fillId="0" borderId="0" xfId="1" applyFont="1" applyBorder="1" applyAlignment="1">
      <alignment horizontal="left" vertical="top" wrapText="1"/>
    </xf>
    <xf numFmtId="166" fontId="7" fillId="0" borderId="0" xfId="1" applyNumberFormat="1" applyFont="1" applyBorder="1"/>
    <xf numFmtId="166" fontId="7" fillId="0" borderId="0" xfId="1" applyNumberFormat="1" applyFont="1" applyBorder="1" applyAlignment="1">
      <alignment horizontal="right"/>
    </xf>
    <xf numFmtId="167" fontId="7" fillId="0" borderId="0" xfId="1" applyNumberFormat="1" applyFont="1" applyBorder="1"/>
    <xf numFmtId="0" fontId="7" fillId="0" borderId="0" xfId="1" applyFont="1" applyBorder="1" applyAlignment="1">
      <alignment wrapText="1"/>
    </xf>
    <xf numFmtId="3" fontId="7" fillId="0" borderId="0" xfId="1" applyNumberFormat="1" applyFont="1"/>
    <xf numFmtId="166" fontId="7" fillId="0" borderId="0" xfId="1" applyNumberFormat="1" applyFont="1" applyAlignment="1">
      <alignment horizontal="right"/>
    </xf>
    <xf numFmtId="0" fontId="11" fillId="0" borderId="0" xfId="1" applyFont="1" applyAlignment="1">
      <alignment horizontal="center"/>
    </xf>
    <xf numFmtId="0" fontId="10" fillId="0" borderId="0" xfId="1" applyFont="1"/>
    <xf numFmtId="0" fontId="10" fillId="0" borderId="0" xfId="1" applyFont="1" applyAlignment="1">
      <alignment horizontal="right"/>
    </xf>
    <xf numFmtId="0" fontId="12" fillId="0" borderId="0" xfId="1" applyFont="1"/>
    <xf numFmtId="0" fontId="13" fillId="0" borderId="0" xfId="1" applyFont="1" applyAlignment="1">
      <alignment horizontal="center" vertical="top"/>
    </xf>
    <xf numFmtId="0" fontId="12" fillId="0" borderId="0" xfId="1" applyFont="1" applyAlignment="1"/>
    <xf numFmtId="0" fontId="13" fillId="0" borderId="0" xfId="1" applyFont="1" applyAlignment="1">
      <alignment horizontal="justify" vertical="top"/>
    </xf>
    <xf numFmtId="0" fontId="12" fillId="0" borderId="0" xfId="1" applyFont="1" applyBorder="1"/>
    <xf numFmtId="0" fontId="13" fillId="0" borderId="0" xfId="1" applyFont="1" applyBorder="1" applyAlignment="1">
      <alignment horizontal="justify" vertical="top"/>
    </xf>
    <xf numFmtId="0" fontId="12" fillId="0" borderId="0" xfId="0" applyFont="1"/>
    <xf numFmtId="0" fontId="15" fillId="0" borderId="0" xfId="6" applyFont="1"/>
    <xf numFmtId="0" fontId="16" fillId="0" borderId="0" xfId="6" applyFont="1"/>
    <xf numFmtId="0" fontId="17" fillId="0" borderId="0" xfId="6" applyFont="1" applyFill="1" applyAlignment="1">
      <alignment horizontal="left"/>
    </xf>
    <xf numFmtId="0" fontId="15" fillId="0" borderId="0" xfId="6" applyFont="1" applyFill="1"/>
    <xf numFmtId="0" fontId="15" fillId="0" borderId="0" xfId="6" applyFont="1" applyAlignment="1">
      <alignment horizontal="right"/>
    </xf>
    <xf numFmtId="0" fontId="17" fillId="0" borderId="0" xfId="6" applyFont="1" applyFill="1" applyAlignment="1">
      <alignment horizontal="right"/>
    </xf>
    <xf numFmtId="0" fontId="15" fillId="0" borderId="1" xfId="0" applyFont="1" applyBorder="1"/>
    <xf numFmtId="0" fontId="17" fillId="0" borderId="4" xfId="0" applyFont="1" applyBorder="1" applyAlignment="1">
      <alignment horizontal="center" vertical="center"/>
    </xf>
    <xf numFmtId="165" fontId="17" fillId="0" borderId="5" xfId="7" applyNumberFormat="1" applyFont="1" applyFill="1" applyBorder="1" applyAlignment="1">
      <alignment horizontal="center" vertical="top" wrapText="1" shrinkToFit="1"/>
    </xf>
    <xf numFmtId="165" fontId="17" fillId="0" borderId="1" xfId="7" applyNumberFormat="1" applyFont="1" applyFill="1" applyBorder="1" applyAlignment="1">
      <alignment horizontal="center" vertical="top" wrapText="1" shrinkToFit="1"/>
    </xf>
    <xf numFmtId="0" fontId="17" fillId="0" borderId="1" xfId="6" applyFont="1" applyFill="1" applyBorder="1" applyAlignment="1">
      <alignment horizontal="center" vertical="top" wrapText="1"/>
    </xf>
    <xf numFmtId="3" fontId="17" fillId="0" borderId="1" xfId="7" applyNumberFormat="1" applyFont="1" applyFill="1" applyBorder="1" applyAlignment="1">
      <alignment horizontal="center" vertical="top" wrapText="1" shrinkToFit="1"/>
    </xf>
    <xf numFmtId="0" fontId="15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center"/>
    </xf>
    <xf numFmtId="0" fontId="17" fillId="0" borderId="0" xfId="6" applyFont="1" applyFill="1" applyBorder="1" applyAlignment="1">
      <alignment horizontal="center" vertical="justify"/>
    </xf>
    <xf numFmtId="0" fontId="15" fillId="0" borderId="0" xfId="0" applyFont="1" applyBorder="1" applyAlignment="1">
      <alignment horizontal="left" wrapText="1"/>
    </xf>
    <xf numFmtId="164" fontId="15" fillId="0" borderId="0" xfId="0" applyNumberFormat="1" applyFont="1" applyBorder="1" applyAlignment="1">
      <alignment horizontal="right"/>
    </xf>
    <xf numFmtId="3" fontId="15" fillId="0" borderId="0" xfId="6" applyNumberFormat="1" applyFont="1"/>
    <xf numFmtId="164" fontId="15" fillId="0" borderId="0" xfId="6" applyNumberFormat="1" applyFont="1"/>
    <xf numFmtId="0" fontId="17" fillId="0" borderId="3" xfId="6" applyFont="1" applyFill="1" applyBorder="1" applyAlignment="1">
      <alignment horizontal="center" vertical="justify"/>
    </xf>
    <xf numFmtId="3" fontId="15" fillId="0" borderId="3" xfId="0" applyNumberFormat="1" applyFont="1" applyBorder="1" applyAlignment="1">
      <alignment horizontal="right"/>
    </xf>
    <xf numFmtId="0" fontId="18" fillId="0" borderId="0" xfId="6" applyFont="1" applyFill="1"/>
    <xf numFmtId="0" fontId="15" fillId="0" borderId="0" xfId="6" applyFont="1" applyFill="1" applyBorder="1" applyAlignment="1">
      <alignment horizontal="left" wrapText="1"/>
    </xf>
    <xf numFmtId="164" fontId="15" fillId="0" borderId="3" xfId="0" applyNumberFormat="1" applyFont="1" applyBorder="1" applyAlignment="1">
      <alignment horizontal="right"/>
    </xf>
    <xf numFmtId="0" fontId="15" fillId="0" borderId="0" xfId="6" applyFont="1" applyFill="1" applyBorder="1"/>
    <xf numFmtId="0" fontId="17" fillId="0" borderId="0" xfId="0" applyFont="1" applyBorder="1"/>
    <xf numFmtId="0" fontId="18" fillId="0" borderId="0" xfId="0" applyFont="1" applyBorder="1"/>
    <xf numFmtId="0" fontId="18" fillId="0" borderId="3" xfId="0" applyFont="1" applyBorder="1"/>
    <xf numFmtId="0" fontId="15" fillId="0" borderId="0" xfId="6" applyFont="1" applyBorder="1"/>
    <xf numFmtId="0" fontId="17" fillId="0" borderId="0" xfId="2" applyFont="1" applyFill="1" applyBorder="1" applyAlignment="1">
      <alignment wrapText="1"/>
    </xf>
    <xf numFmtId="0" fontId="15" fillId="0" borderId="0" xfId="6" applyFont="1" applyFill="1" applyBorder="1" applyAlignment="1">
      <alignment horizontal="left"/>
    </xf>
    <xf numFmtId="0" fontId="15" fillId="0" borderId="0" xfId="6" applyFont="1" applyFill="1" applyBorder="1" applyAlignment="1">
      <alignment vertical="top"/>
    </xf>
    <xf numFmtId="0" fontId="15" fillId="0" borderId="3" xfId="6" applyFont="1" applyFill="1" applyBorder="1" applyAlignment="1">
      <alignment horizontal="left" wrapText="1"/>
    </xf>
    <xf numFmtId="168" fontId="15" fillId="0" borderId="0" xfId="0" applyNumberFormat="1" applyFont="1" applyBorder="1" applyAlignment="1">
      <alignment horizontal="right"/>
    </xf>
    <xf numFmtId="168" fontId="15" fillId="0" borderId="3" xfId="0" applyNumberFormat="1" applyFont="1" applyBorder="1" applyAlignment="1">
      <alignment horizontal="right"/>
    </xf>
    <xf numFmtId="0" fontId="16" fillId="0" borderId="3" xfId="0" applyFont="1" applyBorder="1" applyAlignment="1">
      <alignment horizontal="left" wrapText="1"/>
    </xf>
    <xf numFmtId="0" fontId="16" fillId="0" borderId="0" xfId="0" applyFont="1" applyBorder="1" applyAlignment="1">
      <alignment horizontal="left" wrapText="1"/>
    </xf>
    <xf numFmtId="3" fontId="15" fillId="0" borderId="0" xfId="0" applyNumberFormat="1" applyFont="1" applyBorder="1" applyAlignment="1">
      <alignment horizontal="right"/>
    </xf>
    <xf numFmtId="0" fontId="15" fillId="0" borderId="0" xfId="6" applyFont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vertical="top"/>
    </xf>
    <xf numFmtId="0" fontId="17" fillId="0" borderId="0" xfId="0" applyFont="1" applyFill="1" applyBorder="1" applyAlignment="1">
      <alignment horizontal="left"/>
    </xf>
    <xf numFmtId="0" fontId="17" fillId="0" borderId="3" xfId="0" applyFont="1" applyFill="1" applyBorder="1" applyAlignment="1">
      <alignment horizontal="left"/>
    </xf>
    <xf numFmtId="0" fontId="17" fillId="0" borderId="0" xfId="0" applyFont="1" applyFill="1" applyBorder="1" applyAlignment="1">
      <alignment horizontal="left" wrapText="1"/>
    </xf>
    <xf numFmtId="0" fontId="17" fillId="0" borderId="0" xfId="6" applyFont="1" applyFill="1" applyBorder="1" applyAlignment="1">
      <alignment horizontal="left"/>
    </xf>
    <xf numFmtId="0" fontId="17" fillId="0" borderId="3" xfId="6" applyFont="1" applyFill="1" applyBorder="1" applyAlignment="1">
      <alignment horizontal="left"/>
    </xf>
    <xf numFmtId="0" fontId="16" fillId="0" borderId="2" xfId="0" applyFont="1" applyBorder="1"/>
    <xf numFmtId="0" fontId="15" fillId="0" borderId="2" xfId="0" applyFont="1" applyBorder="1"/>
    <xf numFmtId="0" fontId="15" fillId="0" borderId="0" xfId="0" applyFont="1" applyBorder="1"/>
    <xf numFmtId="0" fontId="15" fillId="0" borderId="3" xfId="0" applyFont="1" applyBorder="1"/>
    <xf numFmtId="0" fontId="19" fillId="0" borderId="0" xfId="4" applyFont="1" applyAlignment="1"/>
    <xf numFmtId="0" fontId="12" fillId="0" borderId="0" xfId="4" applyFont="1"/>
    <xf numFmtId="0" fontId="12" fillId="0" borderId="0" xfId="4" applyFont="1" applyAlignment="1">
      <alignment vertical="top" wrapText="1"/>
    </xf>
    <xf numFmtId="0" fontId="12" fillId="0" borderId="0" xfId="4" applyFont="1" applyAlignment="1"/>
    <xf numFmtId="0" fontId="20" fillId="0" borderId="0" xfId="4" applyFont="1" applyAlignment="1">
      <alignment horizontal="right"/>
    </xf>
    <xf numFmtId="0" fontId="21" fillId="0" borderId="0" xfId="5" applyFont="1" applyBorder="1" applyAlignment="1" applyProtection="1">
      <alignment horizontal="left" wrapText="1" indent="1"/>
    </xf>
    <xf numFmtId="0" fontId="12" fillId="0" borderId="0" xfId="1" applyFont="1" applyAlignment="1"/>
    <xf numFmtId="0" fontId="10" fillId="0" borderId="0" xfId="1" applyFont="1" applyAlignment="1">
      <alignment horizontal="right" vertical="center"/>
    </xf>
    <xf numFmtId="0" fontId="21" fillId="0" borderId="0" xfId="5" applyFont="1" applyBorder="1" applyAlignment="1" applyProtection="1">
      <alignment horizontal="right" wrapText="1" indent="1"/>
    </xf>
    <xf numFmtId="0" fontId="13" fillId="0" borderId="0" xfId="1" applyFont="1" applyAlignment="1">
      <alignment vertical="top"/>
    </xf>
    <xf numFmtId="0" fontId="9" fillId="0" borderId="0" xfId="1" applyNumberFormat="1" applyFont="1" applyFill="1" applyBorder="1" applyAlignment="1" applyProtection="1">
      <alignment vertical="top"/>
    </xf>
    <xf numFmtId="14" fontId="17" fillId="0" borderId="3" xfId="0" applyNumberFormat="1" applyFont="1" applyBorder="1" applyAlignment="1">
      <alignment horizontal="left"/>
    </xf>
    <xf numFmtId="0" fontId="14" fillId="0" borderId="0" xfId="6" applyFont="1" applyAlignment="1">
      <alignment horizontal="left"/>
    </xf>
    <xf numFmtId="169" fontId="15" fillId="0" borderId="0" xfId="0" applyNumberFormat="1" applyFont="1" applyBorder="1" applyAlignment="1">
      <alignment horizontal="right"/>
    </xf>
    <xf numFmtId="169" fontId="15" fillId="2" borderId="0" xfId="0" applyNumberFormat="1" applyFont="1" applyFill="1" applyBorder="1" applyAlignment="1">
      <alignment horizontal="center" vertical="center"/>
    </xf>
    <xf numFmtId="0" fontId="18" fillId="0" borderId="0" xfId="6" applyFont="1" applyFill="1" applyAlignment="1">
      <alignment horizontal="center" vertical="center"/>
    </xf>
    <xf numFmtId="0" fontId="15" fillId="0" borderId="0" xfId="6" applyFont="1" applyFill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" fontId="15" fillId="2" borderId="0" xfId="6" applyNumberFormat="1" applyFont="1" applyFill="1" applyBorder="1" applyAlignment="1">
      <alignment horizontal="center" vertical="center" wrapText="1"/>
    </xf>
    <xf numFmtId="2" fontId="15" fillId="2" borderId="3" xfId="6" applyNumberFormat="1" applyFont="1" applyFill="1" applyBorder="1" applyAlignment="1">
      <alignment horizontal="center" vertical="center" wrapText="1"/>
    </xf>
    <xf numFmtId="0" fontId="15" fillId="0" borderId="0" xfId="6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0" xfId="6" applyFont="1" applyFill="1" applyBorder="1" applyAlignment="1">
      <alignment horizontal="center" vertical="center"/>
    </xf>
    <xf numFmtId="0" fontId="17" fillId="0" borderId="0" xfId="2" applyFont="1" applyFill="1" applyBorder="1" applyAlignment="1">
      <alignment horizontal="center" vertical="center" wrapText="1"/>
    </xf>
    <xf numFmtId="4" fontId="15" fillId="3" borderId="0" xfId="6" applyNumberFormat="1" applyFont="1" applyFill="1" applyBorder="1" applyAlignment="1">
      <alignment horizontal="center" vertical="center" wrapText="1"/>
    </xf>
    <xf numFmtId="0" fontId="17" fillId="0" borderId="0" xfId="6" applyFont="1" applyFill="1" applyBorder="1" applyAlignment="1">
      <alignment horizontal="center" vertical="center"/>
    </xf>
    <xf numFmtId="4" fontId="15" fillId="0" borderId="0" xfId="6" applyNumberFormat="1" applyFont="1" applyFill="1" applyBorder="1" applyAlignment="1">
      <alignment horizontal="center" vertical="center" wrapText="1"/>
    </xf>
    <xf numFmtId="164" fontId="15" fillId="0" borderId="0" xfId="0" applyNumberFormat="1" applyFont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4" fontId="22" fillId="0" borderId="0" xfId="6" applyNumberFormat="1" applyFont="1" applyFill="1" applyBorder="1" applyAlignment="1">
      <alignment horizontal="center" vertical="center" wrapText="1"/>
    </xf>
    <xf numFmtId="4" fontId="22" fillId="3" borderId="0" xfId="6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" fontId="23" fillId="0" borderId="0" xfId="0" applyNumberFormat="1" applyFont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4" fontId="23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7" fillId="0" borderId="0" xfId="1" applyFont="1" applyAlignment="1">
      <alignment vertical="top" wrapText="1"/>
    </xf>
    <xf numFmtId="0" fontId="9" fillId="0" borderId="0" xfId="1" applyFont="1" applyBorder="1" applyAlignment="1"/>
    <xf numFmtId="0" fontId="9" fillId="0" borderId="0" xfId="1" applyFont="1" applyBorder="1" applyAlignment="1">
      <alignment horizontal="left"/>
    </xf>
    <xf numFmtId="0" fontId="8" fillId="0" borderId="0" xfId="1" applyNumberFormat="1" applyFont="1" applyFill="1" applyBorder="1" applyAlignment="1" applyProtection="1">
      <alignment horizontal="left" vertical="top" wrapText="1"/>
    </xf>
    <xf numFmtId="0" fontId="20" fillId="0" borderId="0" xfId="2" applyFont="1" applyFill="1" applyAlignment="1">
      <alignment horizontal="left" vertical="top"/>
    </xf>
    <xf numFmtId="0" fontId="15" fillId="0" borderId="0" xfId="4" applyFont="1" applyAlignment="1">
      <alignment horizontal="left" vertical="top"/>
    </xf>
    <xf numFmtId="0" fontId="11" fillId="0" borderId="0" xfId="1" applyFont="1" applyBorder="1" applyAlignment="1">
      <alignment horizontal="left" wrapText="1"/>
    </xf>
    <xf numFmtId="0" fontId="14" fillId="0" borderId="0" xfId="0" applyFont="1" applyAlignment="1">
      <alignment horizontal="justify" vertical="top" wrapText="1"/>
    </xf>
    <xf numFmtId="0" fontId="14" fillId="0" borderId="0" xfId="0" applyFont="1" applyAlignment="1">
      <alignment horizontal="justify" vertical="top"/>
    </xf>
    <xf numFmtId="0" fontId="13" fillId="0" borderId="0" xfId="6" applyFont="1" applyAlignment="1">
      <alignment horizontal="left" vertical="center"/>
    </xf>
    <xf numFmtId="0" fontId="14" fillId="0" borderId="0" xfId="6" applyFont="1" applyAlignment="1">
      <alignment horizontal="left"/>
    </xf>
    <xf numFmtId="0" fontId="23" fillId="0" borderId="0" xfId="0" applyFont="1" applyAlignment="1">
      <alignment horizontal="center" vertical="center" wrapText="1"/>
    </xf>
    <xf numFmtId="4" fontId="15" fillId="4" borderId="0" xfId="6" applyNumberFormat="1" applyFont="1" applyFill="1" applyBorder="1" applyAlignment="1">
      <alignment horizontal="center" vertical="center" wrapText="1"/>
    </xf>
    <xf numFmtId="4" fontId="26" fillId="4" borderId="0" xfId="6" applyNumberFormat="1" applyFont="1" applyFill="1" applyBorder="1" applyAlignment="1">
      <alignment horizontal="center" vertical="center" wrapText="1"/>
    </xf>
  </cellXfs>
  <cellStyles count="8">
    <cellStyle name="Гиперссылка" xfId="5" builtinId="8"/>
    <cellStyle name="Обычный" xfId="0" builtinId="0"/>
    <cellStyle name="Обычный 2" xfId="1"/>
    <cellStyle name="Обычный 2 2" xfId="2"/>
    <cellStyle name="Обычный 3" xfId="3"/>
    <cellStyle name="Обычный 4" xfId="4"/>
    <cellStyle name="Обычный 5" xfId="6"/>
    <cellStyle name="Обычный_tri2000short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1</xdr:rowOff>
    </xdr:from>
    <xdr:to>
      <xdr:col>6</xdr:col>
      <xdr:colOff>133350</xdr:colOff>
      <xdr:row>5</xdr:row>
      <xdr:rowOff>19050</xdr:rowOff>
    </xdr:to>
    <xdr:pic>
      <xdr:nvPicPr>
        <xdr:cNvPr id="4" name="Рисунок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457201"/>
          <a:ext cx="3790949" cy="9334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" name="Rectangle 4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79848074" y="164972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" name="Rectangle 4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79848074" y="164972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" name="Rectangle 4">
          <a:extLst>
            <a:ext uri="{FF2B5EF4-FFF2-40B4-BE49-F238E27FC236}">
              <a16:creationId xmlns="" xmlns:a16="http://schemas.microsoft.com/office/drawing/2014/main" id="{00000000-0008-0000-0300-00000A000000}"/>
            </a:ext>
          </a:extLst>
        </xdr:cNvPr>
        <xdr:cNvSpPr>
          <a:spLocks noChangeArrowheads="1"/>
        </xdr:cNvSpPr>
      </xdr:nvSpPr>
      <xdr:spPr bwMode="auto">
        <a:xfrm>
          <a:off x="79848074" y="164972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" name="Rectangle 4">
          <a:extLst>
            <a:ext uri="{FF2B5EF4-FFF2-40B4-BE49-F238E27FC236}">
              <a16:creationId xmlns="" xmlns:a16="http://schemas.microsoft.com/office/drawing/2014/main" id="{00000000-0008-0000-0300-00000B000000}"/>
            </a:ext>
          </a:extLst>
        </xdr:cNvPr>
        <xdr:cNvSpPr>
          <a:spLocks noChangeArrowheads="1"/>
        </xdr:cNvSpPr>
      </xdr:nvSpPr>
      <xdr:spPr bwMode="auto">
        <a:xfrm>
          <a:off x="79848074" y="164972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" name="Rectangle 4">
          <a:extLst>
            <a:ext uri="{FF2B5EF4-FFF2-40B4-BE49-F238E27FC236}">
              <a16:creationId xmlns="" xmlns:a16="http://schemas.microsoft.com/office/drawing/2014/main" id="{00000000-0008-0000-0300-00000D000000}"/>
            </a:ext>
          </a:extLst>
        </xdr:cNvPr>
        <xdr:cNvSpPr>
          <a:spLocks noChangeArrowheads="1"/>
        </xdr:cNvSpPr>
      </xdr:nvSpPr>
      <xdr:spPr bwMode="auto">
        <a:xfrm>
          <a:off x="79848074" y="164972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" name="Rectangle 4">
          <a:extLst>
            <a:ext uri="{FF2B5EF4-FFF2-40B4-BE49-F238E27FC236}">
              <a16:creationId xmlns="" xmlns:a16="http://schemas.microsoft.com/office/drawing/2014/main" id="{00000000-0008-0000-0300-00000E000000}"/>
            </a:ext>
          </a:extLst>
        </xdr:cNvPr>
        <xdr:cNvSpPr>
          <a:spLocks noChangeArrowheads="1"/>
        </xdr:cNvSpPr>
      </xdr:nvSpPr>
      <xdr:spPr bwMode="auto">
        <a:xfrm>
          <a:off x="79848074" y="164972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" name="Rectangle 4">
          <a:extLst>
            <a:ext uri="{FF2B5EF4-FFF2-40B4-BE49-F238E27FC236}">
              <a16:creationId xmlns="" xmlns:a16="http://schemas.microsoft.com/office/drawing/2014/main" id="{00000000-0008-0000-0300-00001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2" name="Rectangle 4">
          <a:extLst>
            <a:ext uri="{FF2B5EF4-FFF2-40B4-BE49-F238E27FC236}">
              <a16:creationId xmlns="" xmlns:a16="http://schemas.microsoft.com/office/drawing/2014/main" id="{00000000-0008-0000-0300-00002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4" name="Rectangle 4">
          <a:extLst>
            <a:ext uri="{FF2B5EF4-FFF2-40B4-BE49-F238E27FC236}">
              <a16:creationId xmlns="" xmlns:a16="http://schemas.microsoft.com/office/drawing/2014/main" id="{00000000-0008-0000-0300-00002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5" name="Rectangle 4">
          <a:extLst>
            <a:ext uri="{FF2B5EF4-FFF2-40B4-BE49-F238E27FC236}">
              <a16:creationId xmlns="" xmlns:a16="http://schemas.microsoft.com/office/drawing/2014/main" id="{00000000-0008-0000-0300-00002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7" name="Rectangle 4">
          <a:extLst>
            <a:ext uri="{FF2B5EF4-FFF2-40B4-BE49-F238E27FC236}">
              <a16:creationId xmlns="" xmlns:a16="http://schemas.microsoft.com/office/drawing/2014/main" id="{00000000-0008-0000-0300-00002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8" name="Rectangle 4">
          <a:extLst>
            <a:ext uri="{FF2B5EF4-FFF2-40B4-BE49-F238E27FC236}">
              <a16:creationId xmlns="" xmlns:a16="http://schemas.microsoft.com/office/drawing/2014/main" id="{00000000-0008-0000-0300-00002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9" name="Rectangle 4">
          <a:extLst>
            <a:ext uri="{FF2B5EF4-FFF2-40B4-BE49-F238E27FC236}">
              <a16:creationId xmlns="" xmlns:a16="http://schemas.microsoft.com/office/drawing/2014/main" id="{00000000-0008-0000-0300-00001D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0" name="Rectangle 4">
          <a:extLst>
            <a:ext uri="{FF2B5EF4-FFF2-40B4-BE49-F238E27FC236}">
              <a16:creationId xmlns="" xmlns:a16="http://schemas.microsoft.com/office/drawing/2014/main" id="{00000000-0008-0000-0300-00001E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3" name="Rectangle 4">
          <a:extLst>
            <a:ext uri="{FF2B5EF4-FFF2-40B4-BE49-F238E27FC236}">
              <a16:creationId xmlns="" xmlns:a16="http://schemas.microsoft.com/office/drawing/2014/main" id="{00000000-0008-0000-0300-00002B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4" name="Rectangle 4">
          <a:extLst>
            <a:ext uri="{FF2B5EF4-FFF2-40B4-BE49-F238E27FC236}">
              <a16:creationId xmlns="" xmlns:a16="http://schemas.microsoft.com/office/drawing/2014/main" id="{00000000-0008-0000-0300-00002C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6" name="Rectangle 4">
          <a:extLst>
            <a:ext uri="{FF2B5EF4-FFF2-40B4-BE49-F238E27FC236}">
              <a16:creationId xmlns="" xmlns:a16="http://schemas.microsoft.com/office/drawing/2014/main" id="{00000000-0008-0000-0300-00002E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7" name="Rectangle 4">
          <a:extLst>
            <a:ext uri="{FF2B5EF4-FFF2-40B4-BE49-F238E27FC236}">
              <a16:creationId xmlns="" xmlns:a16="http://schemas.microsoft.com/office/drawing/2014/main" id="{00000000-0008-0000-0300-00002F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0" name="Rectangle 4">
          <a:extLst>
            <a:ext uri="{FF2B5EF4-FFF2-40B4-BE49-F238E27FC236}">
              <a16:creationId xmlns="" xmlns:a16="http://schemas.microsoft.com/office/drawing/2014/main" id="{00000000-0008-0000-0300-000032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1" name="Rectangle 4">
          <a:extLst>
            <a:ext uri="{FF2B5EF4-FFF2-40B4-BE49-F238E27FC236}">
              <a16:creationId xmlns="" xmlns:a16="http://schemas.microsoft.com/office/drawing/2014/main" id="{00000000-0008-0000-0300-000033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3" name="Rectangle 4">
          <a:extLst>
            <a:ext uri="{FF2B5EF4-FFF2-40B4-BE49-F238E27FC236}">
              <a16:creationId xmlns="" xmlns:a16="http://schemas.microsoft.com/office/drawing/2014/main" id="{00000000-0008-0000-0300-00003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4" name="Rectangle 4">
          <a:extLst>
            <a:ext uri="{FF2B5EF4-FFF2-40B4-BE49-F238E27FC236}">
              <a16:creationId xmlns="" xmlns:a16="http://schemas.microsoft.com/office/drawing/2014/main" id="{00000000-0008-0000-0300-000036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6" name="Rectangle 4">
          <a:extLst>
            <a:ext uri="{FF2B5EF4-FFF2-40B4-BE49-F238E27FC236}">
              <a16:creationId xmlns="" xmlns:a16="http://schemas.microsoft.com/office/drawing/2014/main" id="{00000000-0008-0000-0300-000038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7" name="Rectangle 4">
          <a:extLst>
            <a:ext uri="{FF2B5EF4-FFF2-40B4-BE49-F238E27FC236}">
              <a16:creationId xmlns="" xmlns:a16="http://schemas.microsoft.com/office/drawing/2014/main" id="{00000000-0008-0000-0300-000039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1133474</xdr:rowOff>
    </xdr:from>
    <xdr:to>
      <xdr:col>2</xdr:col>
      <xdr:colOff>2333624</xdr:colOff>
      <xdr:row>3</xdr:row>
      <xdr:rowOff>1285874</xdr:rowOff>
    </xdr:to>
    <xdr:sp macro="" textlink="">
      <xdr:nvSpPr>
        <xdr:cNvPr id="61" name="Rectangle 4">
          <a:extLst>
            <a:ext uri="{FF2B5EF4-FFF2-40B4-BE49-F238E27FC236}">
              <a16:creationId xmlns="" xmlns:a16="http://schemas.microsoft.com/office/drawing/2014/main" id="{00000000-0008-0000-0300-00003D000000}"/>
            </a:ext>
          </a:extLst>
        </xdr:cNvPr>
        <xdr:cNvSpPr>
          <a:spLocks noChangeArrowheads="1"/>
        </xdr:cNvSpPr>
      </xdr:nvSpPr>
      <xdr:spPr bwMode="auto">
        <a:xfrm>
          <a:off x="3200399" y="1581149"/>
          <a:ext cx="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1057274</xdr:rowOff>
    </xdr:from>
    <xdr:to>
      <xdr:col>2</xdr:col>
      <xdr:colOff>2333624</xdr:colOff>
      <xdr:row>3</xdr:row>
      <xdr:rowOff>1057274</xdr:rowOff>
    </xdr:to>
    <xdr:sp macro="" textlink="">
      <xdr:nvSpPr>
        <xdr:cNvPr id="62" name="Rectangle 4">
          <a:extLst>
            <a:ext uri="{FF2B5EF4-FFF2-40B4-BE49-F238E27FC236}">
              <a16:creationId xmlns="" xmlns:a16="http://schemas.microsoft.com/office/drawing/2014/main" id="{00000000-0008-0000-0300-00003E000000}"/>
            </a:ext>
          </a:extLst>
        </xdr:cNvPr>
        <xdr:cNvSpPr>
          <a:spLocks noChangeArrowheads="1"/>
        </xdr:cNvSpPr>
      </xdr:nvSpPr>
      <xdr:spPr bwMode="auto">
        <a:xfrm>
          <a:off x="3200399" y="150494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4</xdr:row>
      <xdr:rowOff>1904</xdr:rowOff>
    </xdr:from>
    <xdr:to>
      <xdr:col>2</xdr:col>
      <xdr:colOff>2333624</xdr:colOff>
      <xdr:row>4</xdr:row>
      <xdr:rowOff>1904</xdr:rowOff>
    </xdr:to>
    <xdr:sp macro="" textlink="">
      <xdr:nvSpPr>
        <xdr:cNvPr id="33" name="Rectangle 4">
          <a:extLst>
            <a:ext uri="{FF2B5EF4-FFF2-40B4-BE49-F238E27FC236}">
              <a16:creationId xmlns="" xmlns:a16="http://schemas.microsoft.com/office/drawing/2014/main" id="{00000000-0008-0000-0300-000021000000}"/>
            </a:ext>
          </a:extLst>
        </xdr:cNvPr>
        <xdr:cNvSpPr>
          <a:spLocks noChangeArrowheads="1"/>
        </xdr:cNvSpPr>
      </xdr:nvSpPr>
      <xdr:spPr bwMode="auto">
        <a:xfrm>
          <a:off x="82848449" y="161162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4</xdr:row>
      <xdr:rowOff>1904</xdr:rowOff>
    </xdr:from>
    <xdr:to>
      <xdr:col>2</xdr:col>
      <xdr:colOff>2333624</xdr:colOff>
      <xdr:row>4</xdr:row>
      <xdr:rowOff>1904</xdr:rowOff>
    </xdr:to>
    <xdr:sp macro="" textlink="">
      <xdr:nvSpPr>
        <xdr:cNvPr id="36" name="Rectangle 4">
          <a:extLst>
            <a:ext uri="{FF2B5EF4-FFF2-40B4-BE49-F238E27FC236}">
              <a16:creationId xmlns="" xmlns:a16="http://schemas.microsoft.com/office/drawing/2014/main" id="{00000000-0008-0000-0300-000024000000}"/>
            </a:ext>
          </a:extLst>
        </xdr:cNvPr>
        <xdr:cNvSpPr>
          <a:spLocks noChangeArrowheads="1"/>
        </xdr:cNvSpPr>
      </xdr:nvSpPr>
      <xdr:spPr bwMode="auto">
        <a:xfrm>
          <a:off x="82848449" y="161162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466725</xdr:colOff>
      <xdr:row>4</xdr:row>
      <xdr:rowOff>295275</xdr:rowOff>
    </xdr:from>
    <xdr:to>
      <xdr:col>2</xdr:col>
      <xdr:colOff>1057275</xdr:colOff>
      <xdr:row>4</xdr:row>
      <xdr:rowOff>485775</xdr:rowOff>
    </xdr:to>
    <xdr:sp macro="" textlink="">
      <xdr:nvSpPr>
        <xdr:cNvPr id="39" name="Rectangle 1">
          <a:extLst>
            <a:ext uri="{FF2B5EF4-FFF2-40B4-BE49-F238E27FC236}">
              <a16:creationId xmlns="" xmlns:a16="http://schemas.microsoft.com/office/drawing/2014/main" id="{00000000-0008-0000-0300-000027000000}"/>
            </a:ext>
          </a:extLst>
        </xdr:cNvPr>
        <xdr:cNvSpPr>
          <a:spLocks noChangeArrowheads="1"/>
        </xdr:cNvSpPr>
      </xdr:nvSpPr>
      <xdr:spPr bwMode="auto">
        <a:xfrm>
          <a:off x="80981550" y="1905000"/>
          <a:ext cx="5905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2333624</xdr:colOff>
      <xdr:row>4</xdr:row>
      <xdr:rowOff>1904</xdr:rowOff>
    </xdr:from>
    <xdr:to>
      <xdr:col>2</xdr:col>
      <xdr:colOff>2333624</xdr:colOff>
      <xdr:row>4</xdr:row>
      <xdr:rowOff>1904</xdr:rowOff>
    </xdr:to>
    <xdr:sp macro="" textlink="">
      <xdr:nvSpPr>
        <xdr:cNvPr id="41" name="Rectangle 4">
          <a:extLst>
            <a:ext uri="{FF2B5EF4-FFF2-40B4-BE49-F238E27FC236}">
              <a16:creationId xmlns="" xmlns:a16="http://schemas.microsoft.com/office/drawing/2014/main" id="{00000000-0008-0000-0300-000029000000}"/>
            </a:ext>
          </a:extLst>
        </xdr:cNvPr>
        <xdr:cNvSpPr>
          <a:spLocks noChangeArrowheads="1"/>
        </xdr:cNvSpPr>
      </xdr:nvSpPr>
      <xdr:spPr bwMode="auto">
        <a:xfrm>
          <a:off x="82848449" y="161162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4</xdr:row>
      <xdr:rowOff>1904</xdr:rowOff>
    </xdr:from>
    <xdr:to>
      <xdr:col>2</xdr:col>
      <xdr:colOff>2333624</xdr:colOff>
      <xdr:row>4</xdr:row>
      <xdr:rowOff>1904</xdr:rowOff>
    </xdr:to>
    <xdr:sp macro="" textlink="">
      <xdr:nvSpPr>
        <xdr:cNvPr id="42" name="Rectangle 4">
          <a:extLst>
            <a:ext uri="{FF2B5EF4-FFF2-40B4-BE49-F238E27FC236}">
              <a16:creationId xmlns="" xmlns:a16="http://schemas.microsoft.com/office/drawing/2014/main" id="{00000000-0008-0000-0300-00002A000000}"/>
            </a:ext>
          </a:extLst>
        </xdr:cNvPr>
        <xdr:cNvSpPr>
          <a:spLocks noChangeArrowheads="1"/>
        </xdr:cNvSpPr>
      </xdr:nvSpPr>
      <xdr:spPr bwMode="auto">
        <a:xfrm>
          <a:off x="82848449" y="161162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4</xdr:row>
      <xdr:rowOff>1904</xdr:rowOff>
    </xdr:from>
    <xdr:to>
      <xdr:col>2</xdr:col>
      <xdr:colOff>2333624</xdr:colOff>
      <xdr:row>4</xdr:row>
      <xdr:rowOff>1904</xdr:rowOff>
    </xdr:to>
    <xdr:sp macro="" textlink="">
      <xdr:nvSpPr>
        <xdr:cNvPr id="49" name="Rectangle 4">
          <a:extLst>
            <a:ext uri="{FF2B5EF4-FFF2-40B4-BE49-F238E27FC236}">
              <a16:creationId xmlns="" xmlns:a16="http://schemas.microsoft.com/office/drawing/2014/main" id="{00000000-0008-0000-0300-000031000000}"/>
            </a:ext>
          </a:extLst>
        </xdr:cNvPr>
        <xdr:cNvSpPr>
          <a:spLocks noChangeArrowheads="1"/>
        </xdr:cNvSpPr>
      </xdr:nvSpPr>
      <xdr:spPr bwMode="auto">
        <a:xfrm>
          <a:off x="82848449" y="161162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4</xdr:row>
      <xdr:rowOff>1904</xdr:rowOff>
    </xdr:from>
    <xdr:to>
      <xdr:col>2</xdr:col>
      <xdr:colOff>2333624</xdr:colOff>
      <xdr:row>4</xdr:row>
      <xdr:rowOff>1904</xdr:rowOff>
    </xdr:to>
    <xdr:sp macro="" textlink="">
      <xdr:nvSpPr>
        <xdr:cNvPr id="52" name="Rectangle 4">
          <a:extLst>
            <a:ext uri="{FF2B5EF4-FFF2-40B4-BE49-F238E27FC236}">
              <a16:creationId xmlns="" xmlns:a16="http://schemas.microsoft.com/office/drawing/2014/main" id="{00000000-0008-0000-0300-000034000000}"/>
            </a:ext>
          </a:extLst>
        </xdr:cNvPr>
        <xdr:cNvSpPr>
          <a:spLocks noChangeArrowheads="1"/>
        </xdr:cNvSpPr>
      </xdr:nvSpPr>
      <xdr:spPr bwMode="auto">
        <a:xfrm>
          <a:off x="82848449" y="161162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464820</xdr:colOff>
      <xdr:row>4</xdr:row>
      <xdr:rowOff>295275</xdr:rowOff>
    </xdr:from>
    <xdr:to>
      <xdr:col>2</xdr:col>
      <xdr:colOff>1057761</xdr:colOff>
      <xdr:row>4</xdr:row>
      <xdr:rowOff>485775</xdr:rowOff>
    </xdr:to>
    <xdr:sp macro="" textlink="">
      <xdr:nvSpPr>
        <xdr:cNvPr id="55" name="Rectangle 1">
          <a:extLst>
            <a:ext uri="{FF2B5EF4-FFF2-40B4-BE49-F238E27FC236}">
              <a16:creationId xmlns="" xmlns:a16="http://schemas.microsoft.com/office/drawing/2014/main" id="{00000000-0008-0000-0300-000037000000}"/>
            </a:ext>
          </a:extLst>
        </xdr:cNvPr>
        <xdr:cNvSpPr>
          <a:spLocks noChangeArrowheads="1"/>
        </xdr:cNvSpPr>
      </xdr:nvSpPr>
      <xdr:spPr bwMode="auto">
        <a:xfrm>
          <a:off x="80979645" y="1905000"/>
          <a:ext cx="592941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Calibri" pitchFamily="34" charset="0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1204384</xdr:colOff>
      <xdr:row>3</xdr:row>
      <xdr:rowOff>254000</xdr:rowOff>
    </xdr:from>
    <xdr:to>
      <xdr:col>2</xdr:col>
      <xdr:colOff>1830918</xdr:colOff>
      <xdr:row>3</xdr:row>
      <xdr:rowOff>402167</xdr:rowOff>
    </xdr:to>
    <xdr:sp macro="" textlink="">
      <xdr:nvSpPr>
        <xdr:cNvPr id="58" name="Rectangle 1">
          <a:extLst>
            <a:ext uri="{FF2B5EF4-FFF2-40B4-BE49-F238E27FC236}">
              <a16:creationId xmlns="" xmlns:a16="http://schemas.microsoft.com/office/drawing/2014/main" id="{00000000-0008-0000-0300-00003A000000}"/>
            </a:ext>
          </a:extLst>
        </xdr:cNvPr>
        <xdr:cNvSpPr>
          <a:spLocks noChangeArrowheads="1"/>
        </xdr:cNvSpPr>
      </xdr:nvSpPr>
      <xdr:spPr bwMode="auto">
        <a:xfrm>
          <a:off x="2008717" y="709083"/>
          <a:ext cx="626534" cy="148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370416</xdr:colOff>
      <xdr:row>3</xdr:row>
      <xdr:rowOff>740833</xdr:rowOff>
    </xdr:from>
    <xdr:to>
      <xdr:col>2</xdr:col>
      <xdr:colOff>952499</xdr:colOff>
      <xdr:row>3</xdr:row>
      <xdr:rowOff>910166</xdr:rowOff>
    </xdr:to>
    <xdr:sp macro="" textlink="">
      <xdr:nvSpPr>
        <xdr:cNvPr id="59" name="Rectangle 1">
          <a:extLst>
            <a:ext uri="{FF2B5EF4-FFF2-40B4-BE49-F238E27FC236}">
              <a16:creationId xmlns="" xmlns:a16="http://schemas.microsoft.com/office/drawing/2014/main" id="{00000000-0008-0000-0300-00003B000000}"/>
            </a:ext>
          </a:extLst>
        </xdr:cNvPr>
        <xdr:cNvSpPr>
          <a:spLocks noChangeArrowheads="1"/>
        </xdr:cNvSpPr>
      </xdr:nvSpPr>
      <xdr:spPr bwMode="auto">
        <a:xfrm flipV="1">
          <a:off x="1174749" y="1195916"/>
          <a:ext cx="582083" cy="1693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  <a:endParaRPr lang="ru-RU" sz="800" b="0" i="0" strike="noStrike">
            <a:solidFill>
              <a:srgbClr val="000000"/>
            </a:solidFill>
            <a:latin typeface="Calibri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1190624</xdr:colOff>
      <xdr:row>7</xdr:row>
      <xdr:rowOff>1</xdr:rowOff>
    </xdr:from>
    <xdr:to>
      <xdr:col>2</xdr:col>
      <xdr:colOff>2333624</xdr:colOff>
      <xdr:row>7</xdr:row>
      <xdr:rowOff>1</xdr:rowOff>
    </xdr:to>
    <xdr:sp macro="" textlink="">
      <xdr:nvSpPr>
        <xdr:cNvPr id="12" name="Rectangle 3">
          <a:extLst>
            <a:ext uri="{FF2B5EF4-FFF2-40B4-BE49-F238E27FC236}">
              <a16:creationId xmlns="" xmlns:a16="http://schemas.microsoft.com/office/drawing/2014/main" id="{00000000-0008-0000-0400-00000C000000}"/>
            </a:ext>
          </a:extLst>
        </xdr:cNvPr>
        <xdr:cNvSpPr>
          <a:spLocks noChangeArrowheads="1"/>
        </xdr:cNvSpPr>
      </xdr:nvSpPr>
      <xdr:spPr bwMode="auto">
        <a:xfrm>
          <a:off x="1962149" y="2124076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1190624</xdr:colOff>
      <xdr:row>7</xdr:row>
      <xdr:rowOff>1</xdr:rowOff>
    </xdr:from>
    <xdr:to>
      <xdr:col>2</xdr:col>
      <xdr:colOff>2333624</xdr:colOff>
      <xdr:row>7</xdr:row>
      <xdr:rowOff>1</xdr:rowOff>
    </xdr:to>
    <xdr:sp macro="" textlink="">
      <xdr:nvSpPr>
        <xdr:cNvPr id="13" name="Rectangle 3">
          <a:extLst>
            <a:ext uri="{FF2B5EF4-FFF2-40B4-BE49-F238E27FC236}">
              <a16:creationId xmlns="" xmlns:a16="http://schemas.microsoft.com/office/drawing/2014/main" id="{00000000-0008-0000-0400-00000D000000}"/>
            </a:ext>
          </a:extLst>
        </xdr:cNvPr>
        <xdr:cNvSpPr>
          <a:spLocks noChangeArrowheads="1"/>
        </xdr:cNvSpPr>
      </xdr:nvSpPr>
      <xdr:spPr bwMode="auto">
        <a:xfrm>
          <a:off x="1962149" y="2124076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" name="Rectangle 4">
          <a:extLst>
            <a:ext uri="{FF2B5EF4-FFF2-40B4-BE49-F238E27FC236}">
              <a16:creationId xmlns="" xmlns:a16="http://schemas.microsoft.com/office/drawing/2014/main" id="{00000000-0008-0000-0400-000007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" name="Rectangle 4">
          <a:extLst>
            <a:ext uri="{FF2B5EF4-FFF2-40B4-BE49-F238E27FC236}">
              <a16:creationId xmlns="" xmlns:a16="http://schemas.microsoft.com/office/drawing/2014/main" id="{00000000-0008-0000-0400-000008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" name="Rectangle 4">
          <a:extLst>
            <a:ext uri="{FF2B5EF4-FFF2-40B4-BE49-F238E27FC236}">
              <a16:creationId xmlns="" xmlns:a16="http://schemas.microsoft.com/office/drawing/2014/main" id="{00000000-0008-0000-0400-00000A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" name="Rectangle 4">
          <a:extLst>
            <a:ext uri="{FF2B5EF4-FFF2-40B4-BE49-F238E27FC236}">
              <a16:creationId xmlns="" xmlns:a16="http://schemas.microsoft.com/office/drawing/2014/main" id="{00000000-0008-0000-0400-00000B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" name="Rectangle 4">
          <a:extLst>
            <a:ext uri="{FF2B5EF4-FFF2-40B4-BE49-F238E27FC236}">
              <a16:creationId xmlns="" xmlns:a16="http://schemas.microsoft.com/office/drawing/2014/main" id="{00000000-0008-0000-0400-000010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" name="Rectangle 4">
          <a:extLst>
            <a:ext uri="{FF2B5EF4-FFF2-40B4-BE49-F238E27FC236}">
              <a16:creationId xmlns="" xmlns:a16="http://schemas.microsoft.com/office/drawing/2014/main" id="{00000000-0008-0000-0400-000011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0" name="Rectangle 4">
          <a:extLst>
            <a:ext uri="{FF2B5EF4-FFF2-40B4-BE49-F238E27FC236}">
              <a16:creationId xmlns="" xmlns:a16="http://schemas.microsoft.com/office/drawing/2014/main" id="{00000000-0008-0000-0400-00001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" name="Rectangle 4">
          <a:extLst>
            <a:ext uri="{FF2B5EF4-FFF2-40B4-BE49-F238E27FC236}">
              <a16:creationId xmlns="" xmlns:a16="http://schemas.microsoft.com/office/drawing/2014/main" id="{00000000-0008-0000-0400-00001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3" name="Rectangle 4">
          <a:extLst>
            <a:ext uri="{FF2B5EF4-FFF2-40B4-BE49-F238E27FC236}">
              <a16:creationId xmlns="" xmlns:a16="http://schemas.microsoft.com/office/drawing/2014/main" id="{00000000-0008-0000-0400-00001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" name="Rectangle 4">
          <a:extLst>
            <a:ext uri="{FF2B5EF4-FFF2-40B4-BE49-F238E27FC236}">
              <a16:creationId xmlns="" xmlns:a16="http://schemas.microsoft.com/office/drawing/2014/main" id="{00000000-0008-0000-0400-00001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6" name="Rectangle 4">
          <a:extLst>
            <a:ext uri="{FF2B5EF4-FFF2-40B4-BE49-F238E27FC236}">
              <a16:creationId xmlns="" xmlns:a16="http://schemas.microsoft.com/office/drawing/2014/main" id="{00000000-0008-0000-0400-00001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" name="Rectangle 4">
          <a:extLst>
            <a:ext uri="{FF2B5EF4-FFF2-40B4-BE49-F238E27FC236}">
              <a16:creationId xmlns="" xmlns:a16="http://schemas.microsoft.com/office/drawing/2014/main" id="{00000000-0008-0000-0400-00001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466725</xdr:colOff>
      <xdr:row>4</xdr:row>
      <xdr:rowOff>295275</xdr:rowOff>
    </xdr:from>
    <xdr:to>
      <xdr:col>2</xdr:col>
      <xdr:colOff>1057275</xdr:colOff>
      <xdr:row>4</xdr:row>
      <xdr:rowOff>485775</xdr:rowOff>
    </xdr:to>
    <xdr:sp macro="" textlink="">
      <xdr:nvSpPr>
        <xdr:cNvPr id="29" name="Rectangle 1">
          <a:extLst>
            <a:ext uri="{FF2B5EF4-FFF2-40B4-BE49-F238E27FC236}">
              <a16:creationId xmlns="" xmlns:a16="http://schemas.microsoft.com/office/drawing/2014/main" id="{00000000-0008-0000-0400-00001D000000}"/>
            </a:ext>
          </a:extLst>
        </xdr:cNvPr>
        <xdr:cNvSpPr>
          <a:spLocks noChangeArrowheads="1"/>
        </xdr:cNvSpPr>
      </xdr:nvSpPr>
      <xdr:spPr bwMode="auto">
        <a:xfrm>
          <a:off x="1028700" y="1981200"/>
          <a:ext cx="5905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464820</xdr:colOff>
      <xdr:row>4</xdr:row>
      <xdr:rowOff>295275</xdr:rowOff>
    </xdr:from>
    <xdr:to>
      <xdr:col>2</xdr:col>
      <xdr:colOff>1057761</xdr:colOff>
      <xdr:row>4</xdr:row>
      <xdr:rowOff>485775</xdr:rowOff>
    </xdr:to>
    <xdr:sp macro="" textlink="">
      <xdr:nvSpPr>
        <xdr:cNvPr id="33" name="Rectangle 1">
          <a:extLst>
            <a:ext uri="{FF2B5EF4-FFF2-40B4-BE49-F238E27FC236}">
              <a16:creationId xmlns="" xmlns:a16="http://schemas.microsoft.com/office/drawing/2014/main" id="{00000000-0008-0000-0400-000021000000}"/>
            </a:ext>
          </a:extLst>
        </xdr:cNvPr>
        <xdr:cNvSpPr>
          <a:spLocks noChangeArrowheads="1"/>
        </xdr:cNvSpPr>
      </xdr:nvSpPr>
      <xdr:spPr bwMode="auto">
        <a:xfrm>
          <a:off x="1026795" y="1981200"/>
          <a:ext cx="59294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Calibri" pitchFamily="34" charset="0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1236133</xdr:colOff>
      <xdr:row>3</xdr:row>
      <xdr:rowOff>243417</xdr:rowOff>
    </xdr:from>
    <xdr:to>
      <xdr:col>2</xdr:col>
      <xdr:colOff>1819275</xdr:colOff>
      <xdr:row>3</xdr:row>
      <xdr:rowOff>390525</xdr:rowOff>
    </xdr:to>
    <xdr:sp macro="" textlink="">
      <xdr:nvSpPr>
        <xdr:cNvPr id="44" name="Rectangle 1">
          <a:extLst>
            <a:ext uri="{FF2B5EF4-FFF2-40B4-BE49-F238E27FC236}">
              <a16:creationId xmlns="" xmlns:a16="http://schemas.microsoft.com/office/drawing/2014/main" id="{00000000-0008-0000-0400-00002C000000}"/>
            </a:ext>
          </a:extLst>
        </xdr:cNvPr>
        <xdr:cNvSpPr>
          <a:spLocks noChangeArrowheads="1"/>
        </xdr:cNvSpPr>
      </xdr:nvSpPr>
      <xdr:spPr bwMode="auto">
        <a:xfrm>
          <a:off x="1979083" y="691092"/>
          <a:ext cx="583142" cy="1471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328084</xdr:colOff>
      <xdr:row>3</xdr:row>
      <xdr:rowOff>709084</xdr:rowOff>
    </xdr:from>
    <xdr:to>
      <xdr:col>2</xdr:col>
      <xdr:colOff>866775</xdr:colOff>
      <xdr:row>3</xdr:row>
      <xdr:rowOff>895350</xdr:rowOff>
    </xdr:to>
    <xdr:sp macro="" textlink="">
      <xdr:nvSpPr>
        <xdr:cNvPr id="45" name="Rectangle 1">
          <a:extLst>
            <a:ext uri="{FF2B5EF4-FFF2-40B4-BE49-F238E27FC236}">
              <a16:creationId xmlns="" xmlns:a16="http://schemas.microsoft.com/office/drawing/2014/main" id="{00000000-0008-0000-0400-00002D000000}"/>
            </a:ext>
          </a:extLst>
        </xdr:cNvPr>
        <xdr:cNvSpPr>
          <a:spLocks noChangeArrowheads="1"/>
        </xdr:cNvSpPr>
      </xdr:nvSpPr>
      <xdr:spPr bwMode="auto">
        <a:xfrm flipV="1">
          <a:off x="1071034" y="1156759"/>
          <a:ext cx="538691" cy="1862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  <a:endParaRPr lang="ru-RU" sz="800" b="0" i="0" strike="noStrike">
            <a:solidFill>
              <a:srgbClr val="000000"/>
            </a:solidFill>
            <a:latin typeface="Calibri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1190624</xdr:colOff>
      <xdr:row>7</xdr:row>
      <xdr:rowOff>1</xdr:rowOff>
    </xdr:from>
    <xdr:to>
      <xdr:col>2</xdr:col>
      <xdr:colOff>2333624</xdr:colOff>
      <xdr:row>7</xdr:row>
      <xdr:rowOff>1</xdr:rowOff>
    </xdr:to>
    <xdr:sp macro="" textlink="">
      <xdr:nvSpPr>
        <xdr:cNvPr id="12" name="Rectangle 3">
          <a:extLst>
            <a:ext uri="{FF2B5EF4-FFF2-40B4-BE49-F238E27FC236}">
              <a16:creationId xmlns="" xmlns:a16="http://schemas.microsoft.com/office/drawing/2014/main" id="{00000000-0008-0000-0500-00000C000000}"/>
            </a:ext>
          </a:extLst>
        </xdr:cNvPr>
        <xdr:cNvSpPr>
          <a:spLocks noChangeArrowheads="1"/>
        </xdr:cNvSpPr>
      </xdr:nvSpPr>
      <xdr:spPr bwMode="auto">
        <a:xfrm>
          <a:off x="1962149" y="2124076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1190624</xdr:colOff>
      <xdr:row>7</xdr:row>
      <xdr:rowOff>1</xdr:rowOff>
    </xdr:from>
    <xdr:to>
      <xdr:col>2</xdr:col>
      <xdr:colOff>2333624</xdr:colOff>
      <xdr:row>7</xdr:row>
      <xdr:rowOff>1</xdr:rowOff>
    </xdr:to>
    <xdr:sp macro="" textlink="">
      <xdr:nvSpPr>
        <xdr:cNvPr id="13" name="Rectangle 3">
          <a:extLst>
            <a:ext uri="{FF2B5EF4-FFF2-40B4-BE49-F238E27FC236}">
              <a16:creationId xmlns="" xmlns:a16="http://schemas.microsoft.com/office/drawing/2014/main" id="{00000000-0008-0000-0500-00000D000000}"/>
            </a:ext>
          </a:extLst>
        </xdr:cNvPr>
        <xdr:cNvSpPr>
          <a:spLocks noChangeArrowheads="1"/>
        </xdr:cNvSpPr>
      </xdr:nvSpPr>
      <xdr:spPr bwMode="auto">
        <a:xfrm>
          <a:off x="1962149" y="2124076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" name="Rectangle 4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" name="Rectangle 4"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" name="Rectangle 4">
          <a:extLst>
            <a:ext uri="{FF2B5EF4-FFF2-40B4-BE49-F238E27FC236}">
              <a16:creationId xmlns="" xmlns:a16="http://schemas.microsoft.com/office/drawing/2014/main" id="{00000000-0008-0000-0500-000009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" name="Rectangle 4">
          <a:extLst>
            <a:ext uri="{FF2B5EF4-FFF2-40B4-BE49-F238E27FC236}">
              <a16:creationId xmlns="" xmlns:a16="http://schemas.microsoft.com/office/drawing/2014/main" id="{00000000-0008-0000-0500-00000B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" name="Rectangle 4">
          <a:extLst>
            <a:ext uri="{FF2B5EF4-FFF2-40B4-BE49-F238E27FC236}">
              <a16:creationId xmlns="" xmlns:a16="http://schemas.microsoft.com/office/drawing/2014/main" id="{00000000-0008-0000-0500-000010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" name="Rectangle 4">
          <a:extLst>
            <a:ext uri="{FF2B5EF4-FFF2-40B4-BE49-F238E27FC236}">
              <a16:creationId xmlns="" xmlns:a16="http://schemas.microsoft.com/office/drawing/2014/main" id="{00000000-0008-0000-0500-000011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0" name="Rectangle 4">
          <a:extLst>
            <a:ext uri="{FF2B5EF4-FFF2-40B4-BE49-F238E27FC236}">
              <a16:creationId xmlns="" xmlns:a16="http://schemas.microsoft.com/office/drawing/2014/main" id="{00000000-0008-0000-0500-000014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" name="Rectangle 4">
          <a:extLst>
            <a:ext uri="{FF2B5EF4-FFF2-40B4-BE49-F238E27FC236}">
              <a16:creationId xmlns="" xmlns:a16="http://schemas.microsoft.com/office/drawing/2014/main" id="{00000000-0008-0000-0500-00001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3" name="Rectangle 4">
          <a:extLst>
            <a:ext uri="{FF2B5EF4-FFF2-40B4-BE49-F238E27FC236}">
              <a16:creationId xmlns="" xmlns:a16="http://schemas.microsoft.com/office/drawing/2014/main" id="{00000000-0008-0000-0500-000017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" name="Rectangle 4">
          <a:extLst>
            <a:ext uri="{FF2B5EF4-FFF2-40B4-BE49-F238E27FC236}">
              <a16:creationId xmlns="" xmlns:a16="http://schemas.microsoft.com/office/drawing/2014/main" id="{00000000-0008-0000-0500-000018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6" name="Rectangle 4">
          <a:extLst>
            <a:ext uri="{FF2B5EF4-FFF2-40B4-BE49-F238E27FC236}">
              <a16:creationId xmlns="" xmlns:a16="http://schemas.microsoft.com/office/drawing/2014/main" id="{00000000-0008-0000-0500-00001A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" name="Rectangle 4">
          <a:extLst>
            <a:ext uri="{FF2B5EF4-FFF2-40B4-BE49-F238E27FC236}">
              <a16:creationId xmlns="" xmlns:a16="http://schemas.microsoft.com/office/drawing/2014/main" id="{00000000-0008-0000-0500-00001B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0" name="Rectangle 4">
          <a:extLst>
            <a:ext uri="{FF2B5EF4-FFF2-40B4-BE49-F238E27FC236}">
              <a16:creationId xmlns="" xmlns:a16="http://schemas.microsoft.com/office/drawing/2014/main" id="{00000000-0008-0000-0500-00001E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" name="Rectangle 4">
          <a:extLst>
            <a:ext uri="{FF2B5EF4-FFF2-40B4-BE49-F238E27FC236}">
              <a16:creationId xmlns="" xmlns:a16="http://schemas.microsoft.com/office/drawing/2014/main" id="{00000000-0008-0000-0500-00001F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3" name="Rectangle 4">
          <a:extLst>
            <a:ext uri="{FF2B5EF4-FFF2-40B4-BE49-F238E27FC236}">
              <a16:creationId xmlns="" xmlns:a16="http://schemas.microsoft.com/office/drawing/2014/main" id="{00000000-0008-0000-0500-000021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4" name="Rectangle 4">
          <a:extLst>
            <a:ext uri="{FF2B5EF4-FFF2-40B4-BE49-F238E27FC236}">
              <a16:creationId xmlns="" xmlns:a16="http://schemas.microsoft.com/office/drawing/2014/main" id="{00000000-0008-0000-0500-000022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6" name="Rectangle 4">
          <a:extLst>
            <a:ext uri="{FF2B5EF4-FFF2-40B4-BE49-F238E27FC236}">
              <a16:creationId xmlns="" xmlns:a16="http://schemas.microsoft.com/office/drawing/2014/main" id="{00000000-0008-0000-0500-000024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7" name="Rectangle 4">
          <a:extLst>
            <a:ext uri="{FF2B5EF4-FFF2-40B4-BE49-F238E27FC236}">
              <a16:creationId xmlns="" xmlns:a16="http://schemas.microsoft.com/office/drawing/2014/main" id="{00000000-0008-0000-0500-00002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0" name="Rectangle 4">
          <a:extLst>
            <a:ext uri="{FF2B5EF4-FFF2-40B4-BE49-F238E27FC236}">
              <a16:creationId xmlns="" xmlns:a16="http://schemas.microsoft.com/office/drawing/2014/main" id="{00000000-0008-0000-0500-000046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1" name="Rectangle 4">
          <a:extLst>
            <a:ext uri="{FF2B5EF4-FFF2-40B4-BE49-F238E27FC236}">
              <a16:creationId xmlns="" xmlns:a16="http://schemas.microsoft.com/office/drawing/2014/main" id="{00000000-0008-0000-0500-000047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2" name="Rectangle 4">
          <a:extLst>
            <a:ext uri="{FF2B5EF4-FFF2-40B4-BE49-F238E27FC236}">
              <a16:creationId xmlns="" xmlns:a16="http://schemas.microsoft.com/office/drawing/2014/main" id="{00000000-0008-0000-0500-000048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3" name="Rectangle 4">
          <a:extLst>
            <a:ext uri="{FF2B5EF4-FFF2-40B4-BE49-F238E27FC236}">
              <a16:creationId xmlns="" xmlns:a16="http://schemas.microsoft.com/office/drawing/2014/main" id="{00000000-0008-0000-0500-000049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4" name="Rectangle 4">
          <a:extLst>
            <a:ext uri="{FF2B5EF4-FFF2-40B4-BE49-F238E27FC236}">
              <a16:creationId xmlns="" xmlns:a16="http://schemas.microsoft.com/office/drawing/2014/main" id="{00000000-0008-0000-0500-00004A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5" name="Rectangle 4">
          <a:extLst>
            <a:ext uri="{FF2B5EF4-FFF2-40B4-BE49-F238E27FC236}">
              <a16:creationId xmlns="" xmlns:a16="http://schemas.microsoft.com/office/drawing/2014/main" id="{00000000-0008-0000-0500-00004B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6" name="Rectangle 4">
          <a:extLst>
            <a:ext uri="{FF2B5EF4-FFF2-40B4-BE49-F238E27FC236}">
              <a16:creationId xmlns="" xmlns:a16="http://schemas.microsoft.com/office/drawing/2014/main" id="{00000000-0008-0000-0500-00004C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7" name="Rectangle 4">
          <a:extLst>
            <a:ext uri="{FF2B5EF4-FFF2-40B4-BE49-F238E27FC236}">
              <a16:creationId xmlns="" xmlns:a16="http://schemas.microsoft.com/office/drawing/2014/main" id="{00000000-0008-0000-0500-00004D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8" name="Rectangle 4">
          <a:extLst>
            <a:ext uri="{FF2B5EF4-FFF2-40B4-BE49-F238E27FC236}">
              <a16:creationId xmlns="" xmlns:a16="http://schemas.microsoft.com/office/drawing/2014/main" id="{00000000-0008-0000-0500-00004E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9" name="Rectangle 4">
          <a:extLst>
            <a:ext uri="{FF2B5EF4-FFF2-40B4-BE49-F238E27FC236}">
              <a16:creationId xmlns="" xmlns:a16="http://schemas.microsoft.com/office/drawing/2014/main" id="{00000000-0008-0000-0500-00004F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0" name="Rectangle 4">
          <a:extLst>
            <a:ext uri="{FF2B5EF4-FFF2-40B4-BE49-F238E27FC236}">
              <a16:creationId xmlns="" xmlns:a16="http://schemas.microsoft.com/office/drawing/2014/main" id="{00000000-0008-0000-0500-000050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1" name="Rectangle 4">
          <a:extLst>
            <a:ext uri="{FF2B5EF4-FFF2-40B4-BE49-F238E27FC236}">
              <a16:creationId xmlns="" xmlns:a16="http://schemas.microsoft.com/office/drawing/2014/main" id="{00000000-0008-0000-0500-000051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466725</xdr:colOff>
      <xdr:row>4</xdr:row>
      <xdr:rowOff>295275</xdr:rowOff>
    </xdr:from>
    <xdr:to>
      <xdr:col>2</xdr:col>
      <xdr:colOff>1057275</xdr:colOff>
      <xdr:row>4</xdr:row>
      <xdr:rowOff>485775</xdr:rowOff>
    </xdr:to>
    <xdr:sp macro="" textlink="">
      <xdr:nvSpPr>
        <xdr:cNvPr id="43" name="Rectangle 1">
          <a:extLst>
            <a:ext uri="{FF2B5EF4-FFF2-40B4-BE49-F238E27FC236}">
              <a16:creationId xmlns="" xmlns:a16="http://schemas.microsoft.com/office/drawing/2014/main" id="{00000000-0008-0000-0500-00002B000000}"/>
            </a:ext>
          </a:extLst>
        </xdr:cNvPr>
        <xdr:cNvSpPr>
          <a:spLocks noChangeArrowheads="1"/>
        </xdr:cNvSpPr>
      </xdr:nvSpPr>
      <xdr:spPr bwMode="auto">
        <a:xfrm>
          <a:off x="1028700" y="1981200"/>
          <a:ext cx="5905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464820</xdr:colOff>
      <xdr:row>4</xdr:row>
      <xdr:rowOff>295275</xdr:rowOff>
    </xdr:from>
    <xdr:to>
      <xdr:col>2</xdr:col>
      <xdr:colOff>1057761</xdr:colOff>
      <xdr:row>4</xdr:row>
      <xdr:rowOff>485775</xdr:rowOff>
    </xdr:to>
    <xdr:sp macro="" textlink="">
      <xdr:nvSpPr>
        <xdr:cNvPr id="47" name="Rectangle 1">
          <a:extLst>
            <a:ext uri="{FF2B5EF4-FFF2-40B4-BE49-F238E27FC236}">
              <a16:creationId xmlns="" xmlns:a16="http://schemas.microsoft.com/office/drawing/2014/main" id="{00000000-0008-0000-0500-00002F000000}"/>
            </a:ext>
          </a:extLst>
        </xdr:cNvPr>
        <xdr:cNvSpPr>
          <a:spLocks noChangeArrowheads="1"/>
        </xdr:cNvSpPr>
      </xdr:nvSpPr>
      <xdr:spPr bwMode="auto">
        <a:xfrm>
          <a:off x="1026795" y="1981200"/>
          <a:ext cx="59294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Calibri" pitchFamily="34" charset="0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1236133</xdr:colOff>
      <xdr:row>3</xdr:row>
      <xdr:rowOff>243417</xdr:rowOff>
    </xdr:from>
    <xdr:to>
      <xdr:col>2</xdr:col>
      <xdr:colOff>1781175</xdr:colOff>
      <xdr:row>3</xdr:row>
      <xdr:rowOff>400050</xdr:rowOff>
    </xdr:to>
    <xdr:sp macro="" textlink="">
      <xdr:nvSpPr>
        <xdr:cNvPr id="53" name="Rectangle 1">
          <a:extLst>
            <a:ext uri="{FF2B5EF4-FFF2-40B4-BE49-F238E27FC236}">
              <a16:creationId xmlns="" xmlns:a16="http://schemas.microsoft.com/office/drawing/2014/main" id="{00000000-0008-0000-0500-000035000000}"/>
            </a:ext>
          </a:extLst>
        </xdr:cNvPr>
        <xdr:cNvSpPr>
          <a:spLocks noChangeArrowheads="1"/>
        </xdr:cNvSpPr>
      </xdr:nvSpPr>
      <xdr:spPr bwMode="auto">
        <a:xfrm>
          <a:off x="1969558" y="691092"/>
          <a:ext cx="545042" cy="1566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328084</xdr:colOff>
      <xdr:row>3</xdr:row>
      <xdr:rowOff>709084</xdr:rowOff>
    </xdr:from>
    <xdr:to>
      <xdr:col>2</xdr:col>
      <xdr:colOff>885826</xdr:colOff>
      <xdr:row>3</xdr:row>
      <xdr:rowOff>857250</xdr:rowOff>
    </xdr:to>
    <xdr:sp macro="" textlink="">
      <xdr:nvSpPr>
        <xdr:cNvPr id="54" name="Rectangle 1">
          <a:extLst>
            <a:ext uri="{FF2B5EF4-FFF2-40B4-BE49-F238E27FC236}">
              <a16:creationId xmlns="" xmlns:a16="http://schemas.microsoft.com/office/drawing/2014/main" id="{00000000-0008-0000-0500-000036000000}"/>
            </a:ext>
          </a:extLst>
        </xdr:cNvPr>
        <xdr:cNvSpPr>
          <a:spLocks noChangeArrowheads="1"/>
        </xdr:cNvSpPr>
      </xdr:nvSpPr>
      <xdr:spPr bwMode="auto">
        <a:xfrm flipV="1">
          <a:off x="1061509" y="1156759"/>
          <a:ext cx="557742" cy="1481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  <a:endParaRPr lang="ru-RU" sz="800" b="0" i="0" strike="noStrike">
            <a:solidFill>
              <a:srgbClr val="000000"/>
            </a:solidFill>
            <a:latin typeface="Calibri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1190624</xdr:colOff>
      <xdr:row>7</xdr:row>
      <xdr:rowOff>1</xdr:rowOff>
    </xdr:from>
    <xdr:to>
      <xdr:col>2</xdr:col>
      <xdr:colOff>2333624</xdr:colOff>
      <xdr:row>7</xdr:row>
      <xdr:rowOff>1</xdr:rowOff>
    </xdr:to>
    <xdr:sp macro="" textlink="">
      <xdr:nvSpPr>
        <xdr:cNvPr id="12" name="Rectangle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1962149" y="2124076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1190624</xdr:colOff>
      <xdr:row>7</xdr:row>
      <xdr:rowOff>1</xdr:rowOff>
    </xdr:from>
    <xdr:to>
      <xdr:col>2</xdr:col>
      <xdr:colOff>2333624</xdr:colOff>
      <xdr:row>7</xdr:row>
      <xdr:rowOff>1</xdr:rowOff>
    </xdr:to>
    <xdr:sp macro="" textlink="">
      <xdr:nvSpPr>
        <xdr:cNvPr id="13" name="Rectangle 3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1962149" y="2124076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" name="Rectangle 4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" name="Rectangle 4">
          <a:extLst>
            <a:ext uri="{FF2B5EF4-FFF2-40B4-BE49-F238E27FC236}">
              <a16:creationId xmlns=""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" name="Rectangle 4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" name="Rectangle 4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" name="Rectangle 4">
          <a:extLst>
            <a:ext uri="{FF2B5EF4-FFF2-40B4-BE49-F238E27FC236}">
              <a16:creationId xmlns=""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" name="Rectangle 4">
          <a:extLst>
            <a:ext uri="{FF2B5EF4-FFF2-40B4-BE49-F238E27FC236}">
              <a16:creationId xmlns=""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0" name="Rectangle 4">
          <a:extLst>
            <a:ext uri="{FF2B5EF4-FFF2-40B4-BE49-F238E27FC236}">
              <a16:creationId xmlns=""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" name="Rectangle 4">
          <a:extLst>
            <a:ext uri="{FF2B5EF4-FFF2-40B4-BE49-F238E27FC236}">
              <a16:creationId xmlns=""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3" name="Rectangle 4">
          <a:extLst>
            <a:ext uri="{FF2B5EF4-FFF2-40B4-BE49-F238E27FC236}">
              <a16:creationId xmlns=""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" name="Rectangle 4">
          <a:extLst>
            <a:ext uri="{FF2B5EF4-FFF2-40B4-BE49-F238E27FC236}">
              <a16:creationId xmlns=""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6" name="Rectangle 4">
          <a:extLst>
            <a:ext uri="{FF2B5EF4-FFF2-40B4-BE49-F238E27FC236}">
              <a16:creationId xmlns="" xmlns:a16="http://schemas.microsoft.com/office/drawing/2014/main" id="{00000000-0008-0000-0600-00001A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" name="Rectangle 4">
          <a:extLst>
            <a:ext uri="{FF2B5EF4-FFF2-40B4-BE49-F238E27FC236}">
              <a16:creationId xmlns="" xmlns:a16="http://schemas.microsoft.com/office/drawing/2014/main" id="{00000000-0008-0000-0600-00001B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0" name="Rectangle 4">
          <a:extLst>
            <a:ext uri="{FF2B5EF4-FFF2-40B4-BE49-F238E27FC236}">
              <a16:creationId xmlns="" xmlns:a16="http://schemas.microsoft.com/office/drawing/2014/main" id="{00000000-0008-0000-0600-00001E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" name="Rectangle 4">
          <a:extLst>
            <a:ext uri="{FF2B5EF4-FFF2-40B4-BE49-F238E27FC236}">
              <a16:creationId xmlns="" xmlns:a16="http://schemas.microsoft.com/office/drawing/2014/main" id="{00000000-0008-0000-0600-00001F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3" name="Rectangle 4">
          <a:extLst>
            <a:ext uri="{FF2B5EF4-FFF2-40B4-BE49-F238E27FC236}">
              <a16:creationId xmlns="" xmlns:a16="http://schemas.microsoft.com/office/drawing/2014/main" id="{00000000-0008-0000-0600-000021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4" name="Rectangle 4">
          <a:extLst>
            <a:ext uri="{FF2B5EF4-FFF2-40B4-BE49-F238E27FC236}">
              <a16:creationId xmlns="" xmlns:a16="http://schemas.microsoft.com/office/drawing/2014/main" id="{00000000-0008-0000-0600-000022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6" name="Rectangle 4">
          <a:extLst>
            <a:ext uri="{FF2B5EF4-FFF2-40B4-BE49-F238E27FC236}">
              <a16:creationId xmlns="" xmlns:a16="http://schemas.microsoft.com/office/drawing/2014/main" id="{00000000-0008-0000-0600-000024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7" name="Rectangle 4">
          <a:extLst>
            <a:ext uri="{FF2B5EF4-FFF2-40B4-BE49-F238E27FC236}">
              <a16:creationId xmlns="" xmlns:a16="http://schemas.microsoft.com/office/drawing/2014/main" id="{00000000-0008-0000-0600-00002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6" name="Rectangle 4">
          <a:extLst>
            <a:ext uri="{FF2B5EF4-FFF2-40B4-BE49-F238E27FC236}">
              <a16:creationId xmlns=""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7" name="Rectangle 4">
          <a:extLst>
            <a:ext uri="{FF2B5EF4-FFF2-40B4-BE49-F238E27FC236}">
              <a16:creationId xmlns=""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8" name="Rectangle 4">
          <a:extLst>
            <a:ext uri="{FF2B5EF4-FFF2-40B4-BE49-F238E27FC236}">
              <a16:creationId xmlns=""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9" name="Rectangle 4">
          <a:extLst>
            <a:ext uri="{FF2B5EF4-FFF2-40B4-BE49-F238E27FC236}">
              <a16:creationId xmlns=""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0" name="Rectangle 4">
          <a:extLst>
            <a:ext uri="{FF2B5EF4-FFF2-40B4-BE49-F238E27FC236}">
              <a16:creationId xmlns=""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1" name="Rectangle 4">
          <a:extLst>
            <a:ext uri="{FF2B5EF4-FFF2-40B4-BE49-F238E27FC236}">
              <a16:creationId xmlns=""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2" name="Rectangle 4">
          <a:extLst>
            <a:ext uri="{FF2B5EF4-FFF2-40B4-BE49-F238E27FC236}">
              <a16:creationId xmlns=""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3" name="Rectangle 4">
          <a:extLst>
            <a:ext uri="{FF2B5EF4-FFF2-40B4-BE49-F238E27FC236}">
              <a16:creationId xmlns="" xmlns:a16="http://schemas.microsoft.com/office/drawing/2014/main" id="{00000000-0008-0000-0600-00003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4" name="Rectangle 4">
          <a:extLst>
            <a:ext uri="{FF2B5EF4-FFF2-40B4-BE49-F238E27FC236}">
              <a16:creationId xmlns="" xmlns:a16="http://schemas.microsoft.com/office/drawing/2014/main" id="{00000000-0008-0000-0600-00004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5" name="Rectangle 4">
          <a:extLst>
            <a:ext uri="{FF2B5EF4-FFF2-40B4-BE49-F238E27FC236}">
              <a16:creationId xmlns="" xmlns:a16="http://schemas.microsoft.com/office/drawing/2014/main" id="{00000000-0008-0000-0600-00004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6" name="Rectangle 4">
          <a:extLst>
            <a:ext uri="{FF2B5EF4-FFF2-40B4-BE49-F238E27FC236}">
              <a16:creationId xmlns="" xmlns:a16="http://schemas.microsoft.com/office/drawing/2014/main" id="{00000000-0008-0000-0600-00004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7" name="Rectangle 4">
          <a:extLst>
            <a:ext uri="{FF2B5EF4-FFF2-40B4-BE49-F238E27FC236}">
              <a16:creationId xmlns="" xmlns:a16="http://schemas.microsoft.com/office/drawing/2014/main" id="{00000000-0008-0000-0600-00004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8" name="Rectangle 4">
          <a:extLst>
            <a:ext uri="{FF2B5EF4-FFF2-40B4-BE49-F238E27FC236}">
              <a16:creationId xmlns="" xmlns:a16="http://schemas.microsoft.com/office/drawing/2014/main" id="{00000000-0008-0000-0600-00004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9" name="Rectangle 4">
          <a:extLst>
            <a:ext uri="{FF2B5EF4-FFF2-40B4-BE49-F238E27FC236}">
              <a16:creationId xmlns="" xmlns:a16="http://schemas.microsoft.com/office/drawing/2014/main" id="{00000000-0008-0000-0600-00004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0" name="Rectangle 4">
          <a:extLst>
            <a:ext uri="{FF2B5EF4-FFF2-40B4-BE49-F238E27FC236}">
              <a16:creationId xmlns="" xmlns:a16="http://schemas.microsoft.com/office/drawing/2014/main" id="{00000000-0008-0000-0600-00004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1" name="Rectangle 4">
          <a:extLst>
            <a:ext uri="{FF2B5EF4-FFF2-40B4-BE49-F238E27FC236}">
              <a16:creationId xmlns="" xmlns:a16="http://schemas.microsoft.com/office/drawing/2014/main" id="{00000000-0008-0000-0600-00004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2" name="Rectangle 4">
          <a:extLst>
            <a:ext uri="{FF2B5EF4-FFF2-40B4-BE49-F238E27FC236}">
              <a16:creationId xmlns="" xmlns:a16="http://schemas.microsoft.com/office/drawing/2014/main" id="{00000000-0008-0000-0600-00004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3" name="Rectangle 4">
          <a:extLst>
            <a:ext uri="{FF2B5EF4-FFF2-40B4-BE49-F238E27FC236}">
              <a16:creationId xmlns="" xmlns:a16="http://schemas.microsoft.com/office/drawing/2014/main" id="{00000000-0008-0000-0600-00004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4" name="Rectangle 4">
          <a:extLst>
            <a:ext uri="{FF2B5EF4-FFF2-40B4-BE49-F238E27FC236}">
              <a16:creationId xmlns="" xmlns:a16="http://schemas.microsoft.com/office/drawing/2014/main" id="{00000000-0008-0000-0600-00004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5" name="Rectangle 4">
          <a:extLst>
            <a:ext uri="{FF2B5EF4-FFF2-40B4-BE49-F238E27FC236}">
              <a16:creationId xmlns="" xmlns:a16="http://schemas.microsoft.com/office/drawing/2014/main" id="{00000000-0008-0000-0600-00004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6" name="Rectangle 4">
          <a:extLst>
            <a:ext uri="{FF2B5EF4-FFF2-40B4-BE49-F238E27FC236}">
              <a16:creationId xmlns="" xmlns:a16="http://schemas.microsoft.com/office/drawing/2014/main" id="{00000000-0008-0000-0600-00004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7" name="Rectangle 4">
          <a:extLst>
            <a:ext uri="{FF2B5EF4-FFF2-40B4-BE49-F238E27FC236}">
              <a16:creationId xmlns="" xmlns:a16="http://schemas.microsoft.com/office/drawing/2014/main" id="{00000000-0008-0000-0600-00004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8" name="Rectangle 4">
          <a:extLst>
            <a:ext uri="{FF2B5EF4-FFF2-40B4-BE49-F238E27FC236}">
              <a16:creationId xmlns="" xmlns:a16="http://schemas.microsoft.com/office/drawing/2014/main" id="{00000000-0008-0000-0600-00004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9" name="Rectangle 4">
          <a:extLst>
            <a:ext uri="{FF2B5EF4-FFF2-40B4-BE49-F238E27FC236}">
              <a16:creationId xmlns="" xmlns:a16="http://schemas.microsoft.com/office/drawing/2014/main" id="{00000000-0008-0000-0600-00004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0" name="Rectangle 4">
          <a:extLst>
            <a:ext uri="{FF2B5EF4-FFF2-40B4-BE49-F238E27FC236}">
              <a16:creationId xmlns="" xmlns:a16="http://schemas.microsoft.com/office/drawing/2014/main" id="{00000000-0008-0000-0600-00005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1" name="Rectangle 4">
          <a:extLst>
            <a:ext uri="{FF2B5EF4-FFF2-40B4-BE49-F238E27FC236}">
              <a16:creationId xmlns="" xmlns:a16="http://schemas.microsoft.com/office/drawing/2014/main" id="{00000000-0008-0000-0600-00005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2" name="Rectangle 4">
          <a:extLst>
            <a:ext uri="{FF2B5EF4-FFF2-40B4-BE49-F238E27FC236}">
              <a16:creationId xmlns="" xmlns:a16="http://schemas.microsoft.com/office/drawing/2014/main" id="{00000000-0008-0000-0600-00005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3" name="Rectangle 4">
          <a:extLst>
            <a:ext uri="{FF2B5EF4-FFF2-40B4-BE49-F238E27FC236}">
              <a16:creationId xmlns="" xmlns:a16="http://schemas.microsoft.com/office/drawing/2014/main" id="{00000000-0008-0000-0600-00005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4" name="Rectangle 4">
          <a:extLst>
            <a:ext uri="{FF2B5EF4-FFF2-40B4-BE49-F238E27FC236}">
              <a16:creationId xmlns="" xmlns:a16="http://schemas.microsoft.com/office/drawing/2014/main" id="{00000000-0008-0000-0600-00005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5" name="Rectangle 4">
          <a:extLst>
            <a:ext uri="{FF2B5EF4-FFF2-40B4-BE49-F238E27FC236}">
              <a16:creationId xmlns="" xmlns:a16="http://schemas.microsoft.com/office/drawing/2014/main" id="{00000000-0008-0000-0600-00005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466725</xdr:colOff>
      <xdr:row>4</xdr:row>
      <xdr:rowOff>295275</xdr:rowOff>
    </xdr:from>
    <xdr:to>
      <xdr:col>2</xdr:col>
      <xdr:colOff>1057275</xdr:colOff>
      <xdr:row>4</xdr:row>
      <xdr:rowOff>485775</xdr:rowOff>
    </xdr:to>
    <xdr:sp macro="" textlink="">
      <xdr:nvSpPr>
        <xdr:cNvPr id="86" name="Rectangle 1">
          <a:extLst>
            <a:ext uri="{FF2B5EF4-FFF2-40B4-BE49-F238E27FC236}">
              <a16:creationId xmlns="" xmlns:a16="http://schemas.microsoft.com/office/drawing/2014/main" id="{00000000-0008-0000-0600-000056000000}"/>
            </a:ext>
          </a:extLst>
        </xdr:cNvPr>
        <xdr:cNvSpPr>
          <a:spLocks noChangeArrowheads="1"/>
        </xdr:cNvSpPr>
      </xdr:nvSpPr>
      <xdr:spPr bwMode="auto">
        <a:xfrm>
          <a:off x="1028700" y="1981200"/>
          <a:ext cx="5905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464820</xdr:colOff>
      <xdr:row>4</xdr:row>
      <xdr:rowOff>295275</xdr:rowOff>
    </xdr:from>
    <xdr:to>
      <xdr:col>2</xdr:col>
      <xdr:colOff>1057761</xdr:colOff>
      <xdr:row>4</xdr:row>
      <xdr:rowOff>485775</xdr:rowOff>
    </xdr:to>
    <xdr:sp macro="" textlink="">
      <xdr:nvSpPr>
        <xdr:cNvPr id="93" name="Rectangle 1">
          <a:extLst>
            <a:ext uri="{FF2B5EF4-FFF2-40B4-BE49-F238E27FC236}">
              <a16:creationId xmlns="" xmlns:a16="http://schemas.microsoft.com/office/drawing/2014/main" id="{00000000-0008-0000-0600-00005D000000}"/>
            </a:ext>
          </a:extLst>
        </xdr:cNvPr>
        <xdr:cNvSpPr>
          <a:spLocks noChangeArrowheads="1"/>
        </xdr:cNvSpPr>
      </xdr:nvSpPr>
      <xdr:spPr bwMode="auto">
        <a:xfrm>
          <a:off x="1026795" y="1981200"/>
          <a:ext cx="59294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ru-RU" sz="800" b="0" i="0" strike="noStrike">
            <a:solidFill>
              <a:srgbClr val="000000"/>
            </a:solidFill>
            <a:latin typeface="Calibri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2</xdr:col>
      <xdr:colOff>1236133</xdr:colOff>
      <xdr:row>3</xdr:row>
      <xdr:rowOff>243417</xdr:rowOff>
    </xdr:from>
    <xdr:to>
      <xdr:col>2</xdr:col>
      <xdr:colOff>1800225</xdr:colOff>
      <xdr:row>3</xdr:row>
      <xdr:rowOff>428625</xdr:rowOff>
    </xdr:to>
    <xdr:sp macro="" textlink="">
      <xdr:nvSpPr>
        <xdr:cNvPr id="99" name="Rectangle 1">
          <a:extLst>
            <a:ext uri="{FF2B5EF4-FFF2-40B4-BE49-F238E27FC236}">
              <a16:creationId xmlns="" xmlns:a16="http://schemas.microsoft.com/office/drawing/2014/main" id="{00000000-0008-0000-0600-000063000000}"/>
            </a:ext>
          </a:extLst>
        </xdr:cNvPr>
        <xdr:cNvSpPr>
          <a:spLocks noChangeArrowheads="1"/>
        </xdr:cNvSpPr>
      </xdr:nvSpPr>
      <xdr:spPr bwMode="auto">
        <a:xfrm>
          <a:off x="1969558" y="691092"/>
          <a:ext cx="564092" cy="185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328084</xdr:colOff>
      <xdr:row>3</xdr:row>
      <xdr:rowOff>709084</xdr:rowOff>
    </xdr:from>
    <xdr:to>
      <xdr:col>2</xdr:col>
      <xdr:colOff>885826</xdr:colOff>
      <xdr:row>3</xdr:row>
      <xdr:rowOff>866775</xdr:rowOff>
    </xdr:to>
    <xdr:sp macro="" textlink="">
      <xdr:nvSpPr>
        <xdr:cNvPr id="100" name="Rectangle 1">
          <a:extLst>
            <a:ext uri="{FF2B5EF4-FFF2-40B4-BE49-F238E27FC236}">
              <a16:creationId xmlns="" xmlns:a16="http://schemas.microsoft.com/office/drawing/2014/main" id="{00000000-0008-0000-0600-000064000000}"/>
            </a:ext>
          </a:extLst>
        </xdr:cNvPr>
        <xdr:cNvSpPr>
          <a:spLocks noChangeArrowheads="1"/>
        </xdr:cNvSpPr>
      </xdr:nvSpPr>
      <xdr:spPr bwMode="auto">
        <a:xfrm flipV="1">
          <a:off x="1061509" y="1156759"/>
          <a:ext cx="557742" cy="1576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  <a:endParaRPr lang="ru-RU" sz="800" b="0" i="0" strike="noStrike">
            <a:solidFill>
              <a:srgbClr val="000000"/>
            </a:solidFill>
            <a:latin typeface="Calibri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1190624</xdr:colOff>
      <xdr:row>7</xdr:row>
      <xdr:rowOff>1</xdr:rowOff>
    </xdr:from>
    <xdr:to>
      <xdr:col>2</xdr:col>
      <xdr:colOff>2333624</xdr:colOff>
      <xdr:row>7</xdr:row>
      <xdr:rowOff>1</xdr:rowOff>
    </xdr:to>
    <xdr:sp macro="" textlink="">
      <xdr:nvSpPr>
        <xdr:cNvPr id="12" name="Rectangle 3">
          <a:extLst>
            <a:ext uri="{FF2B5EF4-FFF2-40B4-BE49-F238E27FC236}">
              <a16:creationId xmlns="" xmlns:a16="http://schemas.microsoft.com/office/drawing/2014/main" id="{00000000-0008-0000-0700-00000C000000}"/>
            </a:ext>
          </a:extLst>
        </xdr:cNvPr>
        <xdr:cNvSpPr>
          <a:spLocks noChangeArrowheads="1"/>
        </xdr:cNvSpPr>
      </xdr:nvSpPr>
      <xdr:spPr bwMode="auto">
        <a:xfrm>
          <a:off x="1962149" y="2124076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1190624</xdr:colOff>
      <xdr:row>7</xdr:row>
      <xdr:rowOff>1</xdr:rowOff>
    </xdr:from>
    <xdr:to>
      <xdr:col>2</xdr:col>
      <xdr:colOff>2333624</xdr:colOff>
      <xdr:row>7</xdr:row>
      <xdr:rowOff>1</xdr:rowOff>
    </xdr:to>
    <xdr:sp macro="" textlink="">
      <xdr:nvSpPr>
        <xdr:cNvPr id="13" name="Rectangle 3">
          <a:extLst>
            <a:ext uri="{FF2B5EF4-FFF2-40B4-BE49-F238E27FC236}">
              <a16:creationId xmlns="" xmlns:a16="http://schemas.microsoft.com/office/drawing/2014/main" id="{00000000-0008-0000-0700-00000D000000}"/>
            </a:ext>
          </a:extLst>
        </xdr:cNvPr>
        <xdr:cNvSpPr>
          <a:spLocks noChangeArrowheads="1"/>
        </xdr:cNvSpPr>
      </xdr:nvSpPr>
      <xdr:spPr bwMode="auto">
        <a:xfrm>
          <a:off x="1962149" y="2124076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" name="Rectangle 4">
          <a:extLst>
            <a:ext uri="{FF2B5EF4-FFF2-40B4-BE49-F238E27FC236}">
              <a16:creationId xmlns="" xmlns:a16="http://schemas.microsoft.com/office/drawing/2014/main" id="{00000000-0008-0000-0700-000006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" name="Rectangle 4">
          <a:extLst>
            <a:ext uri="{FF2B5EF4-FFF2-40B4-BE49-F238E27FC236}">
              <a16:creationId xmlns="" xmlns:a16="http://schemas.microsoft.com/office/drawing/2014/main" id="{00000000-0008-0000-0700-000007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" name="Rectangle 4">
          <a:extLst>
            <a:ext uri="{FF2B5EF4-FFF2-40B4-BE49-F238E27FC236}">
              <a16:creationId xmlns=""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" name="Rectangle 4">
          <a:extLst>
            <a:ext uri="{FF2B5EF4-FFF2-40B4-BE49-F238E27FC236}">
              <a16:creationId xmlns="" xmlns:a16="http://schemas.microsoft.com/office/drawing/2014/main" id="{00000000-0008-0000-0700-00000B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" name="Rectangle 4">
          <a:extLst>
            <a:ext uri="{FF2B5EF4-FFF2-40B4-BE49-F238E27FC236}">
              <a16:creationId xmlns="" xmlns:a16="http://schemas.microsoft.com/office/drawing/2014/main" id="{00000000-0008-0000-0700-000010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" name="Rectangle 4">
          <a:extLst>
            <a:ext uri="{FF2B5EF4-FFF2-40B4-BE49-F238E27FC236}">
              <a16:creationId xmlns="" xmlns:a16="http://schemas.microsoft.com/office/drawing/2014/main" id="{00000000-0008-0000-0700-000011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0" name="Rectangle 4">
          <a:extLst>
            <a:ext uri="{FF2B5EF4-FFF2-40B4-BE49-F238E27FC236}">
              <a16:creationId xmlns="" xmlns:a16="http://schemas.microsoft.com/office/drawing/2014/main" id="{00000000-0008-0000-0700-000014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" name="Rectangle 4">
          <a:extLst>
            <a:ext uri="{FF2B5EF4-FFF2-40B4-BE49-F238E27FC236}">
              <a16:creationId xmlns="" xmlns:a16="http://schemas.microsoft.com/office/drawing/2014/main" id="{00000000-0008-0000-0700-00001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3" name="Rectangle 4">
          <a:extLst>
            <a:ext uri="{FF2B5EF4-FFF2-40B4-BE49-F238E27FC236}">
              <a16:creationId xmlns="" xmlns:a16="http://schemas.microsoft.com/office/drawing/2014/main" id="{00000000-0008-0000-0700-000017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" name="Rectangle 4">
          <a:extLst>
            <a:ext uri="{FF2B5EF4-FFF2-40B4-BE49-F238E27FC236}">
              <a16:creationId xmlns="" xmlns:a16="http://schemas.microsoft.com/office/drawing/2014/main" id="{00000000-0008-0000-0700-000018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6" name="Rectangle 4">
          <a:extLst>
            <a:ext uri="{FF2B5EF4-FFF2-40B4-BE49-F238E27FC236}">
              <a16:creationId xmlns="" xmlns:a16="http://schemas.microsoft.com/office/drawing/2014/main" id="{00000000-0008-0000-0700-00001A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" name="Rectangle 4">
          <a:extLst>
            <a:ext uri="{FF2B5EF4-FFF2-40B4-BE49-F238E27FC236}">
              <a16:creationId xmlns="" xmlns:a16="http://schemas.microsoft.com/office/drawing/2014/main" id="{00000000-0008-0000-0700-00001B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0" name="Rectangle 4">
          <a:extLst>
            <a:ext uri="{FF2B5EF4-FFF2-40B4-BE49-F238E27FC236}">
              <a16:creationId xmlns="" xmlns:a16="http://schemas.microsoft.com/office/drawing/2014/main" id="{00000000-0008-0000-0700-00001E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" name="Rectangle 4">
          <a:extLst>
            <a:ext uri="{FF2B5EF4-FFF2-40B4-BE49-F238E27FC236}">
              <a16:creationId xmlns="" xmlns:a16="http://schemas.microsoft.com/office/drawing/2014/main" id="{00000000-0008-0000-0700-00001F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3" name="Rectangle 4">
          <a:extLst>
            <a:ext uri="{FF2B5EF4-FFF2-40B4-BE49-F238E27FC236}">
              <a16:creationId xmlns="" xmlns:a16="http://schemas.microsoft.com/office/drawing/2014/main" id="{00000000-0008-0000-0700-000021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4" name="Rectangle 4">
          <a:extLst>
            <a:ext uri="{FF2B5EF4-FFF2-40B4-BE49-F238E27FC236}">
              <a16:creationId xmlns="" xmlns:a16="http://schemas.microsoft.com/office/drawing/2014/main" id="{00000000-0008-0000-0700-000022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6" name="Rectangle 4">
          <a:extLst>
            <a:ext uri="{FF2B5EF4-FFF2-40B4-BE49-F238E27FC236}">
              <a16:creationId xmlns="" xmlns:a16="http://schemas.microsoft.com/office/drawing/2014/main" id="{00000000-0008-0000-0700-000024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7" name="Rectangle 4">
          <a:extLst>
            <a:ext uri="{FF2B5EF4-FFF2-40B4-BE49-F238E27FC236}">
              <a16:creationId xmlns="" xmlns:a16="http://schemas.microsoft.com/office/drawing/2014/main" id="{00000000-0008-0000-0700-00002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6" name="Rectangle 4">
          <a:extLst>
            <a:ext uri="{FF2B5EF4-FFF2-40B4-BE49-F238E27FC236}">
              <a16:creationId xmlns="" xmlns:a16="http://schemas.microsoft.com/office/drawing/2014/main" id="{00000000-0008-0000-0700-00006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7" name="Rectangle 4">
          <a:extLst>
            <a:ext uri="{FF2B5EF4-FFF2-40B4-BE49-F238E27FC236}">
              <a16:creationId xmlns="" xmlns:a16="http://schemas.microsoft.com/office/drawing/2014/main" id="{00000000-0008-0000-0700-00006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8" name="Rectangle 4">
          <a:extLst>
            <a:ext uri="{FF2B5EF4-FFF2-40B4-BE49-F238E27FC236}">
              <a16:creationId xmlns="" xmlns:a16="http://schemas.microsoft.com/office/drawing/2014/main" id="{00000000-0008-0000-0700-00006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9" name="Rectangle 4">
          <a:extLst>
            <a:ext uri="{FF2B5EF4-FFF2-40B4-BE49-F238E27FC236}">
              <a16:creationId xmlns="" xmlns:a16="http://schemas.microsoft.com/office/drawing/2014/main" id="{00000000-0008-0000-0700-00006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0" name="Rectangle 4">
          <a:extLst>
            <a:ext uri="{FF2B5EF4-FFF2-40B4-BE49-F238E27FC236}">
              <a16:creationId xmlns="" xmlns:a16="http://schemas.microsoft.com/office/drawing/2014/main" id="{00000000-0008-0000-0700-00006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1" name="Rectangle 4">
          <a:extLst>
            <a:ext uri="{FF2B5EF4-FFF2-40B4-BE49-F238E27FC236}">
              <a16:creationId xmlns="" xmlns:a16="http://schemas.microsoft.com/office/drawing/2014/main" id="{00000000-0008-0000-0700-00006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2" name="Rectangle 4">
          <a:extLst>
            <a:ext uri="{FF2B5EF4-FFF2-40B4-BE49-F238E27FC236}">
              <a16:creationId xmlns="" xmlns:a16="http://schemas.microsoft.com/office/drawing/2014/main" id="{00000000-0008-0000-0700-00007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3" name="Rectangle 4">
          <a:extLst>
            <a:ext uri="{FF2B5EF4-FFF2-40B4-BE49-F238E27FC236}">
              <a16:creationId xmlns="" xmlns:a16="http://schemas.microsoft.com/office/drawing/2014/main" id="{00000000-0008-0000-0700-00007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4" name="Rectangle 4">
          <a:extLst>
            <a:ext uri="{FF2B5EF4-FFF2-40B4-BE49-F238E27FC236}">
              <a16:creationId xmlns="" xmlns:a16="http://schemas.microsoft.com/office/drawing/2014/main" id="{00000000-0008-0000-0700-00007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5" name="Rectangle 4">
          <a:extLst>
            <a:ext uri="{FF2B5EF4-FFF2-40B4-BE49-F238E27FC236}">
              <a16:creationId xmlns="" xmlns:a16="http://schemas.microsoft.com/office/drawing/2014/main" id="{00000000-0008-0000-0700-00007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6" name="Rectangle 4">
          <a:extLst>
            <a:ext uri="{FF2B5EF4-FFF2-40B4-BE49-F238E27FC236}">
              <a16:creationId xmlns="" xmlns:a16="http://schemas.microsoft.com/office/drawing/2014/main" id="{00000000-0008-0000-0700-00007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7" name="Rectangle 4">
          <a:extLst>
            <a:ext uri="{FF2B5EF4-FFF2-40B4-BE49-F238E27FC236}">
              <a16:creationId xmlns="" xmlns:a16="http://schemas.microsoft.com/office/drawing/2014/main" id="{00000000-0008-0000-0700-00007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8" name="Rectangle 4">
          <a:extLst>
            <a:ext uri="{FF2B5EF4-FFF2-40B4-BE49-F238E27FC236}">
              <a16:creationId xmlns="" xmlns:a16="http://schemas.microsoft.com/office/drawing/2014/main" id="{00000000-0008-0000-0700-00007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9" name="Rectangle 4">
          <a:extLst>
            <a:ext uri="{FF2B5EF4-FFF2-40B4-BE49-F238E27FC236}">
              <a16:creationId xmlns="" xmlns:a16="http://schemas.microsoft.com/office/drawing/2014/main" id="{00000000-0008-0000-0700-00007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0" name="Rectangle 4">
          <a:extLst>
            <a:ext uri="{FF2B5EF4-FFF2-40B4-BE49-F238E27FC236}">
              <a16:creationId xmlns="" xmlns:a16="http://schemas.microsoft.com/office/drawing/2014/main" id="{00000000-0008-0000-0700-00007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1" name="Rectangle 4">
          <a:extLst>
            <a:ext uri="{FF2B5EF4-FFF2-40B4-BE49-F238E27FC236}">
              <a16:creationId xmlns="" xmlns:a16="http://schemas.microsoft.com/office/drawing/2014/main" id="{00000000-0008-0000-0700-00007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2" name="Rectangle 4">
          <a:extLst>
            <a:ext uri="{FF2B5EF4-FFF2-40B4-BE49-F238E27FC236}">
              <a16:creationId xmlns="" xmlns:a16="http://schemas.microsoft.com/office/drawing/2014/main" id="{00000000-0008-0000-0700-00007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3" name="Rectangle 4">
          <a:extLst>
            <a:ext uri="{FF2B5EF4-FFF2-40B4-BE49-F238E27FC236}">
              <a16:creationId xmlns="" xmlns:a16="http://schemas.microsoft.com/office/drawing/2014/main" id="{00000000-0008-0000-0700-00007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4" name="Rectangle 4">
          <a:extLst>
            <a:ext uri="{FF2B5EF4-FFF2-40B4-BE49-F238E27FC236}">
              <a16:creationId xmlns="" xmlns:a16="http://schemas.microsoft.com/office/drawing/2014/main" id="{00000000-0008-0000-0700-00007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5" name="Rectangle 4">
          <a:extLst>
            <a:ext uri="{FF2B5EF4-FFF2-40B4-BE49-F238E27FC236}">
              <a16:creationId xmlns="" xmlns:a16="http://schemas.microsoft.com/office/drawing/2014/main" id="{00000000-0008-0000-0700-00007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6" name="Rectangle 4">
          <a:extLst>
            <a:ext uri="{FF2B5EF4-FFF2-40B4-BE49-F238E27FC236}">
              <a16:creationId xmlns="" xmlns:a16="http://schemas.microsoft.com/office/drawing/2014/main" id="{00000000-0008-0000-0700-00007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7" name="Rectangle 4">
          <a:extLst>
            <a:ext uri="{FF2B5EF4-FFF2-40B4-BE49-F238E27FC236}">
              <a16:creationId xmlns="" xmlns:a16="http://schemas.microsoft.com/office/drawing/2014/main" id="{00000000-0008-0000-0700-00007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8" name="Rectangle 4">
          <a:extLst>
            <a:ext uri="{FF2B5EF4-FFF2-40B4-BE49-F238E27FC236}">
              <a16:creationId xmlns="" xmlns:a16="http://schemas.microsoft.com/office/drawing/2014/main" id="{00000000-0008-0000-0700-00008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9" name="Rectangle 4">
          <a:extLst>
            <a:ext uri="{FF2B5EF4-FFF2-40B4-BE49-F238E27FC236}">
              <a16:creationId xmlns="" xmlns:a16="http://schemas.microsoft.com/office/drawing/2014/main" id="{00000000-0008-0000-0700-00008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0" name="Rectangle 4">
          <a:extLst>
            <a:ext uri="{FF2B5EF4-FFF2-40B4-BE49-F238E27FC236}">
              <a16:creationId xmlns="" xmlns:a16="http://schemas.microsoft.com/office/drawing/2014/main" id="{00000000-0008-0000-0700-00008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1" name="Rectangle 4">
          <a:extLst>
            <a:ext uri="{FF2B5EF4-FFF2-40B4-BE49-F238E27FC236}">
              <a16:creationId xmlns="" xmlns:a16="http://schemas.microsoft.com/office/drawing/2014/main" id="{00000000-0008-0000-0700-00008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2" name="Rectangle 4">
          <a:extLst>
            <a:ext uri="{FF2B5EF4-FFF2-40B4-BE49-F238E27FC236}">
              <a16:creationId xmlns="" xmlns:a16="http://schemas.microsoft.com/office/drawing/2014/main" id="{00000000-0008-0000-0700-00008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3" name="Rectangle 4">
          <a:extLst>
            <a:ext uri="{FF2B5EF4-FFF2-40B4-BE49-F238E27FC236}">
              <a16:creationId xmlns="" xmlns:a16="http://schemas.microsoft.com/office/drawing/2014/main" id="{00000000-0008-0000-0700-00008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4" name="Rectangle 4">
          <a:extLst>
            <a:ext uri="{FF2B5EF4-FFF2-40B4-BE49-F238E27FC236}">
              <a16:creationId xmlns="" xmlns:a16="http://schemas.microsoft.com/office/drawing/2014/main" id="{00000000-0008-0000-0700-00008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5" name="Rectangle 4">
          <a:extLst>
            <a:ext uri="{FF2B5EF4-FFF2-40B4-BE49-F238E27FC236}">
              <a16:creationId xmlns="" xmlns:a16="http://schemas.microsoft.com/office/drawing/2014/main" id="{00000000-0008-0000-0700-00008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6" name="Rectangle 4">
          <a:extLst>
            <a:ext uri="{FF2B5EF4-FFF2-40B4-BE49-F238E27FC236}">
              <a16:creationId xmlns="" xmlns:a16="http://schemas.microsoft.com/office/drawing/2014/main" id="{00000000-0008-0000-0700-00008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7" name="Rectangle 4">
          <a:extLst>
            <a:ext uri="{FF2B5EF4-FFF2-40B4-BE49-F238E27FC236}">
              <a16:creationId xmlns="" xmlns:a16="http://schemas.microsoft.com/office/drawing/2014/main" id="{00000000-0008-0000-0700-00008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8" name="Rectangle 4">
          <a:extLst>
            <a:ext uri="{FF2B5EF4-FFF2-40B4-BE49-F238E27FC236}">
              <a16:creationId xmlns="" xmlns:a16="http://schemas.microsoft.com/office/drawing/2014/main" id="{00000000-0008-0000-0700-00008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9" name="Rectangle 4">
          <a:extLst>
            <a:ext uri="{FF2B5EF4-FFF2-40B4-BE49-F238E27FC236}">
              <a16:creationId xmlns="" xmlns:a16="http://schemas.microsoft.com/office/drawing/2014/main" id="{00000000-0008-0000-0700-00008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0" name="Rectangle 4">
          <a:extLst>
            <a:ext uri="{FF2B5EF4-FFF2-40B4-BE49-F238E27FC236}">
              <a16:creationId xmlns="" xmlns:a16="http://schemas.microsoft.com/office/drawing/2014/main" id="{00000000-0008-0000-0700-00008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1" name="Rectangle 4">
          <a:extLst>
            <a:ext uri="{FF2B5EF4-FFF2-40B4-BE49-F238E27FC236}">
              <a16:creationId xmlns="" xmlns:a16="http://schemas.microsoft.com/office/drawing/2014/main" id="{00000000-0008-0000-0700-00008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2" name="Rectangle 4">
          <a:extLst>
            <a:ext uri="{FF2B5EF4-FFF2-40B4-BE49-F238E27FC236}">
              <a16:creationId xmlns="" xmlns:a16="http://schemas.microsoft.com/office/drawing/2014/main" id="{00000000-0008-0000-0700-00008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3" name="Rectangle 4">
          <a:extLst>
            <a:ext uri="{FF2B5EF4-FFF2-40B4-BE49-F238E27FC236}">
              <a16:creationId xmlns="" xmlns:a16="http://schemas.microsoft.com/office/drawing/2014/main" id="{00000000-0008-0000-0700-00008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4" name="Rectangle 4">
          <a:extLst>
            <a:ext uri="{FF2B5EF4-FFF2-40B4-BE49-F238E27FC236}">
              <a16:creationId xmlns="" xmlns:a16="http://schemas.microsoft.com/office/drawing/2014/main" id="{00000000-0008-0000-0700-00009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5" name="Rectangle 4">
          <a:extLst>
            <a:ext uri="{FF2B5EF4-FFF2-40B4-BE49-F238E27FC236}">
              <a16:creationId xmlns="" xmlns:a16="http://schemas.microsoft.com/office/drawing/2014/main" id="{00000000-0008-0000-0700-00009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6" name="Rectangle 4">
          <a:extLst>
            <a:ext uri="{FF2B5EF4-FFF2-40B4-BE49-F238E27FC236}">
              <a16:creationId xmlns="" xmlns:a16="http://schemas.microsoft.com/office/drawing/2014/main" id="{00000000-0008-0000-0700-00009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7" name="Rectangle 4">
          <a:extLst>
            <a:ext uri="{FF2B5EF4-FFF2-40B4-BE49-F238E27FC236}">
              <a16:creationId xmlns="" xmlns:a16="http://schemas.microsoft.com/office/drawing/2014/main" id="{00000000-0008-0000-0700-00009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8" name="Rectangle 4">
          <a:extLst>
            <a:ext uri="{FF2B5EF4-FFF2-40B4-BE49-F238E27FC236}">
              <a16:creationId xmlns="" xmlns:a16="http://schemas.microsoft.com/office/drawing/2014/main" id="{00000000-0008-0000-0700-00009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9" name="Rectangle 4">
          <a:extLst>
            <a:ext uri="{FF2B5EF4-FFF2-40B4-BE49-F238E27FC236}">
              <a16:creationId xmlns="" xmlns:a16="http://schemas.microsoft.com/office/drawing/2014/main" id="{00000000-0008-0000-0700-00009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0" name="Rectangle 4">
          <a:extLst>
            <a:ext uri="{FF2B5EF4-FFF2-40B4-BE49-F238E27FC236}">
              <a16:creationId xmlns="" xmlns:a16="http://schemas.microsoft.com/office/drawing/2014/main" id="{00000000-0008-0000-0700-00009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1" name="Rectangle 4">
          <a:extLst>
            <a:ext uri="{FF2B5EF4-FFF2-40B4-BE49-F238E27FC236}">
              <a16:creationId xmlns="" xmlns:a16="http://schemas.microsoft.com/office/drawing/2014/main" id="{00000000-0008-0000-0700-00009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2" name="Rectangle 4">
          <a:extLst>
            <a:ext uri="{FF2B5EF4-FFF2-40B4-BE49-F238E27FC236}">
              <a16:creationId xmlns="" xmlns:a16="http://schemas.microsoft.com/office/drawing/2014/main" id="{00000000-0008-0000-0700-00009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3" name="Rectangle 4">
          <a:extLst>
            <a:ext uri="{FF2B5EF4-FFF2-40B4-BE49-F238E27FC236}">
              <a16:creationId xmlns="" xmlns:a16="http://schemas.microsoft.com/office/drawing/2014/main" id="{00000000-0008-0000-0700-00009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466725</xdr:colOff>
      <xdr:row>4</xdr:row>
      <xdr:rowOff>295275</xdr:rowOff>
    </xdr:from>
    <xdr:to>
      <xdr:col>2</xdr:col>
      <xdr:colOff>1057275</xdr:colOff>
      <xdr:row>4</xdr:row>
      <xdr:rowOff>485775</xdr:rowOff>
    </xdr:to>
    <xdr:sp macro="" textlink="">
      <xdr:nvSpPr>
        <xdr:cNvPr id="74" name="Rectangle 1">
          <a:extLst>
            <a:ext uri="{FF2B5EF4-FFF2-40B4-BE49-F238E27FC236}">
              <a16:creationId xmlns="" xmlns:a16="http://schemas.microsoft.com/office/drawing/2014/main" id="{00000000-0008-0000-0700-00004A000000}"/>
            </a:ext>
          </a:extLst>
        </xdr:cNvPr>
        <xdr:cNvSpPr>
          <a:spLocks noChangeArrowheads="1"/>
        </xdr:cNvSpPr>
      </xdr:nvSpPr>
      <xdr:spPr bwMode="auto">
        <a:xfrm>
          <a:off x="1028700" y="1981200"/>
          <a:ext cx="5905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464820</xdr:colOff>
      <xdr:row>4</xdr:row>
      <xdr:rowOff>295275</xdr:rowOff>
    </xdr:from>
    <xdr:to>
      <xdr:col>2</xdr:col>
      <xdr:colOff>1057761</xdr:colOff>
      <xdr:row>4</xdr:row>
      <xdr:rowOff>485775</xdr:rowOff>
    </xdr:to>
    <xdr:sp macro="" textlink="">
      <xdr:nvSpPr>
        <xdr:cNvPr id="80" name="Rectangle 1">
          <a:extLst>
            <a:ext uri="{FF2B5EF4-FFF2-40B4-BE49-F238E27FC236}">
              <a16:creationId xmlns="" xmlns:a16="http://schemas.microsoft.com/office/drawing/2014/main" id="{00000000-0008-0000-0700-000050000000}"/>
            </a:ext>
          </a:extLst>
        </xdr:cNvPr>
        <xdr:cNvSpPr>
          <a:spLocks noChangeArrowheads="1"/>
        </xdr:cNvSpPr>
      </xdr:nvSpPr>
      <xdr:spPr bwMode="auto">
        <a:xfrm>
          <a:off x="1026795" y="1981200"/>
          <a:ext cx="59294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Calibri" pitchFamily="34" charset="0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1236133</xdr:colOff>
      <xdr:row>3</xdr:row>
      <xdr:rowOff>243417</xdr:rowOff>
    </xdr:from>
    <xdr:to>
      <xdr:col>2</xdr:col>
      <xdr:colOff>1790700</xdr:colOff>
      <xdr:row>3</xdr:row>
      <xdr:rowOff>409575</xdr:rowOff>
    </xdr:to>
    <xdr:sp macro="" textlink="">
      <xdr:nvSpPr>
        <xdr:cNvPr id="85" name="Rectangle 1">
          <a:extLst>
            <a:ext uri="{FF2B5EF4-FFF2-40B4-BE49-F238E27FC236}">
              <a16:creationId xmlns="" xmlns:a16="http://schemas.microsoft.com/office/drawing/2014/main" id="{00000000-0008-0000-0700-000055000000}"/>
            </a:ext>
          </a:extLst>
        </xdr:cNvPr>
        <xdr:cNvSpPr>
          <a:spLocks noChangeArrowheads="1"/>
        </xdr:cNvSpPr>
      </xdr:nvSpPr>
      <xdr:spPr bwMode="auto">
        <a:xfrm>
          <a:off x="2055283" y="691092"/>
          <a:ext cx="554567" cy="1661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328084</xdr:colOff>
      <xdr:row>3</xdr:row>
      <xdr:rowOff>709084</xdr:rowOff>
    </xdr:from>
    <xdr:to>
      <xdr:col>2</xdr:col>
      <xdr:colOff>885826</xdr:colOff>
      <xdr:row>3</xdr:row>
      <xdr:rowOff>857250</xdr:rowOff>
    </xdr:to>
    <xdr:sp macro="" textlink="">
      <xdr:nvSpPr>
        <xdr:cNvPr id="86" name="Rectangle 1">
          <a:extLst>
            <a:ext uri="{FF2B5EF4-FFF2-40B4-BE49-F238E27FC236}">
              <a16:creationId xmlns="" xmlns:a16="http://schemas.microsoft.com/office/drawing/2014/main" id="{00000000-0008-0000-0700-000056000000}"/>
            </a:ext>
          </a:extLst>
        </xdr:cNvPr>
        <xdr:cNvSpPr>
          <a:spLocks noChangeArrowheads="1"/>
        </xdr:cNvSpPr>
      </xdr:nvSpPr>
      <xdr:spPr bwMode="auto">
        <a:xfrm flipV="1">
          <a:off x="1147234" y="1156759"/>
          <a:ext cx="557742" cy="1481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  <a:endParaRPr lang="ru-RU" sz="800" b="0" i="0" strike="noStrike">
            <a:solidFill>
              <a:srgbClr val="000000"/>
            </a:solidFill>
            <a:latin typeface="Calibri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1190624</xdr:colOff>
      <xdr:row>7</xdr:row>
      <xdr:rowOff>1</xdr:rowOff>
    </xdr:from>
    <xdr:to>
      <xdr:col>2</xdr:col>
      <xdr:colOff>2333624</xdr:colOff>
      <xdr:row>7</xdr:row>
      <xdr:rowOff>1</xdr:rowOff>
    </xdr:to>
    <xdr:sp macro="" textlink="">
      <xdr:nvSpPr>
        <xdr:cNvPr id="12" name="Rectangle 3">
          <a:extLst>
            <a:ext uri="{FF2B5EF4-FFF2-40B4-BE49-F238E27FC236}">
              <a16:creationId xmlns="" xmlns:a16="http://schemas.microsoft.com/office/drawing/2014/main" id="{00000000-0008-0000-0800-00000C000000}"/>
            </a:ext>
          </a:extLst>
        </xdr:cNvPr>
        <xdr:cNvSpPr>
          <a:spLocks noChangeArrowheads="1"/>
        </xdr:cNvSpPr>
      </xdr:nvSpPr>
      <xdr:spPr bwMode="auto">
        <a:xfrm>
          <a:off x="1962149" y="2124076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1190624</xdr:colOff>
      <xdr:row>7</xdr:row>
      <xdr:rowOff>1</xdr:rowOff>
    </xdr:from>
    <xdr:to>
      <xdr:col>2</xdr:col>
      <xdr:colOff>2333624</xdr:colOff>
      <xdr:row>7</xdr:row>
      <xdr:rowOff>1</xdr:rowOff>
    </xdr:to>
    <xdr:sp macro="" textlink="">
      <xdr:nvSpPr>
        <xdr:cNvPr id="13" name="Rectangle 3">
          <a:extLst>
            <a:ext uri="{FF2B5EF4-FFF2-40B4-BE49-F238E27FC236}">
              <a16:creationId xmlns="" xmlns:a16="http://schemas.microsoft.com/office/drawing/2014/main" id="{00000000-0008-0000-0800-00000D000000}"/>
            </a:ext>
          </a:extLst>
        </xdr:cNvPr>
        <xdr:cNvSpPr>
          <a:spLocks noChangeArrowheads="1"/>
        </xdr:cNvSpPr>
      </xdr:nvSpPr>
      <xdr:spPr bwMode="auto">
        <a:xfrm>
          <a:off x="1962149" y="2124076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" name="Rectangle 4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" name="Rectangle 4">
          <a:extLst>
            <a:ext uri="{FF2B5EF4-FFF2-40B4-BE49-F238E27FC236}">
              <a16:creationId xmlns="" xmlns:a16="http://schemas.microsoft.com/office/drawing/2014/main" id="{00000000-0008-0000-0800-000007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" name="Rectangle 4">
          <a:extLst>
            <a:ext uri="{FF2B5EF4-FFF2-40B4-BE49-F238E27FC236}">
              <a16:creationId xmlns="" xmlns:a16="http://schemas.microsoft.com/office/drawing/2014/main" id="{00000000-0008-0000-0800-000009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" name="Rectangle 4">
          <a:extLst>
            <a:ext uri="{FF2B5EF4-FFF2-40B4-BE49-F238E27FC236}">
              <a16:creationId xmlns="" xmlns:a16="http://schemas.microsoft.com/office/drawing/2014/main" id="{00000000-0008-0000-0800-00000B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" name="Rectangle 4">
          <a:extLst>
            <a:ext uri="{FF2B5EF4-FFF2-40B4-BE49-F238E27FC236}">
              <a16:creationId xmlns="" xmlns:a16="http://schemas.microsoft.com/office/drawing/2014/main" id="{00000000-0008-0000-0800-000010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" name="Rectangle 4">
          <a:extLst>
            <a:ext uri="{FF2B5EF4-FFF2-40B4-BE49-F238E27FC236}">
              <a16:creationId xmlns="" xmlns:a16="http://schemas.microsoft.com/office/drawing/2014/main" id="{00000000-0008-0000-0800-000011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0" name="Rectangle 4">
          <a:extLst>
            <a:ext uri="{FF2B5EF4-FFF2-40B4-BE49-F238E27FC236}">
              <a16:creationId xmlns="" xmlns:a16="http://schemas.microsoft.com/office/drawing/2014/main" id="{00000000-0008-0000-0800-000014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" name="Rectangle 4">
          <a:extLst>
            <a:ext uri="{FF2B5EF4-FFF2-40B4-BE49-F238E27FC236}">
              <a16:creationId xmlns="" xmlns:a16="http://schemas.microsoft.com/office/drawing/2014/main" id="{00000000-0008-0000-0800-00001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3" name="Rectangle 4">
          <a:extLst>
            <a:ext uri="{FF2B5EF4-FFF2-40B4-BE49-F238E27FC236}">
              <a16:creationId xmlns="" xmlns:a16="http://schemas.microsoft.com/office/drawing/2014/main" id="{00000000-0008-0000-0800-000017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" name="Rectangle 4">
          <a:extLst>
            <a:ext uri="{FF2B5EF4-FFF2-40B4-BE49-F238E27FC236}">
              <a16:creationId xmlns="" xmlns:a16="http://schemas.microsoft.com/office/drawing/2014/main" id="{00000000-0008-0000-0800-000018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6" name="Rectangle 4">
          <a:extLst>
            <a:ext uri="{FF2B5EF4-FFF2-40B4-BE49-F238E27FC236}">
              <a16:creationId xmlns=""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" name="Rectangle 4">
          <a:extLst>
            <a:ext uri="{FF2B5EF4-FFF2-40B4-BE49-F238E27FC236}">
              <a16:creationId xmlns="" xmlns:a16="http://schemas.microsoft.com/office/drawing/2014/main" id="{00000000-0008-0000-0800-00001B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0" name="Rectangle 4">
          <a:extLst>
            <a:ext uri="{FF2B5EF4-FFF2-40B4-BE49-F238E27FC236}">
              <a16:creationId xmlns="" xmlns:a16="http://schemas.microsoft.com/office/drawing/2014/main" id="{00000000-0008-0000-0800-00001E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" name="Rectangle 4">
          <a:extLst>
            <a:ext uri="{FF2B5EF4-FFF2-40B4-BE49-F238E27FC236}">
              <a16:creationId xmlns="" xmlns:a16="http://schemas.microsoft.com/office/drawing/2014/main" id="{00000000-0008-0000-0800-00001F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3" name="Rectangle 4">
          <a:extLst>
            <a:ext uri="{FF2B5EF4-FFF2-40B4-BE49-F238E27FC236}">
              <a16:creationId xmlns="" xmlns:a16="http://schemas.microsoft.com/office/drawing/2014/main" id="{00000000-0008-0000-0800-000021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4" name="Rectangle 4">
          <a:extLst>
            <a:ext uri="{FF2B5EF4-FFF2-40B4-BE49-F238E27FC236}">
              <a16:creationId xmlns="" xmlns:a16="http://schemas.microsoft.com/office/drawing/2014/main" id="{00000000-0008-0000-0800-000022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6" name="Rectangle 4">
          <a:extLst>
            <a:ext uri="{FF2B5EF4-FFF2-40B4-BE49-F238E27FC236}">
              <a16:creationId xmlns="" xmlns:a16="http://schemas.microsoft.com/office/drawing/2014/main" id="{00000000-0008-0000-0800-000024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7" name="Rectangle 4">
          <a:extLst>
            <a:ext uri="{FF2B5EF4-FFF2-40B4-BE49-F238E27FC236}">
              <a16:creationId xmlns="" xmlns:a16="http://schemas.microsoft.com/office/drawing/2014/main" id="{00000000-0008-0000-0800-00002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4" name="Rectangle 4">
          <a:extLst>
            <a:ext uri="{FF2B5EF4-FFF2-40B4-BE49-F238E27FC236}">
              <a16:creationId xmlns="" xmlns:a16="http://schemas.microsoft.com/office/drawing/2014/main" id="{00000000-0008-0000-0800-00007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5" name="Rectangle 4">
          <a:extLst>
            <a:ext uri="{FF2B5EF4-FFF2-40B4-BE49-F238E27FC236}">
              <a16:creationId xmlns="" xmlns:a16="http://schemas.microsoft.com/office/drawing/2014/main" id="{00000000-0008-0000-0800-00007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6" name="Rectangle 4">
          <a:extLst>
            <a:ext uri="{FF2B5EF4-FFF2-40B4-BE49-F238E27FC236}">
              <a16:creationId xmlns="" xmlns:a16="http://schemas.microsoft.com/office/drawing/2014/main" id="{00000000-0008-0000-0800-00007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7" name="Rectangle 4">
          <a:extLst>
            <a:ext uri="{FF2B5EF4-FFF2-40B4-BE49-F238E27FC236}">
              <a16:creationId xmlns="" xmlns:a16="http://schemas.microsoft.com/office/drawing/2014/main" id="{00000000-0008-0000-0800-00007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8" name="Rectangle 4">
          <a:extLst>
            <a:ext uri="{FF2B5EF4-FFF2-40B4-BE49-F238E27FC236}">
              <a16:creationId xmlns="" xmlns:a16="http://schemas.microsoft.com/office/drawing/2014/main" id="{00000000-0008-0000-0800-00008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9" name="Rectangle 4">
          <a:extLst>
            <a:ext uri="{FF2B5EF4-FFF2-40B4-BE49-F238E27FC236}">
              <a16:creationId xmlns="" xmlns:a16="http://schemas.microsoft.com/office/drawing/2014/main" id="{00000000-0008-0000-0800-00008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0" name="Rectangle 4">
          <a:extLst>
            <a:ext uri="{FF2B5EF4-FFF2-40B4-BE49-F238E27FC236}">
              <a16:creationId xmlns="" xmlns:a16="http://schemas.microsoft.com/office/drawing/2014/main" id="{00000000-0008-0000-0800-00008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1" name="Rectangle 4">
          <a:extLst>
            <a:ext uri="{FF2B5EF4-FFF2-40B4-BE49-F238E27FC236}">
              <a16:creationId xmlns="" xmlns:a16="http://schemas.microsoft.com/office/drawing/2014/main" id="{00000000-0008-0000-0800-00008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2" name="Rectangle 4">
          <a:extLst>
            <a:ext uri="{FF2B5EF4-FFF2-40B4-BE49-F238E27FC236}">
              <a16:creationId xmlns="" xmlns:a16="http://schemas.microsoft.com/office/drawing/2014/main" id="{00000000-0008-0000-0800-00008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3" name="Rectangle 4">
          <a:extLst>
            <a:ext uri="{FF2B5EF4-FFF2-40B4-BE49-F238E27FC236}">
              <a16:creationId xmlns="" xmlns:a16="http://schemas.microsoft.com/office/drawing/2014/main" id="{00000000-0008-0000-0800-00008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4" name="Rectangle 4">
          <a:extLst>
            <a:ext uri="{FF2B5EF4-FFF2-40B4-BE49-F238E27FC236}">
              <a16:creationId xmlns="" xmlns:a16="http://schemas.microsoft.com/office/drawing/2014/main" id="{00000000-0008-0000-0800-00008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5" name="Rectangle 4">
          <a:extLst>
            <a:ext uri="{FF2B5EF4-FFF2-40B4-BE49-F238E27FC236}">
              <a16:creationId xmlns="" xmlns:a16="http://schemas.microsoft.com/office/drawing/2014/main" id="{00000000-0008-0000-0800-00008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6" name="Rectangle 4">
          <a:extLst>
            <a:ext uri="{FF2B5EF4-FFF2-40B4-BE49-F238E27FC236}">
              <a16:creationId xmlns="" xmlns:a16="http://schemas.microsoft.com/office/drawing/2014/main" id="{00000000-0008-0000-0800-00008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7" name="Rectangle 4">
          <a:extLst>
            <a:ext uri="{FF2B5EF4-FFF2-40B4-BE49-F238E27FC236}">
              <a16:creationId xmlns="" xmlns:a16="http://schemas.microsoft.com/office/drawing/2014/main" id="{00000000-0008-0000-0800-00008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8" name="Rectangle 4">
          <a:extLst>
            <a:ext uri="{FF2B5EF4-FFF2-40B4-BE49-F238E27FC236}">
              <a16:creationId xmlns="" xmlns:a16="http://schemas.microsoft.com/office/drawing/2014/main" id="{00000000-0008-0000-0800-00008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9" name="Rectangle 4">
          <a:extLst>
            <a:ext uri="{FF2B5EF4-FFF2-40B4-BE49-F238E27FC236}">
              <a16:creationId xmlns="" xmlns:a16="http://schemas.microsoft.com/office/drawing/2014/main" id="{00000000-0008-0000-0800-00008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0" name="Rectangle 4">
          <a:extLst>
            <a:ext uri="{FF2B5EF4-FFF2-40B4-BE49-F238E27FC236}">
              <a16:creationId xmlns="" xmlns:a16="http://schemas.microsoft.com/office/drawing/2014/main" id="{00000000-0008-0000-0800-00008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1" name="Rectangle 4">
          <a:extLst>
            <a:ext uri="{FF2B5EF4-FFF2-40B4-BE49-F238E27FC236}">
              <a16:creationId xmlns="" xmlns:a16="http://schemas.microsoft.com/office/drawing/2014/main" id="{00000000-0008-0000-0800-00008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2" name="Rectangle 4">
          <a:extLst>
            <a:ext uri="{FF2B5EF4-FFF2-40B4-BE49-F238E27FC236}">
              <a16:creationId xmlns="" xmlns:a16="http://schemas.microsoft.com/office/drawing/2014/main" id="{00000000-0008-0000-0800-00008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3" name="Rectangle 4">
          <a:extLst>
            <a:ext uri="{FF2B5EF4-FFF2-40B4-BE49-F238E27FC236}">
              <a16:creationId xmlns="" xmlns:a16="http://schemas.microsoft.com/office/drawing/2014/main" id="{00000000-0008-0000-0800-00008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4" name="Rectangle 4">
          <a:extLst>
            <a:ext uri="{FF2B5EF4-FFF2-40B4-BE49-F238E27FC236}">
              <a16:creationId xmlns="" xmlns:a16="http://schemas.microsoft.com/office/drawing/2014/main" id="{00000000-0008-0000-0800-00009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5" name="Rectangle 4">
          <a:extLst>
            <a:ext uri="{FF2B5EF4-FFF2-40B4-BE49-F238E27FC236}">
              <a16:creationId xmlns="" xmlns:a16="http://schemas.microsoft.com/office/drawing/2014/main" id="{00000000-0008-0000-0800-00009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6" name="Rectangle 4">
          <a:extLst>
            <a:ext uri="{FF2B5EF4-FFF2-40B4-BE49-F238E27FC236}">
              <a16:creationId xmlns="" xmlns:a16="http://schemas.microsoft.com/office/drawing/2014/main" id="{00000000-0008-0000-0800-00009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7" name="Rectangle 4">
          <a:extLst>
            <a:ext uri="{FF2B5EF4-FFF2-40B4-BE49-F238E27FC236}">
              <a16:creationId xmlns="" xmlns:a16="http://schemas.microsoft.com/office/drawing/2014/main" id="{00000000-0008-0000-0800-00009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8" name="Rectangle 4">
          <a:extLst>
            <a:ext uri="{FF2B5EF4-FFF2-40B4-BE49-F238E27FC236}">
              <a16:creationId xmlns="" xmlns:a16="http://schemas.microsoft.com/office/drawing/2014/main" id="{00000000-0008-0000-0800-00009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9" name="Rectangle 4">
          <a:extLst>
            <a:ext uri="{FF2B5EF4-FFF2-40B4-BE49-F238E27FC236}">
              <a16:creationId xmlns="" xmlns:a16="http://schemas.microsoft.com/office/drawing/2014/main" id="{00000000-0008-0000-0800-00009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0" name="Rectangle 4">
          <a:extLst>
            <a:ext uri="{FF2B5EF4-FFF2-40B4-BE49-F238E27FC236}">
              <a16:creationId xmlns="" xmlns:a16="http://schemas.microsoft.com/office/drawing/2014/main" id="{00000000-0008-0000-0800-00009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1" name="Rectangle 4">
          <a:extLst>
            <a:ext uri="{FF2B5EF4-FFF2-40B4-BE49-F238E27FC236}">
              <a16:creationId xmlns="" xmlns:a16="http://schemas.microsoft.com/office/drawing/2014/main" id="{00000000-0008-0000-0800-00009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2" name="Rectangle 4">
          <a:extLst>
            <a:ext uri="{FF2B5EF4-FFF2-40B4-BE49-F238E27FC236}">
              <a16:creationId xmlns="" xmlns:a16="http://schemas.microsoft.com/office/drawing/2014/main" id="{00000000-0008-0000-0800-00009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3" name="Rectangle 4">
          <a:extLst>
            <a:ext uri="{FF2B5EF4-FFF2-40B4-BE49-F238E27FC236}">
              <a16:creationId xmlns="" xmlns:a16="http://schemas.microsoft.com/office/drawing/2014/main" id="{00000000-0008-0000-0800-00009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4" name="Rectangle 4">
          <a:extLst>
            <a:ext uri="{FF2B5EF4-FFF2-40B4-BE49-F238E27FC236}">
              <a16:creationId xmlns="" xmlns:a16="http://schemas.microsoft.com/office/drawing/2014/main" id="{00000000-0008-0000-0800-00009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5" name="Rectangle 4">
          <a:extLst>
            <a:ext uri="{FF2B5EF4-FFF2-40B4-BE49-F238E27FC236}">
              <a16:creationId xmlns="" xmlns:a16="http://schemas.microsoft.com/office/drawing/2014/main" id="{00000000-0008-0000-0800-00009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6" name="Rectangle 4">
          <a:extLst>
            <a:ext uri="{FF2B5EF4-FFF2-40B4-BE49-F238E27FC236}">
              <a16:creationId xmlns="" xmlns:a16="http://schemas.microsoft.com/office/drawing/2014/main" id="{00000000-0008-0000-0800-00009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7" name="Rectangle 4">
          <a:extLst>
            <a:ext uri="{FF2B5EF4-FFF2-40B4-BE49-F238E27FC236}">
              <a16:creationId xmlns="" xmlns:a16="http://schemas.microsoft.com/office/drawing/2014/main" id="{00000000-0008-0000-0800-00009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8" name="Rectangle 4">
          <a:extLst>
            <a:ext uri="{FF2B5EF4-FFF2-40B4-BE49-F238E27FC236}">
              <a16:creationId xmlns="" xmlns:a16="http://schemas.microsoft.com/office/drawing/2014/main" id="{00000000-0008-0000-0800-00009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9" name="Rectangle 4">
          <a:extLst>
            <a:ext uri="{FF2B5EF4-FFF2-40B4-BE49-F238E27FC236}">
              <a16:creationId xmlns="" xmlns:a16="http://schemas.microsoft.com/office/drawing/2014/main" id="{00000000-0008-0000-0800-00009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0" name="Rectangle 4">
          <a:extLst>
            <a:ext uri="{FF2B5EF4-FFF2-40B4-BE49-F238E27FC236}">
              <a16:creationId xmlns="" xmlns:a16="http://schemas.microsoft.com/office/drawing/2014/main" id="{00000000-0008-0000-0800-0000A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1" name="Rectangle 4">
          <a:extLst>
            <a:ext uri="{FF2B5EF4-FFF2-40B4-BE49-F238E27FC236}">
              <a16:creationId xmlns="" xmlns:a16="http://schemas.microsoft.com/office/drawing/2014/main" id="{00000000-0008-0000-0800-0000A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2" name="Rectangle 4">
          <a:extLst>
            <a:ext uri="{FF2B5EF4-FFF2-40B4-BE49-F238E27FC236}">
              <a16:creationId xmlns="" xmlns:a16="http://schemas.microsoft.com/office/drawing/2014/main" id="{00000000-0008-0000-0800-0000A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3" name="Rectangle 4">
          <a:extLst>
            <a:ext uri="{FF2B5EF4-FFF2-40B4-BE49-F238E27FC236}">
              <a16:creationId xmlns="" xmlns:a16="http://schemas.microsoft.com/office/drawing/2014/main" id="{00000000-0008-0000-0800-0000A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4" name="Rectangle 4">
          <a:extLst>
            <a:ext uri="{FF2B5EF4-FFF2-40B4-BE49-F238E27FC236}">
              <a16:creationId xmlns="" xmlns:a16="http://schemas.microsoft.com/office/drawing/2014/main" id="{00000000-0008-0000-0800-0000A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5" name="Rectangle 4">
          <a:extLst>
            <a:ext uri="{FF2B5EF4-FFF2-40B4-BE49-F238E27FC236}">
              <a16:creationId xmlns="" xmlns:a16="http://schemas.microsoft.com/office/drawing/2014/main" id="{00000000-0008-0000-0800-0000A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6" name="Rectangle 4">
          <a:extLst>
            <a:ext uri="{FF2B5EF4-FFF2-40B4-BE49-F238E27FC236}">
              <a16:creationId xmlns="" xmlns:a16="http://schemas.microsoft.com/office/drawing/2014/main" id="{00000000-0008-0000-0800-0000A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7" name="Rectangle 4">
          <a:extLst>
            <a:ext uri="{FF2B5EF4-FFF2-40B4-BE49-F238E27FC236}">
              <a16:creationId xmlns="" xmlns:a16="http://schemas.microsoft.com/office/drawing/2014/main" id="{00000000-0008-0000-0800-0000A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8" name="Rectangle 4">
          <a:extLst>
            <a:ext uri="{FF2B5EF4-FFF2-40B4-BE49-F238E27FC236}">
              <a16:creationId xmlns="" xmlns:a16="http://schemas.microsoft.com/office/drawing/2014/main" id="{00000000-0008-0000-0800-0000A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9" name="Rectangle 4">
          <a:extLst>
            <a:ext uri="{FF2B5EF4-FFF2-40B4-BE49-F238E27FC236}">
              <a16:creationId xmlns="" xmlns:a16="http://schemas.microsoft.com/office/drawing/2014/main" id="{00000000-0008-0000-0800-0000A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0" name="Rectangle 4">
          <a:extLst>
            <a:ext uri="{FF2B5EF4-FFF2-40B4-BE49-F238E27FC236}">
              <a16:creationId xmlns="" xmlns:a16="http://schemas.microsoft.com/office/drawing/2014/main" id="{00000000-0008-0000-0800-0000A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1" name="Rectangle 4">
          <a:extLst>
            <a:ext uri="{FF2B5EF4-FFF2-40B4-BE49-F238E27FC236}">
              <a16:creationId xmlns="" xmlns:a16="http://schemas.microsoft.com/office/drawing/2014/main" id="{00000000-0008-0000-0800-0000A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2" name="Rectangle 4">
          <a:extLst>
            <a:ext uri="{FF2B5EF4-FFF2-40B4-BE49-F238E27FC236}">
              <a16:creationId xmlns="" xmlns:a16="http://schemas.microsoft.com/office/drawing/2014/main" id="{00000000-0008-0000-0800-0000A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3" name="Rectangle 4">
          <a:extLst>
            <a:ext uri="{FF2B5EF4-FFF2-40B4-BE49-F238E27FC236}">
              <a16:creationId xmlns="" xmlns:a16="http://schemas.microsoft.com/office/drawing/2014/main" id="{00000000-0008-0000-0800-0000A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4" name="Rectangle 4">
          <a:extLst>
            <a:ext uri="{FF2B5EF4-FFF2-40B4-BE49-F238E27FC236}">
              <a16:creationId xmlns="" xmlns:a16="http://schemas.microsoft.com/office/drawing/2014/main" id="{00000000-0008-0000-0800-0000A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5" name="Rectangle 4">
          <a:extLst>
            <a:ext uri="{FF2B5EF4-FFF2-40B4-BE49-F238E27FC236}">
              <a16:creationId xmlns="" xmlns:a16="http://schemas.microsoft.com/office/drawing/2014/main" id="{00000000-0008-0000-0800-0000A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6" name="Rectangle 4">
          <a:extLst>
            <a:ext uri="{FF2B5EF4-FFF2-40B4-BE49-F238E27FC236}">
              <a16:creationId xmlns="" xmlns:a16="http://schemas.microsoft.com/office/drawing/2014/main" id="{00000000-0008-0000-0800-0000B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7" name="Rectangle 4">
          <a:extLst>
            <a:ext uri="{FF2B5EF4-FFF2-40B4-BE49-F238E27FC236}">
              <a16:creationId xmlns="" xmlns:a16="http://schemas.microsoft.com/office/drawing/2014/main" id="{00000000-0008-0000-0800-0000B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8" name="Rectangle 4">
          <a:extLst>
            <a:ext uri="{FF2B5EF4-FFF2-40B4-BE49-F238E27FC236}">
              <a16:creationId xmlns="" xmlns:a16="http://schemas.microsoft.com/office/drawing/2014/main" id="{00000000-0008-0000-0800-0000B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9" name="Rectangle 4">
          <a:extLst>
            <a:ext uri="{FF2B5EF4-FFF2-40B4-BE49-F238E27FC236}">
              <a16:creationId xmlns="" xmlns:a16="http://schemas.microsoft.com/office/drawing/2014/main" id="{00000000-0008-0000-0800-0000B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0" name="Rectangle 4">
          <a:extLst>
            <a:ext uri="{FF2B5EF4-FFF2-40B4-BE49-F238E27FC236}">
              <a16:creationId xmlns="" xmlns:a16="http://schemas.microsoft.com/office/drawing/2014/main" id="{00000000-0008-0000-0800-0000B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1" name="Rectangle 4">
          <a:extLst>
            <a:ext uri="{FF2B5EF4-FFF2-40B4-BE49-F238E27FC236}">
              <a16:creationId xmlns="" xmlns:a16="http://schemas.microsoft.com/office/drawing/2014/main" id="{00000000-0008-0000-0800-0000B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2" name="Rectangle 4">
          <a:extLst>
            <a:ext uri="{FF2B5EF4-FFF2-40B4-BE49-F238E27FC236}">
              <a16:creationId xmlns="" xmlns:a16="http://schemas.microsoft.com/office/drawing/2014/main" id="{00000000-0008-0000-0800-0000B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3" name="Rectangle 4">
          <a:extLst>
            <a:ext uri="{FF2B5EF4-FFF2-40B4-BE49-F238E27FC236}">
              <a16:creationId xmlns="" xmlns:a16="http://schemas.microsoft.com/office/drawing/2014/main" id="{00000000-0008-0000-0800-0000B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4" name="Rectangle 4">
          <a:extLst>
            <a:ext uri="{FF2B5EF4-FFF2-40B4-BE49-F238E27FC236}">
              <a16:creationId xmlns="" xmlns:a16="http://schemas.microsoft.com/office/drawing/2014/main" id="{00000000-0008-0000-0800-0000B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5" name="Rectangle 4">
          <a:extLst>
            <a:ext uri="{FF2B5EF4-FFF2-40B4-BE49-F238E27FC236}">
              <a16:creationId xmlns="" xmlns:a16="http://schemas.microsoft.com/office/drawing/2014/main" id="{00000000-0008-0000-0800-0000B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6" name="Rectangle 4">
          <a:extLst>
            <a:ext uri="{FF2B5EF4-FFF2-40B4-BE49-F238E27FC236}">
              <a16:creationId xmlns="" xmlns:a16="http://schemas.microsoft.com/office/drawing/2014/main" id="{00000000-0008-0000-0800-0000B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7" name="Rectangle 4">
          <a:extLst>
            <a:ext uri="{FF2B5EF4-FFF2-40B4-BE49-F238E27FC236}">
              <a16:creationId xmlns="" xmlns:a16="http://schemas.microsoft.com/office/drawing/2014/main" id="{00000000-0008-0000-0800-0000B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8" name="Rectangle 4">
          <a:extLst>
            <a:ext uri="{FF2B5EF4-FFF2-40B4-BE49-F238E27FC236}">
              <a16:creationId xmlns="" xmlns:a16="http://schemas.microsoft.com/office/drawing/2014/main" id="{00000000-0008-0000-0800-0000B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9" name="Rectangle 4">
          <a:extLst>
            <a:ext uri="{FF2B5EF4-FFF2-40B4-BE49-F238E27FC236}">
              <a16:creationId xmlns="" xmlns:a16="http://schemas.microsoft.com/office/drawing/2014/main" id="{00000000-0008-0000-0800-0000B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466725</xdr:colOff>
      <xdr:row>4</xdr:row>
      <xdr:rowOff>295275</xdr:rowOff>
    </xdr:from>
    <xdr:to>
      <xdr:col>2</xdr:col>
      <xdr:colOff>1057275</xdr:colOff>
      <xdr:row>4</xdr:row>
      <xdr:rowOff>485775</xdr:rowOff>
    </xdr:to>
    <xdr:sp macro="" textlink="">
      <xdr:nvSpPr>
        <xdr:cNvPr id="95" name="Rectangle 1">
          <a:extLst>
            <a:ext uri="{FF2B5EF4-FFF2-40B4-BE49-F238E27FC236}">
              <a16:creationId xmlns="" xmlns:a16="http://schemas.microsoft.com/office/drawing/2014/main" id="{00000000-0008-0000-0800-00005F000000}"/>
            </a:ext>
          </a:extLst>
        </xdr:cNvPr>
        <xdr:cNvSpPr>
          <a:spLocks noChangeArrowheads="1"/>
        </xdr:cNvSpPr>
      </xdr:nvSpPr>
      <xdr:spPr bwMode="auto">
        <a:xfrm>
          <a:off x="1028700" y="1981200"/>
          <a:ext cx="5905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464820</xdr:colOff>
      <xdr:row>4</xdr:row>
      <xdr:rowOff>295275</xdr:rowOff>
    </xdr:from>
    <xdr:to>
      <xdr:col>2</xdr:col>
      <xdr:colOff>1057761</xdr:colOff>
      <xdr:row>4</xdr:row>
      <xdr:rowOff>485775</xdr:rowOff>
    </xdr:to>
    <xdr:sp macro="" textlink="">
      <xdr:nvSpPr>
        <xdr:cNvPr id="99" name="Rectangle 1">
          <a:extLst>
            <a:ext uri="{FF2B5EF4-FFF2-40B4-BE49-F238E27FC236}">
              <a16:creationId xmlns="" xmlns:a16="http://schemas.microsoft.com/office/drawing/2014/main" id="{00000000-0008-0000-0800-000063000000}"/>
            </a:ext>
          </a:extLst>
        </xdr:cNvPr>
        <xdr:cNvSpPr>
          <a:spLocks noChangeArrowheads="1"/>
        </xdr:cNvSpPr>
      </xdr:nvSpPr>
      <xdr:spPr bwMode="auto">
        <a:xfrm>
          <a:off x="1026795" y="1981200"/>
          <a:ext cx="59294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Calibri" pitchFamily="34" charset="0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1198033</xdr:colOff>
      <xdr:row>3</xdr:row>
      <xdr:rowOff>262467</xdr:rowOff>
    </xdr:from>
    <xdr:to>
      <xdr:col>2</xdr:col>
      <xdr:colOff>1762125</xdr:colOff>
      <xdr:row>3</xdr:row>
      <xdr:rowOff>419100</xdr:rowOff>
    </xdr:to>
    <xdr:sp macro="" textlink="">
      <xdr:nvSpPr>
        <xdr:cNvPr id="103" name="Rectangle 1">
          <a:extLst>
            <a:ext uri="{FF2B5EF4-FFF2-40B4-BE49-F238E27FC236}">
              <a16:creationId xmlns="" xmlns:a16="http://schemas.microsoft.com/office/drawing/2014/main" id="{00000000-0008-0000-0800-000067000000}"/>
            </a:ext>
          </a:extLst>
        </xdr:cNvPr>
        <xdr:cNvSpPr>
          <a:spLocks noChangeArrowheads="1"/>
        </xdr:cNvSpPr>
      </xdr:nvSpPr>
      <xdr:spPr bwMode="auto">
        <a:xfrm>
          <a:off x="1950508" y="710142"/>
          <a:ext cx="564092" cy="1566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299508</xdr:colOff>
      <xdr:row>3</xdr:row>
      <xdr:rowOff>709084</xdr:rowOff>
    </xdr:from>
    <xdr:to>
      <xdr:col>2</xdr:col>
      <xdr:colOff>885825</xdr:colOff>
      <xdr:row>3</xdr:row>
      <xdr:rowOff>847725</xdr:rowOff>
    </xdr:to>
    <xdr:sp macro="" textlink="">
      <xdr:nvSpPr>
        <xdr:cNvPr id="104" name="Rectangle 1">
          <a:extLst>
            <a:ext uri="{FF2B5EF4-FFF2-40B4-BE49-F238E27FC236}">
              <a16:creationId xmlns="" xmlns:a16="http://schemas.microsoft.com/office/drawing/2014/main" id="{00000000-0008-0000-0800-000068000000}"/>
            </a:ext>
          </a:extLst>
        </xdr:cNvPr>
        <xdr:cNvSpPr>
          <a:spLocks noChangeArrowheads="1"/>
        </xdr:cNvSpPr>
      </xdr:nvSpPr>
      <xdr:spPr bwMode="auto">
        <a:xfrm flipV="1">
          <a:off x="1051983" y="1156759"/>
          <a:ext cx="586317" cy="1386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  <a:endParaRPr lang="ru-RU" sz="800" b="0" i="0" strike="noStrike">
            <a:solidFill>
              <a:srgbClr val="000000"/>
            </a:solidFill>
            <a:latin typeface="Calibri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1190624</xdr:colOff>
      <xdr:row>7</xdr:row>
      <xdr:rowOff>1</xdr:rowOff>
    </xdr:from>
    <xdr:to>
      <xdr:col>2</xdr:col>
      <xdr:colOff>2333624</xdr:colOff>
      <xdr:row>7</xdr:row>
      <xdr:rowOff>1</xdr:rowOff>
    </xdr:to>
    <xdr:sp macro="" textlink="">
      <xdr:nvSpPr>
        <xdr:cNvPr id="12" name="Rectangle 3">
          <a:extLst>
            <a:ext uri="{FF2B5EF4-FFF2-40B4-BE49-F238E27FC236}">
              <a16:creationId xmlns="" xmlns:a16="http://schemas.microsoft.com/office/drawing/2014/main" id="{00000000-0008-0000-0900-00000C000000}"/>
            </a:ext>
          </a:extLst>
        </xdr:cNvPr>
        <xdr:cNvSpPr>
          <a:spLocks noChangeArrowheads="1"/>
        </xdr:cNvSpPr>
      </xdr:nvSpPr>
      <xdr:spPr bwMode="auto">
        <a:xfrm>
          <a:off x="1962149" y="2124076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1190624</xdr:colOff>
      <xdr:row>7</xdr:row>
      <xdr:rowOff>1</xdr:rowOff>
    </xdr:from>
    <xdr:to>
      <xdr:col>2</xdr:col>
      <xdr:colOff>2333624</xdr:colOff>
      <xdr:row>7</xdr:row>
      <xdr:rowOff>1</xdr:rowOff>
    </xdr:to>
    <xdr:sp macro="" textlink="">
      <xdr:nvSpPr>
        <xdr:cNvPr id="13" name="Rectangle 3">
          <a:extLst>
            <a:ext uri="{FF2B5EF4-FFF2-40B4-BE49-F238E27FC236}">
              <a16:creationId xmlns="" xmlns:a16="http://schemas.microsoft.com/office/drawing/2014/main" id="{00000000-0008-0000-0900-00000D000000}"/>
            </a:ext>
          </a:extLst>
        </xdr:cNvPr>
        <xdr:cNvSpPr>
          <a:spLocks noChangeArrowheads="1"/>
        </xdr:cNvSpPr>
      </xdr:nvSpPr>
      <xdr:spPr bwMode="auto">
        <a:xfrm>
          <a:off x="1962149" y="2124076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" name="Rectangle 4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" name="Rectangle 4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" name="Rectangle 4">
          <a:extLst>
            <a:ext uri="{FF2B5EF4-FFF2-40B4-BE49-F238E27FC236}">
              <a16:creationId xmlns="" xmlns:a16="http://schemas.microsoft.com/office/drawing/2014/main" id="{00000000-0008-0000-0900-000009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" name="Rectangle 4">
          <a:extLst>
            <a:ext uri="{FF2B5EF4-FFF2-40B4-BE49-F238E27FC236}">
              <a16:creationId xmlns="" xmlns:a16="http://schemas.microsoft.com/office/drawing/2014/main" id="{00000000-0008-0000-0900-00000B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" name="Rectangle 4">
          <a:extLst>
            <a:ext uri="{FF2B5EF4-FFF2-40B4-BE49-F238E27FC236}">
              <a16:creationId xmlns="" xmlns:a16="http://schemas.microsoft.com/office/drawing/2014/main" id="{00000000-0008-0000-0900-000010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" name="Rectangle 4">
          <a:extLst>
            <a:ext uri="{FF2B5EF4-FFF2-40B4-BE49-F238E27FC236}">
              <a16:creationId xmlns="" xmlns:a16="http://schemas.microsoft.com/office/drawing/2014/main" id="{00000000-0008-0000-0900-000011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" name="Rectangle 4">
          <a:extLst>
            <a:ext uri="{FF2B5EF4-FFF2-40B4-BE49-F238E27FC236}">
              <a16:creationId xmlns="" xmlns:a16="http://schemas.microsoft.com/office/drawing/2014/main" id="{00000000-0008-0000-0900-00001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2" name="Rectangle 4">
          <a:extLst>
            <a:ext uri="{FF2B5EF4-FFF2-40B4-BE49-F238E27FC236}">
              <a16:creationId xmlns="" xmlns:a16="http://schemas.microsoft.com/office/drawing/2014/main" id="{00000000-0008-0000-0900-000016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" name="Rectangle 4">
          <a:extLst>
            <a:ext uri="{FF2B5EF4-FFF2-40B4-BE49-F238E27FC236}">
              <a16:creationId xmlns="" xmlns:a16="http://schemas.microsoft.com/office/drawing/2014/main" id="{00000000-0008-0000-0900-000018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5" name="Rectangle 4">
          <a:extLst>
            <a:ext uri="{FF2B5EF4-FFF2-40B4-BE49-F238E27FC236}">
              <a16:creationId xmlns="" xmlns:a16="http://schemas.microsoft.com/office/drawing/2014/main" id="{00000000-0008-0000-0900-000019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" name="Rectangle 4">
          <a:extLst>
            <a:ext uri="{FF2B5EF4-FFF2-40B4-BE49-F238E27FC236}">
              <a16:creationId xmlns="" xmlns:a16="http://schemas.microsoft.com/office/drawing/2014/main" id="{00000000-0008-0000-0900-00001B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8" name="Rectangle 4">
          <a:extLst>
            <a:ext uri="{FF2B5EF4-FFF2-40B4-BE49-F238E27FC236}">
              <a16:creationId xmlns="" xmlns:a16="http://schemas.microsoft.com/office/drawing/2014/main" id="{00000000-0008-0000-0900-00001C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" name="Rectangle 4">
          <a:extLst>
            <a:ext uri="{FF2B5EF4-FFF2-40B4-BE49-F238E27FC236}">
              <a16:creationId xmlns="" xmlns:a16="http://schemas.microsoft.com/office/drawing/2014/main" id="{00000000-0008-0000-0900-00001F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2" name="Rectangle 4">
          <a:extLst>
            <a:ext uri="{FF2B5EF4-FFF2-40B4-BE49-F238E27FC236}">
              <a16:creationId xmlns="" xmlns:a16="http://schemas.microsoft.com/office/drawing/2014/main" id="{00000000-0008-0000-0900-000020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4" name="Rectangle 4">
          <a:extLst>
            <a:ext uri="{FF2B5EF4-FFF2-40B4-BE49-F238E27FC236}">
              <a16:creationId xmlns="" xmlns:a16="http://schemas.microsoft.com/office/drawing/2014/main" id="{00000000-0008-0000-0900-000022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5" name="Rectangle 4">
          <a:extLst>
            <a:ext uri="{FF2B5EF4-FFF2-40B4-BE49-F238E27FC236}">
              <a16:creationId xmlns="" xmlns:a16="http://schemas.microsoft.com/office/drawing/2014/main" id="{00000000-0008-0000-0900-000023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7" name="Rectangle 4">
          <a:extLst>
            <a:ext uri="{FF2B5EF4-FFF2-40B4-BE49-F238E27FC236}">
              <a16:creationId xmlns="" xmlns:a16="http://schemas.microsoft.com/office/drawing/2014/main" id="{00000000-0008-0000-0900-00002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8" name="Rectangle 4">
          <a:extLst>
            <a:ext uri="{FF2B5EF4-FFF2-40B4-BE49-F238E27FC236}">
              <a16:creationId xmlns="" xmlns:a16="http://schemas.microsoft.com/office/drawing/2014/main" id="{00000000-0008-0000-0900-000026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8" name="Rectangle 4">
          <a:extLst>
            <a:ext uri="{FF2B5EF4-FFF2-40B4-BE49-F238E27FC236}">
              <a16:creationId xmlns="" xmlns:a16="http://schemas.microsoft.com/office/drawing/2014/main" id="{00000000-0008-0000-0900-000030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9" name="Rectangle 4">
          <a:extLst>
            <a:ext uri="{FF2B5EF4-FFF2-40B4-BE49-F238E27FC236}">
              <a16:creationId xmlns="" xmlns:a16="http://schemas.microsoft.com/office/drawing/2014/main" id="{00000000-0008-0000-0900-000031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3" name="Rectangle 4">
          <a:extLst>
            <a:ext uri="{FF2B5EF4-FFF2-40B4-BE49-F238E27FC236}">
              <a16:creationId xmlns="" xmlns:a16="http://schemas.microsoft.com/office/drawing/2014/main" id="{00000000-0008-0000-0900-00003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7" name="Rectangle 4">
          <a:extLst>
            <a:ext uri="{FF2B5EF4-FFF2-40B4-BE49-F238E27FC236}">
              <a16:creationId xmlns="" xmlns:a16="http://schemas.microsoft.com/office/drawing/2014/main" id="{00000000-0008-0000-0900-000039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8" name="Rectangle 4">
          <a:extLst>
            <a:ext uri="{FF2B5EF4-FFF2-40B4-BE49-F238E27FC236}">
              <a16:creationId xmlns="" xmlns:a16="http://schemas.microsoft.com/office/drawing/2014/main" id="{00000000-0008-0000-0900-00003A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9" name="Rectangle 4">
          <a:extLst>
            <a:ext uri="{FF2B5EF4-FFF2-40B4-BE49-F238E27FC236}">
              <a16:creationId xmlns="" xmlns:a16="http://schemas.microsoft.com/office/drawing/2014/main" id="{00000000-0008-0000-0900-00003B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0" name="Rectangle 4">
          <a:extLst>
            <a:ext uri="{FF2B5EF4-FFF2-40B4-BE49-F238E27FC236}">
              <a16:creationId xmlns="" xmlns:a16="http://schemas.microsoft.com/office/drawing/2014/main" id="{00000000-0008-0000-0900-00003C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1" name="Rectangle 4">
          <a:extLst>
            <a:ext uri="{FF2B5EF4-FFF2-40B4-BE49-F238E27FC236}">
              <a16:creationId xmlns="" xmlns:a16="http://schemas.microsoft.com/office/drawing/2014/main" id="{00000000-0008-0000-0900-00003D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2" name="Rectangle 4">
          <a:extLst>
            <a:ext uri="{FF2B5EF4-FFF2-40B4-BE49-F238E27FC236}">
              <a16:creationId xmlns="" xmlns:a16="http://schemas.microsoft.com/office/drawing/2014/main" id="{00000000-0008-0000-0900-00003E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3" name="Rectangle 4">
          <a:extLst>
            <a:ext uri="{FF2B5EF4-FFF2-40B4-BE49-F238E27FC236}">
              <a16:creationId xmlns="" xmlns:a16="http://schemas.microsoft.com/office/drawing/2014/main" id="{00000000-0008-0000-0900-00003F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4" name="Rectangle 4">
          <a:extLst>
            <a:ext uri="{FF2B5EF4-FFF2-40B4-BE49-F238E27FC236}">
              <a16:creationId xmlns="" xmlns:a16="http://schemas.microsoft.com/office/drawing/2014/main" id="{00000000-0008-0000-0900-000040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5" name="Rectangle 4">
          <a:extLst>
            <a:ext uri="{FF2B5EF4-FFF2-40B4-BE49-F238E27FC236}">
              <a16:creationId xmlns="" xmlns:a16="http://schemas.microsoft.com/office/drawing/2014/main" id="{00000000-0008-0000-0900-000041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6" name="Rectangle 4">
          <a:extLst>
            <a:ext uri="{FF2B5EF4-FFF2-40B4-BE49-F238E27FC236}">
              <a16:creationId xmlns="" xmlns:a16="http://schemas.microsoft.com/office/drawing/2014/main" id="{00000000-0008-0000-0900-000042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7" name="Rectangle 4">
          <a:extLst>
            <a:ext uri="{FF2B5EF4-FFF2-40B4-BE49-F238E27FC236}">
              <a16:creationId xmlns="" xmlns:a16="http://schemas.microsoft.com/office/drawing/2014/main" id="{00000000-0008-0000-0900-000043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8" name="Rectangle 4">
          <a:extLst>
            <a:ext uri="{FF2B5EF4-FFF2-40B4-BE49-F238E27FC236}">
              <a16:creationId xmlns="" xmlns:a16="http://schemas.microsoft.com/office/drawing/2014/main" id="{00000000-0008-0000-0900-000044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9" name="Rectangle 4">
          <a:extLst>
            <a:ext uri="{FF2B5EF4-FFF2-40B4-BE49-F238E27FC236}">
              <a16:creationId xmlns="" xmlns:a16="http://schemas.microsoft.com/office/drawing/2014/main" id="{00000000-0008-0000-0900-00004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0" name="Rectangle 4">
          <a:extLst>
            <a:ext uri="{FF2B5EF4-FFF2-40B4-BE49-F238E27FC236}">
              <a16:creationId xmlns="" xmlns:a16="http://schemas.microsoft.com/office/drawing/2014/main" id="{00000000-0008-0000-0900-000046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1" name="Rectangle 4">
          <a:extLst>
            <a:ext uri="{FF2B5EF4-FFF2-40B4-BE49-F238E27FC236}">
              <a16:creationId xmlns="" xmlns:a16="http://schemas.microsoft.com/office/drawing/2014/main" id="{00000000-0008-0000-0900-000047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2" name="Rectangle 4">
          <a:extLst>
            <a:ext uri="{FF2B5EF4-FFF2-40B4-BE49-F238E27FC236}">
              <a16:creationId xmlns="" xmlns:a16="http://schemas.microsoft.com/office/drawing/2014/main" id="{00000000-0008-0000-0900-000048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3" name="Rectangle 4">
          <a:extLst>
            <a:ext uri="{FF2B5EF4-FFF2-40B4-BE49-F238E27FC236}">
              <a16:creationId xmlns="" xmlns:a16="http://schemas.microsoft.com/office/drawing/2014/main" id="{00000000-0008-0000-0900-000049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4" name="Rectangle 4">
          <a:extLst>
            <a:ext uri="{FF2B5EF4-FFF2-40B4-BE49-F238E27FC236}">
              <a16:creationId xmlns="" xmlns:a16="http://schemas.microsoft.com/office/drawing/2014/main" id="{00000000-0008-0000-0900-00004A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5" name="Rectangle 4">
          <a:extLst>
            <a:ext uri="{FF2B5EF4-FFF2-40B4-BE49-F238E27FC236}">
              <a16:creationId xmlns="" xmlns:a16="http://schemas.microsoft.com/office/drawing/2014/main" id="{00000000-0008-0000-0900-00004B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6" name="Rectangle 4">
          <a:extLst>
            <a:ext uri="{FF2B5EF4-FFF2-40B4-BE49-F238E27FC236}">
              <a16:creationId xmlns="" xmlns:a16="http://schemas.microsoft.com/office/drawing/2014/main" id="{00000000-0008-0000-0900-00004C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7" name="Rectangle 4">
          <a:extLst>
            <a:ext uri="{FF2B5EF4-FFF2-40B4-BE49-F238E27FC236}">
              <a16:creationId xmlns="" xmlns:a16="http://schemas.microsoft.com/office/drawing/2014/main" id="{00000000-0008-0000-0900-00004D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8" name="Rectangle 4">
          <a:extLst>
            <a:ext uri="{FF2B5EF4-FFF2-40B4-BE49-F238E27FC236}">
              <a16:creationId xmlns="" xmlns:a16="http://schemas.microsoft.com/office/drawing/2014/main" id="{00000000-0008-0000-0900-00004E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9" name="Rectangle 4">
          <a:extLst>
            <a:ext uri="{FF2B5EF4-FFF2-40B4-BE49-F238E27FC236}">
              <a16:creationId xmlns="" xmlns:a16="http://schemas.microsoft.com/office/drawing/2014/main" id="{00000000-0008-0000-0900-00004F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0" name="Rectangle 4">
          <a:extLst>
            <a:ext uri="{FF2B5EF4-FFF2-40B4-BE49-F238E27FC236}">
              <a16:creationId xmlns="" xmlns:a16="http://schemas.microsoft.com/office/drawing/2014/main" id="{00000000-0008-0000-0900-000050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1" name="Rectangle 4">
          <a:extLst>
            <a:ext uri="{FF2B5EF4-FFF2-40B4-BE49-F238E27FC236}">
              <a16:creationId xmlns="" xmlns:a16="http://schemas.microsoft.com/office/drawing/2014/main" id="{00000000-0008-0000-0900-000051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2" name="Rectangle 4">
          <a:extLst>
            <a:ext uri="{FF2B5EF4-FFF2-40B4-BE49-F238E27FC236}">
              <a16:creationId xmlns="" xmlns:a16="http://schemas.microsoft.com/office/drawing/2014/main" id="{00000000-0008-0000-0900-000052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3" name="Rectangle 4">
          <a:extLst>
            <a:ext uri="{FF2B5EF4-FFF2-40B4-BE49-F238E27FC236}">
              <a16:creationId xmlns="" xmlns:a16="http://schemas.microsoft.com/office/drawing/2014/main" id="{00000000-0008-0000-0900-000053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4" name="Rectangle 4">
          <a:extLst>
            <a:ext uri="{FF2B5EF4-FFF2-40B4-BE49-F238E27FC236}">
              <a16:creationId xmlns="" xmlns:a16="http://schemas.microsoft.com/office/drawing/2014/main" id="{00000000-0008-0000-0900-000054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5" name="Rectangle 4">
          <a:extLst>
            <a:ext uri="{FF2B5EF4-FFF2-40B4-BE49-F238E27FC236}">
              <a16:creationId xmlns="" xmlns:a16="http://schemas.microsoft.com/office/drawing/2014/main" id="{00000000-0008-0000-0900-00005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6" name="Rectangle 4">
          <a:extLst>
            <a:ext uri="{FF2B5EF4-FFF2-40B4-BE49-F238E27FC236}">
              <a16:creationId xmlns="" xmlns:a16="http://schemas.microsoft.com/office/drawing/2014/main" id="{00000000-0008-0000-0900-000056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7" name="Rectangle 4">
          <a:extLst>
            <a:ext uri="{FF2B5EF4-FFF2-40B4-BE49-F238E27FC236}">
              <a16:creationId xmlns="" xmlns:a16="http://schemas.microsoft.com/office/drawing/2014/main" id="{00000000-0008-0000-0900-000057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8" name="Rectangle 4">
          <a:extLst>
            <a:ext uri="{FF2B5EF4-FFF2-40B4-BE49-F238E27FC236}">
              <a16:creationId xmlns="" xmlns:a16="http://schemas.microsoft.com/office/drawing/2014/main" id="{00000000-0008-0000-0900-000058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9" name="Rectangle 4">
          <a:extLst>
            <a:ext uri="{FF2B5EF4-FFF2-40B4-BE49-F238E27FC236}">
              <a16:creationId xmlns="" xmlns:a16="http://schemas.microsoft.com/office/drawing/2014/main" id="{00000000-0008-0000-0900-000059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0" name="Rectangle 4">
          <a:extLst>
            <a:ext uri="{FF2B5EF4-FFF2-40B4-BE49-F238E27FC236}">
              <a16:creationId xmlns="" xmlns:a16="http://schemas.microsoft.com/office/drawing/2014/main" id="{00000000-0008-0000-0900-00005A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1" name="Rectangle 4">
          <a:extLst>
            <a:ext uri="{FF2B5EF4-FFF2-40B4-BE49-F238E27FC236}">
              <a16:creationId xmlns="" xmlns:a16="http://schemas.microsoft.com/office/drawing/2014/main" id="{00000000-0008-0000-0900-00005B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2" name="Rectangle 4">
          <a:extLst>
            <a:ext uri="{FF2B5EF4-FFF2-40B4-BE49-F238E27FC236}">
              <a16:creationId xmlns="" xmlns:a16="http://schemas.microsoft.com/office/drawing/2014/main" id="{00000000-0008-0000-0900-00005C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3" name="Rectangle 4">
          <a:extLst>
            <a:ext uri="{FF2B5EF4-FFF2-40B4-BE49-F238E27FC236}">
              <a16:creationId xmlns="" xmlns:a16="http://schemas.microsoft.com/office/drawing/2014/main" id="{00000000-0008-0000-0900-00005D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4" name="Rectangle 4">
          <a:extLst>
            <a:ext uri="{FF2B5EF4-FFF2-40B4-BE49-F238E27FC236}">
              <a16:creationId xmlns="" xmlns:a16="http://schemas.microsoft.com/office/drawing/2014/main" id="{00000000-0008-0000-0900-00005E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5" name="Rectangle 4">
          <a:extLst>
            <a:ext uri="{FF2B5EF4-FFF2-40B4-BE49-F238E27FC236}">
              <a16:creationId xmlns="" xmlns:a16="http://schemas.microsoft.com/office/drawing/2014/main" id="{00000000-0008-0000-0900-00005F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6" name="Rectangle 4">
          <a:extLst>
            <a:ext uri="{FF2B5EF4-FFF2-40B4-BE49-F238E27FC236}">
              <a16:creationId xmlns="" xmlns:a16="http://schemas.microsoft.com/office/drawing/2014/main" id="{00000000-0008-0000-0900-000060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7" name="Rectangle 4">
          <a:extLst>
            <a:ext uri="{FF2B5EF4-FFF2-40B4-BE49-F238E27FC236}">
              <a16:creationId xmlns="" xmlns:a16="http://schemas.microsoft.com/office/drawing/2014/main" id="{00000000-0008-0000-0900-000061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8" name="Rectangle 4">
          <a:extLst>
            <a:ext uri="{FF2B5EF4-FFF2-40B4-BE49-F238E27FC236}">
              <a16:creationId xmlns="" xmlns:a16="http://schemas.microsoft.com/office/drawing/2014/main" id="{00000000-0008-0000-0900-000062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9" name="Rectangle 4">
          <a:extLst>
            <a:ext uri="{FF2B5EF4-FFF2-40B4-BE49-F238E27FC236}">
              <a16:creationId xmlns="" xmlns:a16="http://schemas.microsoft.com/office/drawing/2014/main" id="{00000000-0008-0000-0900-000063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0" name="Rectangle 4">
          <a:extLst>
            <a:ext uri="{FF2B5EF4-FFF2-40B4-BE49-F238E27FC236}">
              <a16:creationId xmlns="" xmlns:a16="http://schemas.microsoft.com/office/drawing/2014/main" id="{00000000-0008-0000-0900-000064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1" name="Rectangle 4">
          <a:extLst>
            <a:ext uri="{FF2B5EF4-FFF2-40B4-BE49-F238E27FC236}">
              <a16:creationId xmlns="" xmlns:a16="http://schemas.microsoft.com/office/drawing/2014/main" id="{00000000-0008-0000-0900-00006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2" name="Rectangle 4">
          <a:extLst>
            <a:ext uri="{FF2B5EF4-FFF2-40B4-BE49-F238E27FC236}">
              <a16:creationId xmlns="" xmlns:a16="http://schemas.microsoft.com/office/drawing/2014/main" id="{00000000-0008-0000-0900-000066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3" name="Rectangle 4">
          <a:extLst>
            <a:ext uri="{FF2B5EF4-FFF2-40B4-BE49-F238E27FC236}">
              <a16:creationId xmlns="" xmlns:a16="http://schemas.microsoft.com/office/drawing/2014/main" id="{00000000-0008-0000-0900-000067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4" name="Rectangle 4">
          <a:extLst>
            <a:ext uri="{FF2B5EF4-FFF2-40B4-BE49-F238E27FC236}">
              <a16:creationId xmlns="" xmlns:a16="http://schemas.microsoft.com/office/drawing/2014/main" id="{00000000-0008-0000-0900-000068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5" name="Rectangle 4">
          <a:extLst>
            <a:ext uri="{FF2B5EF4-FFF2-40B4-BE49-F238E27FC236}">
              <a16:creationId xmlns="" xmlns:a16="http://schemas.microsoft.com/office/drawing/2014/main" id="{00000000-0008-0000-0900-000069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6" name="Rectangle 4">
          <a:extLst>
            <a:ext uri="{FF2B5EF4-FFF2-40B4-BE49-F238E27FC236}">
              <a16:creationId xmlns="" xmlns:a16="http://schemas.microsoft.com/office/drawing/2014/main" id="{00000000-0008-0000-0900-00006A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7" name="Rectangle 4">
          <a:extLst>
            <a:ext uri="{FF2B5EF4-FFF2-40B4-BE49-F238E27FC236}">
              <a16:creationId xmlns="" xmlns:a16="http://schemas.microsoft.com/office/drawing/2014/main" id="{00000000-0008-0000-0900-00006B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8" name="Rectangle 4">
          <a:extLst>
            <a:ext uri="{FF2B5EF4-FFF2-40B4-BE49-F238E27FC236}">
              <a16:creationId xmlns="" xmlns:a16="http://schemas.microsoft.com/office/drawing/2014/main" id="{00000000-0008-0000-0900-00006C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9" name="Rectangle 4">
          <a:extLst>
            <a:ext uri="{FF2B5EF4-FFF2-40B4-BE49-F238E27FC236}">
              <a16:creationId xmlns="" xmlns:a16="http://schemas.microsoft.com/office/drawing/2014/main" id="{00000000-0008-0000-0900-00006D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0" name="Rectangle 4">
          <a:extLst>
            <a:ext uri="{FF2B5EF4-FFF2-40B4-BE49-F238E27FC236}">
              <a16:creationId xmlns="" xmlns:a16="http://schemas.microsoft.com/office/drawing/2014/main" id="{00000000-0008-0000-0900-00006E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1" name="Rectangle 4">
          <a:extLst>
            <a:ext uri="{FF2B5EF4-FFF2-40B4-BE49-F238E27FC236}">
              <a16:creationId xmlns="" xmlns:a16="http://schemas.microsoft.com/office/drawing/2014/main" id="{00000000-0008-0000-0900-00006F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2" name="Rectangle 4">
          <a:extLst>
            <a:ext uri="{FF2B5EF4-FFF2-40B4-BE49-F238E27FC236}">
              <a16:creationId xmlns="" xmlns:a16="http://schemas.microsoft.com/office/drawing/2014/main" id="{00000000-0008-0000-0900-000070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3" name="Rectangle 4">
          <a:extLst>
            <a:ext uri="{FF2B5EF4-FFF2-40B4-BE49-F238E27FC236}">
              <a16:creationId xmlns="" xmlns:a16="http://schemas.microsoft.com/office/drawing/2014/main" id="{00000000-0008-0000-0900-000071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4" name="Rectangle 4">
          <a:extLst>
            <a:ext uri="{FF2B5EF4-FFF2-40B4-BE49-F238E27FC236}">
              <a16:creationId xmlns="" xmlns:a16="http://schemas.microsoft.com/office/drawing/2014/main" id="{00000000-0008-0000-0900-000072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5" name="Rectangle 4">
          <a:extLst>
            <a:ext uri="{FF2B5EF4-FFF2-40B4-BE49-F238E27FC236}">
              <a16:creationId xmlns="" xmlns:a16="http://schemas.microsoft.com/office/drawing/2014/main" id="{00000000-0008-0000-0900-000073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6" name="Rectangle 4">
          <a:extLst>
            <a:ext uri="{FF2B5EF4-FFF2-40B4-BE49-F238E27FC236}">
              <a16:creationId xmlns="" xmlns:a16="http://schemas.microsoft.com/office/drawing/2014/main" id="{00000000-0008-0000-0900-000074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7" name="Rectangle 4">
          <a:extLst>
            <a:ext uri="{FF2B5EF4-FFF2-40B4-BE49-F238E27FC236}">
              <a16:creationId xmlns="" xmlns:a16="http://schemas.microsoft.com/office/drawing/2014/main" id="{00000000-0008-0000-0900-00007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8" name="Rectangle 4">
          <a:extLst>
            <a:ext uri="{FF2B5EF4-FFF2-40B4-BE49-F238E27FC236}">
              <a16:creationId xmlns="" xmlns:a16="http://schemas.microsoft.com/office/drawing/2014/main" id="{00000000-0008-0000-0900-000076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9" name="Rectangle 4">
          <a:extLst>
            <a:ext uri="{FF2B5EF4-FFF2-40B4-BE49-F238E27FC236}">
              <a16:creationId xmlns="" xmlns:a16="http://schemas.microsoft.com/office/drawing/2014/main" id="{00000000-0008-0000-0900-000077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0" name="Rectangle 4">
          <a:extLst>
            <a:ext uri="{FF2B5EF4-FFF2-40B4-BE49-F238E27FC236}">
              <a16:creationId xmlns="" xmlns:a16="http://schemas.microsoft.com/office/drawing/2014/main" id="{00000000-0008-0000-0900-000078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1" name="Rectangle 4">
          <a:extLst>
            <a:ext uri="{FF2B5EF4-FFF2-40B4-BE49-F238E27FC236}">
              <a16:creationId xmlns="" xmlns:a16="http://schemas.microsoft.com/office/drawing/2014/main" id="{00000000-0008-0000-0900-000079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2" name="Rectangle 4">
          <a:extLst>
            <a:ext uri="{FF2B5EF4-FFF2-40B4-BE49-F238E27FC236}">
              <a16:creationId xmlns="" xmlns:a16="http://schemas.microsoft.com/office/drawing/2014/main" id="{00000000-0008-0000-0900-00007A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3" name="Rectangle 4">
          <a:extLst>
            <a:ext uri="{FF2B5EF4-FFF2-40B4-BE49-F238E27FC236}">
              <a16:creationId xmlns="" xmlns:a16="http://schemas.microsoft.com/office/drawing/2014/main" id="{00000000-0008-0000-0900-00007B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4" name="Rectangle 4">
          <a:extLst>
            <a:ext uri="{FF2B5EF4-FFF2-40B4-BE49-F238E27FC236}">
              <a16:creationId xmlns="" xmlns:a16="http://schemas.microsoft.com/office/drawing/2014/main" id="{00000000-0008-0000-0900-00007C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5" name="Rectangle 4">
          <a:extLst>
            <a:ext uri="{FF2B5EF4-FFF2-40B4-BE49-F238E27FC236}">
              <a16:creationId xmlns="" xmlns:a16="http://schemas.microsoft.com/office/drawing/2014/main" id="{00000000-0008-0000-0900-00007D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6" name="Rectangle 4">
          <a:extLst>
            <a:ext uri="{FF2B5EF4-FFF2-40B4-BE49-F238E27FC236}">
              <a16:creationId xmlns="" xmlns:a16="http://schemas.microsoft.com/office/drawing/2014/main" id="{00000000-0008-0000-0900-00007E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7" name="Rectangle 4">
          <a:extLst>
            <a:ext uri="{FF2B5EF4-FFF2-40B4-BE49-F238E27FC236}">
              <a16:creationId xmlns="" xmlns:a16="http://schemas.microsoft.com/office/drawing/2014/main" id="{00000000-0008-0000-0900-00007F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8" name="Rectangle 4">
          <a:extLst>
            <a:ext uri="{FF2B5EF4-FFF2-40B4-BE49-F238E27FC236}">
              <a16:creationId xmlns="" xmlns:a16="http://schemas.microsoft.com/office/drawing/2014/main" id="{00000000-0008-0000-0900-000080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9" name="Rectangle 4">
          <a:extLst>
            <a:ext uri="{FF2B5EF4-FFF2-40B4-BE49-F238E27FC236}">
              <a16:creationId xmlns="" xmlns:a16="http://schemas.microsoft.com/office/drawing/2014/main" id="{00000000-0008-0000-0900-000081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0" name="Rectangle 4">
          <a:extLst>
            <a:ext uri="{FF2B5EF4-FFF2-40B4-BE49-F238E27FC236}">
              <a16:creationId xmlns="" xmlns:a16="http://schemas.microsoft.com/office/drawing/2014/main" id="{00000000-0008-0000-0900-000082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1" name="Rectangle 4">
          <a:extLst>
            <a:ext uri="{FF2B5EF4-FFF2-40B4-BE49-F238E27FC236}">
              <a16:creationId xmlns="" xmlns:a16="http://schemas.microsoft.com/office/drawing/2014/main" id="{00000000-0008-0000-0900-000083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2" name="Rectangle 4">
          <a:extLst>
            <a:ext uri="{FF2B5EF4-FFF2-40B4-BE49-F238E27FC236}">
              <a16:creationId xmlns="" xmlns:a16="http://schemas.microsoft.com/office/drawing/2014/main" id="{00000000-0008-0000-0900-000084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3" name="Rectangle 4">
          <a:extLst>
            <a:ext uri="{FF2B5EF4-FFF2-40B4-BE49-F238E27FC236}">
              <a16:creationId xmlns="" xmlns:a16="http://schemas.microsoft.com/office/drawing/2014/main" id="{00000000-0008-0000-0900-00008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4" name="Rectangle 4">
          <a:extLst>
            <a:ext uri="{FF2B5EF4-FFF2-40B4-BE49-F238E27FC236}">
              <a16:creationId xmlns="" xmlns:a16="http://schemas.microsoft.com/office/drawing/2014/main" id="{00000000-0008-0000-0900-000086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5" name="Rectangle 4">
          <a:extLst>
            <a:ext uri="{FF2B5EF4-FFF2-40B4-BE49-F238E27FC236}">
              <a16:creationId xmlns="" xmlns:a16="http://schemas.microsoft.com/office/drawing/2014/main" id="{00000000-0008-0000-0900-000087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6" name="Rectangle 4">
          <a:extLst>
            <a:ext uri="{FF2B5EF4-FFF2-40B4-BE49-F238E27FC236}">
              <a16:creationId xmlns="" xmlns:a16="http://schemas.microsoft.com/office/drawing/2014/main" id="{00000000-0008-0000-0900-000088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7" name="Rectangle 4">
          <a:extLst>
            <a:ext uri="{FF2B5EF4-FFF2-40B4-BE49-F238E27FC236}">
              <a16:creationId xmlns="" xmlns:a16="http://schemas.microsoft.com/office/drawing/2014/main" id="{00000000-0008-0000-0900-000089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1200150</xdr:colOff>
      <xdr:row>3</xdr:row>
      <xdr:rowOff>257175</xdr:rowOff>
    </xdr:from>
    <xdr:to>
      <xdr:col>2</xdr:col>
      <xdr:colOff>1790700</xdr:colOff>
      <xdr:row>3</xdr:row>
      <xdr:rowOff>438150</xdr:rowOff>
    </xdr:to>
    <xdr:sp macro="" textlink="">
      <xdr:nvSpPr>
        <xdr:cNvPr id="142" name="Rectangle 6">
          <a:extLst>
            <a:ext uri="{FF2B5EF4-FFF2-40B4-BE49-F238E27FC236}">
              <a16:creationId xmlns="" xmlns:a16="http://schemas.microsoft.com/office/drawing/2014/main" id="{00000000-0008-0000-0900-00008E000000}"/>
            </a:ext>
          </a:extLst>
        </xdr:cNvPr>
        <xdr:cNvSpPr>
          <a:spLocks noChangeArrowheads="1"/>
        </xdr:cNvSpPr>
      </xdr:nvSpPr>
      <xdr:spPr bwMode="auto">
        <a:xfrm>
          <a:off x="1762125" y="866775"/>
          <a:ext cx="5905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466725</xdr:colOff>
      <xdr:row>4</xdr:row>
      <xdr:rowOff>295275</xdr:rowOff>
    </xdr:from>
    <xdr:to>
      <xdr:col>2</xdr:col>
      <xdr:colOff>1057275</xdr:colOff>
      <xdr:row>4</xdr:row>
      <xdr:rowOff>485775</xdr:rowOff>
    </xdr:to>
    <xdr:sp macro="" textlink="">
      <xdr:nvSpPr>
        <xdr:cNvPr id="138" name="Rectangle 1">
          <a:extLst>
            <a:ext uri="{FF2B5EF4-FFF2-40B4-BE49-F238E27FC236}">
              <a16:creationId xmlns="" xmlns:a16="http://schemas.microsoft.com/office/drawing/2014/main" id="{00000000-0008-0000-0900-00008A000000}"/>
            </a:ext>
          </a:extLst>
        </xdr:cNvPr>
        <xdr:cNvSpPr>
          <a:spLocks noChangeArrowheads="1"/>
        </xdr:cNvSpPr>
      </xdr:nvSpPr>
      <xdr:spPr bwMode="auto">
        <a:xfrm>
          <a:off x="1028700" y="1981200"/>
          <a:ext cx="5905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464820</xdr:colOff>
      <xdr:row>4</xdr:row>
      <xdr:rowOff>295275</xdr:rowOff>
    </xdr:from>
    <xdr:to>
      <xdr:col>2</xdr:col>
      <xdr:colOff>1057761</xdr:colOff>
      <xdr:row>4</xdr:row>
      <xdr:rowOff>485775</xdr:rowOff>
    </xdr:to>
    <xdr:sp macro="" textlink="">
      <xdr:nvSpPr>
        <xdr:cNvPr id="147" name="Rectangle 1">
          <a:extLst>
            <a:ext uri="{FF2B5EF4-FFF2-40B4-BE49-F238E27FC236}">
              <a16:creationId xmlns="" xmlns:a16="http://schemas.microsoft.com/office/drawing/2014/main" id="{00000000-0008-0000-0900-000093000000}"/>
            </a:ext>
          </a:extLst>
        </xdr:cNvPr>
        <xdr:cNvSpPr>
          <a:spLocks noChangeArrowheads="1"/>
        </xdr:cNvSpPr>
      </xdr:nvSpPr>
      <xdr:spPr bwMode="auto">
        <a:xfrm>
          <a:off x="1026795" y="1981200"/>
          <a:ext cx="59294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Calibri" pitchFamily="34" charset="0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1236133</xdr:colOff>
      <xdr:row>3</xdr:row>
      <xdr:rowOff>243417</xdr:rowOff>
    </xdr:from>
    <xdr:to>
      <xdr:col>2</xdr:col>
      <xdr:colOff>1781175</xdr:colOff>
      <xdr:row>3</xdr:row>
      <xdr:rowOff>409575</xdr:rowOff>
    </xdr:to>
    <xdr:sp macro="" textlink="">
      <xdr:nvSpPr>
        <xdr:cNvPr id="151" name="Rectangle 1">
          <a:extLst>
            <a:ext uri="{FF2B5EF4-FFF2-40B4-BE49-F238E27FC236}">
              <a16:creationId xmlns="" xmlns:a16="http://schemas.microsoft.com/office/drawing/2014/main" id="{00000000-0008-0000-0900-000097000000}"/>
            </a:ext>
          </a:extLst>
        </xdr:cNvPr>
        <xdr:cNvSpPr>
          <a:spLocks noChangeArrowheads="1"/>
        </xdr:cNvSpPr>
      </xdr:nvSpPr>
      <xdr:spPr bwMode="auto">
        <a:xfrm>
          <a:off x="2083858" y="691092"/>
          <a:ext cx="545042" cy="1661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328083</xdr:colOff>
      <xdr:row>3</xdr:row>
      <xdr:rowOff>709084</xdr:rowOff>
    </xdr:from>
    <xdr:to>
      <xdr:col>2</xdr:col>
      <xdr:colOff>895350</xdr:colOff>
      <xdr:row>3</xdr:row>
      <xdr:rowOff>876300</xdr:rowOff>
    </xdr:to>
    <xdr:sp macro="" textlink="">
      <xdr:nvSpPr>
        <xdr:cNvPr id="152" name="Rectangle 1">
          <a:extLst>
            <a:ext uri="{FF2B5EF4-FFF2-40B4-BE49-F238E27FC236}">
              <a16:creationId xmlns="" xmlns:a16="http://schemas.microsoft.com/office/drawing/2014/main" id="{00000000-0008-0000-0900-000098000000}"/>
            </a:ext>
          </a:extLst>
        </xdr:cNvPr>
        <xdr:cNvSpPr>
          <a:spLocks noChangeArrowheads="1"/>
        </xdr:cNvSpPr>
      </xdr:nvSpPr>
      <xdr:spPr bwMode="auto">
        <a:xfrm flipV="1">
          <a:off x="1175808" y="1156759"/>
          <a:ext cx="567267" cy="16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  <a:endParaRPr lang="ru-RU" sz="800" b="0" i="0" strike="noStrike">
            <a:solidFill>
              <a:srgbClr val="000000"/>
            </a:solidFill>
            <a:latin typeface="Calibri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1190624</xdr:colOff>
      <xdr:row>7</xdr:row>
      <xdr:rowOff>1</xdr:rowOff>
    </xdr:from>
    <xdr:to>
      <xdr:col>2</xdr:col>
      <xdr:colOff>2333624</xdr:colOff>
      <xdr:row>7</xdr:row>
      <xdr:rowOff>1</xdr:rowOff>
    </xdr:to>
    <xdr:sp macro="" textlink="">
      <xdr:nvSpPr>
        <xdr:cNvPr id="12" name="Rectangle 3">
          <a:extLst>
            <a:ext uri="{FF2B5EF4-FFF2-40B4-BE49-F238E27FC236}">
              <a16:creationId xmlns="" xmlns:a16="http://schemas.microsoft.com/office/drawing/2014/main" id="{00000000-0008-0000-0A00-00000C000000}"/>
            </a:ext>
          </a:extLst>
        </xdr:cNvPr>
        <xdr:cNvSpPr>
          <a:spLocks noChangeArrowheads="1"/>
        </xdr:cNvSpPr>
      </xdr:nvSpPr>
      <xdr:spPr bwMode="auto">
        <a:xfrm>
          <a:off x="1962149" y="2124076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1190624</xdr:colOff>
      <xdr:row>7</xdr:row>
      <xdr:rowOff>1</xdr:rowOff>
    </xdr:from>
    <xdr:to>
      <xdr:col>2</xdr:col>
      <xdr:colOff>2333624</xdr:colOff>
      <xdr:row>7</xdr:row>
      <xdr:rowOff>1</xdr:rowOff>
    </xdr:to>
    <xdr:sp macro="" textlink="">
      <xdr:nvSpPr>
        <xdr:cNvPr id="13" name="Rectangle 3">
          <a:extLst>
            <a:ext uri="{FF2B5EF4-FFF2-40B4-BE49-F238E27FC236}">
              <a16:creationId xmlns="" xmlns:a16="http://schemas.microsoft.com/office/drawing/2014/main" id="{00000000-0008-0000-0A00-00000D000000}"/>
            </a:ext>
          </a:extLst>
        </xdr:cNvPr>
        <xdr:cNvSpPr>
          <a:spLocks noChangeArrowheads="1"/>
        </xdr:cNvSpPr>
      </xdr:nvSpPr>
      <xdr:spPr bwMode="auto">
        <a:xfrm>
          <a:off x="1962149" y="2124076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" name="Rectangle 4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" name="Rectangle 4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" name="Rectangle 4">
          <a:extLst>
            <a:ext uri="{FF2B5EF4-FFF2-40B4-BE49-F238E27FC236}">
              <a16:creationId xmlns="" xmlns:a16="http://schemas.microsoft.com/office/drawing/2014/main" id="{00000000-0008-0000-0A00-000009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" name="Rectangle 4">
          <a:extLst>
            <a:ext uri="{FF2B5EF4-FFF2-40B4-BE49-F238E27FC236}">
              <a16:creationId xmlns="" xmlns:a16="http://schemas.microsoft.com/office/drawing/2014/main" id="{00000000-0008-0000-0A00-00000B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" name="Rectangle 4">
          <a:extLst>
            <a:ext uri="{FF2B5EF4-FFF2-40B4-BE49-F238E27FC236}">
              <a16:creationId xmlns="" xmlns:a16="http://schemas.microsoft.com/office/drawing/2014/main" id="{00000000-0008-0000-0A00-000010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" name="Rectangle 4">
          <a:extLst>
            <a:ext uri="{FF2B5EF4-FFF2-40B4-BE49-F238E27FC236}">
              <a16:creationId xmlns="" xmlns:a16="http://schemas.microsoft.com/office/drawing/2014/main" id="{00000000-0008-0000-0A00-000011000000}"/>
            </a:ext>
          </a:extLst>
        </xdr:cNvPr>
        <xdr:cNvSpPr>
          <a:spLocks noChangeArrowheads="1"/>
        </xdr:cNvSpPr>
      </xdr:nvSpPr>
      <xdr:spPr bwMode="auto">
        <a:xfrm>
          <a:off x="30289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0" name="Rectangle 4">
          <a:extLst>
            <a:ext uri="{FF2B5EF4-FFF2-40B4-BE49-F238E27FC236}">
              <a16:creationId xmlns="" xmlns:a16="http://schemas.microsoft.com/office/drawing/2014/main" id="{00000000-0008-0000-0A00-000014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" name="Rectangle 4">
          <a:extLst>
            <a:ext uri="{FF2B5EF4-FFF2-40B4-BE49-F238E27FC236}">
              <a16:creationId xmlns="" xmlns:a16="http://schemas.microsoft.com/office/drawing/2014/main" id="{00000000-0008-0000-0A00-00001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3" name="Rectangle 4">
          <a:extLst>
            <a:ext uri="{FF2B5EF4-FFF2-40B4-BE49-F238E27FC236}">
              <a16:creationId xmlns="" xmlns:a16="http://schemas.microsoft.com/office/drawing/2014/main" id="{00000000-0008-0000-0A00-000017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" name="Rectangle 4">
          <a:extLst>
            <a:ext uri="{FF2B5EF4-FFF2-40B4-BE49-F238E27FC236}">
              <a16:creationId xmlns="" xmlns:a16="http://schemas.microsoft.com/office/drawing/2014/main" id="{00000000-0008-0000-0A00-000018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6" name="Rectangle 4">
          <a:extLst>
            <a:ext uri="{FF2B5EF4-FFF2-40B4-BE49-F238E27FC236}">
              <a16:creationId xmlns="" xmlns:a16="http://schemas.microsoft.com/office/drawing/2014/main" id="{00000000-0008-0000-0A00-00001A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" name="Rectangle 4">
          <a:extLst>
            <a:ext uri="{FF2B5EF4-FFF2-40B4-BE49-F238E27FC236}">
              <a16:creationId xmlns="" xmlns:a16="http://schemas.microsoft.com/office/drawing/2014/main" id="{00000000-0008-0000-0A00-00001B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0" name="Rectangle 4">
          <a:extLst>
            <a:ext uri="{FF2B5EF4-FFF2-40B4-BE49-F238E27FC236}">
              <a16:creationId xmlns="" xmlns:a16="http://schemas.microsoft.com/office/drawing/2014/main" id="{00000000-0008-0000-0A00-00001E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" name="Rectangle 4">
          <a:extLst>
            <a:ext uri="{FF2B5EF4-FFF2-40B4-BE49-F238E27FC236}">
              <a16:creationId xmlns="" xmlns:a16="http://schemas.microsoft.com/office/drawing/2014/main" id="{00000000-0008-0000-0A00-00001F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3" name="Rectangle 4">
          <a:extLst>
            <a:ext uri="{FF2B5EF4-FFF2-40B4-BE49-F238E27FC236}">
              <a16:creationId xmlns="" xmlns:a16="http://schemas.microsoft.com/office/drawing/2014/main" id="{00000000-0008-0000-0A00-000021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4" name="Rectangle 4">
          <a:extLst>
            <a:ext uri="{FF2B5EF4-FFF2-40B4-BE49-F238E27FC236}">
              <a16:creationId xmlns="" xmlns:a16="http://schemas.microsoft.com/office/drawing/2014/main" id="{00000000-0008-0000-0A00-000022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6" name="Rectangle 4">
          <a:extLst>
            <a:ext uri="{FF2B5EF4-FFF2-40B4-BE49-F238E27FC236}">
              <a16:creationId xmlns="" xmlns:a16="http://schemas.microsoft.com/office/drawing/2014/main" id="{00000000-0008-0000-0A00-000024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7" name="Rectangle 4">
          <a:extLst>
            <a:ext uri="{FF2B5EF4-FFF2-40B4-BE49-F238E27FC236}">
              <a16:creationId xmlns="" xmlns:a16="http://schemas.microsoft.com/office/drawing/2014/main" id="{00000000-0008-0000-0A00-000025000000}"/>
            </a:ext>
          </a:extLst>
        </xdr:cNvPr>
        <xdr:cNvSpPr>
          <a:spLocks noChangeArrowheads="1"/>
        </xdr:cNvSpPr>
      </xdr:nvSpPr>
      <xdr:spPr bwMode="auto">
        <a:xfrm>
          <a:off x="2905124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9" name="Rectangle 4">
          <a:extLst>
            <a:ext uri="{FF2B5EF4-FFF2-40B4-BE49-F238E27FC236}">
              <a16:creationId xmlns="" xmlns:a16="http://schemas.microsoft.com/office/drawing/2014/main" id="{00000000-0008-0000-0A00-00009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0" name="Rectangle 4">
          <a:extLst>
            <a:ext uri="{FF2B5EF4-FFF2-40B4-BE49-F238E27FC236}">
              <a16:creationId xmlns="" xmlns:a16="http://schemas.microsoft.com/office/drawing/2014/main" id="{00000000-0008-0000-0A00-0000A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1" name="Rectangle 4">
          <a:extLst>
            <a:ext uri="{FF2B5EF4-FFF2-40B4-BE49-F238E27FC236}">
              <a16:creationId xmlns="" xmlns:a16="http://schemas.microsoft.com/office/drawing/2014/main" id="{00000000-0008-0000-0A00-0000A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2" name="Rectangle 4">
          <a:extLst>
            <a:ext uri="{FF2B5EF4-FFF2-40B4-BE49-F238E27FC236}">
              <a16:creationId xmlns="" xmlns:a16="http://schemas.microsoft.com/office/drawing/2014/main" id="{00000000-0008-0000-0A00-0000A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3" name="Rectangle 4">
          <a:extLst>
            <a:ext uri="{FF2B5EF4-FFF2-40B4-BE49-F238E27FC236}">
              <a16:creationId xmlns="" xmlns:a16="http://schemas.microsoft.com/office/drawing/2014/main" id="{00000000-0008-0000-0A00-0000A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4" name="Rectangle 4">
          <a:extLst>
            <a:ext uri="{FF2B5EF4-FFF2-40B4-BE49-F238E27FC236}">
              <a16:creationId xmlns="" xmlns:a16="http://schemas.microsoft.com/office/drawing/2014/main" id="{00000000-0008-0000-0A00-0000A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5" name="Rectangle 4">
          <a:extLst>
            <a:ext uri="{FF2B5EF4-FFF2-40B4-BE49-F238E27FC236}">
              <a16:creationId xmlns="" xmlns:a16="http://schemas.microsoft.com/office/drawing/2014/main" id="{00000000-0008-0000-0A00-0000A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6" name="Rectangle 4">
          <a:extLst>
            <a:ext uri="{FF2B5EF4-FFF2-40B4-BE49-F238E27FC236}">
              <a16:creationId xmlns="" xmlns:a16="http://schemas.microsoft.com/office/drawing/2014/main" id="{00000000-0008-0000-0A00-0000A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7" name="Rectangle 4">
          <a:extLst>
            <a:ext uri="{FF2B5EF4-FFF2-40B4-BE49-F238E27FC236}">
              <a16:creationId xmlns="" xmlns:a16="http://schemas.microsoft.com/office/drawing/2014/main" id="{00000000-0008-0000-0A00-0000A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8" name="Rectangle 4">
          <a:extLst>
            <a:ext uri="{FF2B5EF4-FFF2-40B4-BE49-F238E27FC236}">
              <a16:creationId xmlns="" xmlns:a16="http://schemas.microsoft.com/office/drawing/2014/main" id="{00000000-0008-0000-0A00-0000A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9" name="Rectangle 4">
          <a:extLst>
            <a:ext uri="{FF2B5EF4-FFF2-40B4-BE49-F238E27FC236}">
              <a16:creationId xmlns="" xmlns:a16="http://schemas.microsoft.com/office/drawing/2014/main" id="{00000000-0008-0000-0A00-0000A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0" name="Rectangle 4">
          <a:extLst>
            <a:ext uri="{FF2B5EF4-FFF2-40B4-BE49-F238E27FC236}">
              <a16:creationId xmlns="" xmlns:a16="http://schemas.microsoft.com/office/drawing/2014/main" id="{00000000-0008-0000-0A00-0000A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1" name="Rectangle 4">
          <a:extLst>
            <a:ext uri="{FF2B5EF4-FFF2-40B4-BE49-F238E27FC236}">
              <a16:creationId xmlns="" xmlns:a16="http://schemas.microsoft.com/office/drawing/2014/main" id="{00000000-0008-0000-0A00-0000A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2" name="Rectangle 4">
          <a:extLst>
            <a:ext uri="{FF2B5EF4-FFF2-40B4-BE49-F238E27FC236}">
              <a16:creationId xmlns="" xmlns:a16="http://schemas.microsoft.com/office/drawing/2014/main" id="{00000000-0008-0000-0A00-0000A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3" name="Rectangle 4">
          <a:extLst>
            <a:ext uri="{FF2B5EF4-FFF2-40B4-BE49-F238E27FC236}">
              <a16:creationId xmlns="" xmlns:a16="http://schemas.microsoft.com/office/drawing/2014/main" id="{00000000-0008-0000-0A00-0000A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4" name="Rectangle 4">
          <a:extLst>
            <a:ext uri="{FF2B5EF4-FFF2-40B4-BE49-F238E27FC236}">
              <a16:creationId xmlns="" xmlns:a16="http://schemas.microsoft.com/office/drawing/2014/main" id="{00000000-0008-0000-0A00-0000A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5" name="Rectangle 4">
          <a:extLst>
            <a:ext uri="{FF2B5EF4-FFF2-40B4-BE49-F238E27FC236}">
              <a16:creationId xmlns="" xmlns:a16="http://schemas.microsoft.com/office/drawing/2014/main" id="{00000000-0008-0000-0A00-0000A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6" name="Rectangle 4">
          <a:extLst>
            <a:ext uri="{FF2B5EF4-FFF2-40B4-BE49-F238E27FC236}">
              <a16:creationId xmlns="" xmlns:a16="http://schemas.microsoft.com/office/drawing/2014/main" id="{00000000-0008-0000-0A00-0000B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7" name="Rectangle 4">
          <a:extLst>
            <a:ext uri="{FF2B5EF4-FFF2-40B4-BE49-F238E27FC236}">
              <a16:creationId xmlns="" xmlns:a16="http://schemas.microsoft.com/office/drawing/2014/main" id="{00000000-0008-0000-0A00-0000B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8" name="Rectangle 4">
          <a:extLst>
            <a:ext uri="{FF2B5EF4-FFF2-40B4-BE49-F238E27FC236}">
              <a16:creationId xmlns="" xmlns:a16="http://schemas.microsoft.com/office/drawing/2014/main" id="{00000000-0008-0000-0A00-0000B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9" name="Rectangle 4">
          <a:extLst>
            <a:ext uri="{FF2B5EF4-FFF2-40B4-BE49-F238E27FC236}">
              <a16:creationId xmlns="" xmlns:a16="http://schemas.microsoft.com/office/drawing/2014/main" id="{00000000-0008-0000-0A00-0000B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0" name="Rectangle 4">
          <a:extLst>
            <a:ext uri="{FF2B5EF4-FFF2-40B4-BE49-F238E27FC236}">
              <a16:creationId xmlns="" xmlns:a16="http://schemas.microsoft.com/office/drawing/2014/main" id="{00000000-0008-0000-0A00-0000B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1" name="Rectangle 4">
          <a:extLst>
            <a:ext uri="{FF2B5EF4-FFF2-40B4-BE49-F238E27FC236}">
              <a16:creationId xmlns="" xmlns:a16="http://schemas.microsoft.com/office/drawing/2014/main" id="{00000000-0008-0000-0A00-0000B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2" name="Rectangle 4">
          <a:extLst>
            <a:ext uri="{FF2B5EF4-FFF2-40B4-BE49-F238E27FC236}">
              <a16:creationId xmlns="" xmlns:a16="http://schemas.microsoft.com/office/drawing/2014/main" id="{00000000-0008-0000-0A00-0000B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3" name="Rectangle 4">
          <a:extLst>
            <a:ext uri="{FF2B5EF4-FFF2-40B4-BE49-F238E27FC236}">
              <a16:creationId xmlns="" xmlns:a16="http://schemas.microsoft.com/office/drawing/2014/main" id="{00000000-0008-0000-0A00-0000B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4" name="Rectangle 4">
          <a:extLst>
            <a:ext uri="{FF2B5EF4-FFF2-40B4-BE49-F238E27FC236}">
              <a16:creationId xmlns="" xmlns:a16="http://schemas.microsoft.com/office/drawing/2014/main" id="{00000000-0008-0000-0A00-0000B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5" name="Rectangle 4">
          <a:extLst>
            <a:ext uri="{FF2B5EF4-FFF2-40B4-BE49-F238E27FC236}">
              <a16:creationId xmlns="" xmlns:a16="http://schemas.microsoft.com/office/drawing/2014/main" id="{00000000-0008-0000-0A00-0000B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6" name="Rectangle 4">
          <a:extLst>
            <a:ext uri="{FF2B5EF4-FFF2-40B4-BE49-F238E27FC236}">
              <a16:creationId xmlns="" xmlns:a16="http://schemas.microsoft.com/office/drawing/2014/main" id="{00000000-0008-0000-0A00-0000B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7" name="Rectangle 4">
          <a:extLst>
            <a:ext uri="{FF2B5EF4-FFF2-40B4-BE49-F238E27FC236}">
              <a16:creationId xmlns="" xmlns:a16="http://schemas.microsoft.com/office/drawing/2014/main" id="{00000000-0008-0000-0A00-0000B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8" name="Rectangle 4">
          <a:extLst>
            <a:ext uri="{FF2B5EF4-FFF2-40B4-BE49-F238E27FC236}">
              <a16:creationId xmlns="" xmlns:a16="http://schemas.microsoft.com/office/drawing/2014/main" id="{00000000-0008-0000-0A00-0000B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9" name="Rectangle 4">
          <a:extLst>
            <a:ext uri="{FF2B5EF4-FFF2-40B4-BE49-F238E27FC236}">
              <a16:creationId xmlns="" xmlns:a16="http://schemas.microsoft.com/office/drawing/2014/main" id="{00000000-0008-0000-0A00-0000B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90" name="Rectangle 4">
          <a:extLst>
            <a:ext uri="{FF2B5EF4-FFF2-40B4-BE49-F238E27FC236}">
              <a16:creationId xmlns="" xmlns:a16="http://schemas.microsoft.com/office/drawing/2014/main" id="{00000000-0008-0000-0A00-0000B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91" name="Rectangle 4">
          <a:extLst>
            <a:ext uri="{FF2B5EF4-FFF2-40B4-BE49-F238E27FC236}">
              <a16:creationId xmlns="" xmlns:a16="http://schemas.microsoft.com/office/drawing/2014/main" id="{00000000-0008-0000-0A00-0000B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92" name="Rectangle 4">
          <a:extLst>
            <a:ext uri="{FF2B5EF4-FFF2-40B4-BE49-F238E27FC236}">
              <a16:creationId xmlns="" xmlns:a16="http://schemas.microsoft.com/office/drawing/2014/main" id="{00000000-0008-0000-0A00-0000C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93" name="Rectangle 4">
          <a:extLst>
            <a:ext uri="{FF2B5EF4-FFF2-40B4-BE49-F238E27FC236}">
              <a16:creationId xmlns="" xmlns:a16="http://schemas.microsoft.com/office/drawing/2014/main" id="{00000000-0008-0000-0A00-0000C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94" name="Rectangle 4">
          <a:extLst>
            <a:ext uri="{FF2B5EF4-FFF2-40B4-BE49-F238E27FC236}">
              <a16:creationId xmlns="" xmlns:a16="http://schemas.microsoft.com/office/drawing/2014/main" id="{00000000-0008-0000-0A00-0000C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95" name="Rectangle 4">
          <a:extLst>
            <a:ext uri="{FF2B5EF4-FFF2-40B4-BE49-F238E27FC236}">
              <a16:creationId xmlns="" xmlns:a16="http://schemas.microsoft.com/office/drawing/2014/main" id="{00000000-0008-0000-0A00-0000C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96" name="Rectangle 4">
          <a:extLst>
            <a:ext uri="{FF2B5EF4-FFF2-40B4-BE49-F238E27FC236}">
              <a16:creationId xmlns="" xmlns:a16="http://schemas.microsoft.com/office/drawing/2014/main" id="{00000000-0008-0000-0A00-0000C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97" name="Rectangle 4">
          <a:extLst>
            <a:ext uri="{FF2B5EF4-FFF2-40B4-BE49-F238E27FC236}">
              <a16:creationId xmlns="" xmlns:a16="http://schemas.microsoft.com/office/drawing/2014/main" id="{00000000-0008-0000-0A00-0000C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98" name="Rectangle 4">
          <a:extLst>
            <a:ext uri="{FF2B5EF4-FFF2-40B4-BE49-F238E27FC236}">
              <a16:creationId xmlns="" xmlns:a16="http://schemas.microsoft.com/office/drawing/2014/main" id="{00000000-0008-0000-0A00-0000C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99" name="Rectangle 4">
          <a:extLst>
            <a:ext uri="{FF2B5EF4-FFF2-40B4-BE49-F238E27FC236}">
              <a16:creationId xmlns="" xmlns:a16="http://schemas.microsoft.com/office/drawing/2014/main" id="{00000000-0008-0000-0A00-0000C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00" name="Rectangle 4">
          <a:extLst>
            <a:ext uri="{FF2B5EF4-FFF2-40B4-BE49-F238E27FC236}">
              <a16:creationId xmlns="" xmlns:a16="http://schemas.microsoft.com/office/drawing/2014/main" id="{00000000-0008-0000-0A00-0000C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01" name="Rectangle 4">
          <a:extLst>
            <a:ext uri="{FF2B5EF4-FFF2-40B4-BE49-F238E27FC236}">
              <a16:creationId xmlns="" xmlns:a16="http://schemas.microsoft.com/office/drawing/2014/main" id="{00000000-0008-0000-0A00-0000C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02" name="Rectangle 4">
          <a:extLst>
            <a:ext uri="{FF2B5EF4-FFF2-40B4-BE49-F238E27FC236}">
              <a16:creationId xmlns="" xmlns:a16="http://schemas.microsoft.com/office/drawing/2014/main" id="{00000000-0008-0000-0A00-0000C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03" name="Rectangle 4">
          <a:extLst>
            <a:ext uri="{FF2B5EF4-FFF2-40B4-BE49-F238E27FC236}">
              <a16:creationId xmlns="" xmlns:a16="http://schemas.microsoft.com/office/drawing/2014/main" id="{00000000-0008-0000-0A00-0000C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04" name="Rectangle 4">
          <a:extLst>
            <a:ext uri="{FF2B5EF4-FFF2-40B4-BE49-F238E27FC236}">
              <a16:creationId xmlns="" xmlns:a16="http://schemas.microsoft.com/office/drawing/2014/main" id="{00000000-0008-0000-0A00-0000C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05" name="Rectangle 4">
          <a:extLst>
            <a:ext uri="{FF2B5EF4-FFF2-40B4-BE49-F238E27FC236}">
              <a16:creationId xmlns="" xmlns:a16="http://schemas.microsoft.com/office/drawing/2014/main" id="{00000000-0008-0000-0A00-0000C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06" name="Rectangle 4">
          <a:extLst>
            <a:ext uri="{FF2B5EF4-FFF2-40B4-BE49-F238E27FC236}">
              <a16:creationId xmlns="" xmlns:a16="http://schemas.microsoft.com/office/drawing/2014/main" id="{00000000-0008-0000-0A00-0000C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07" name="Rectangle 4">
          <a:extLst>
            <a:ext uri="{FF2B5EF4-FFF2-40B4-BE49-F238E27FC236}">
              <a16:creationId xmlns="" xmlns:a16="http://schemas.microsoft.com/office/drawing/2014/main" id="{00000000-0008-0000-0A00-0000C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08" name="Rectangle 4">
          <a:extLst>
            <a:ext uri="{FF2B5EF4-FFF2-40B4-BE49-F238E27FC236}">
              <a16:creationId xmlns="" xmlns:a16="http://schemas.microsoft.com/office/drawing/2014/main" id="{00000000-0008-0000-0A00-0000D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09" name="Rectangle 4">
          <a:extLst>
            <a:ext uri="{FF2B5EF4-FFF2-40B4-BE49-F238E27FC236}">
              <a16:creationId xmlns="" xmlns:a16="http://schemas.microsoft.com/office/drawing/2014/main" id="{00000000-0008-0000-0A00-0000D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0" name="Rectangle 4">
          <a:extLst>
            <a:ext uri="{FF2B5EF4-FFF2-40B4-BE49-F238E27FC236}">
              <a16:creationId xmlns="" xmlns:a16="http://schemas.microsoft.com/office/drawing/2014/main" id="{00000000-0008-0000-0A00-0000D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1" name="Rectangle 4">
          <a:extLst>
            <a:ext uri="{FF2B5EF4-FFF2-40B4-BE49-F238E27FC236}">
              <a16:creationId xmlns="" xmlns:a16="http://schemas.microsoft.com/office/drawing/2014/main" id="{00000000-0008-0000-0A00-0000D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2" name="Rectangle 4">
          <a:extLst>
            <a:ext uri="{FF2B5EF4-FFF2-40B4-BE49-F238E27FC236}">
              <a16:creationId xmlns="" xmlns:a16="http://schemas.microsoft.com/office/drawing/2014/main" id="{00000000-0008-0000-0A00-0000D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3" name="Rectangle 4">
          <a:extLst>
            <a:ext uri="{FF2B5EF4-FFF2-40B4-BE49-F238E27FC236}">
              <a16:creationId xmlns="" xmlns:a16="http://schemas.microsoft.com/office/drawing/2014/main" id="{00000000-0008-0000-0A00-0000D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4" name="Rectangle 4">
          <a:extLst>
            <a:ext uri="{FF2B5EF4-FFF2-40B4-BE49-F238E27FC236}">
              <a16:creationId xmlns="" xmlns:a16="http://schemas.microsoft.com/office/drawing/2014/main" id="{00000000-0008-0000-0A00-0000D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5" name="Rectangle 4">
          <a:extLst>
            <a:ext uri="{FF2B5EF4-FFF2-40B4-BE49-F238E27FC236}">
              <a16:creationId xmlns="" xmlns:a16="http://schemas.microsoft.com/office/drawing/2014/main" id="{00000000-0008-0000-0A00-0000D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6" name="Rectangle 4">
          <a:extLst>
            <a:ext uri="{FF2B5EF4-FFF2-40B4-BE49-F238E27FC236}">
              <a16:creationId xmlns="" xmlns:a16="http://schemas.microsoft.com/office/drawing/2014/main" id="{00000000-0008-0000-0A00-0000D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7" name="Rectangle 4">
          <a:extLst>
            <a:ext uri="{FF2B5EF4-FFF2-40B4-BE49-F238E27FC236}">
              <a16:creationId xmlns="" xmlns:a16="http://schemas.microsoft.com/office/drawing/2014/main" id="{00000000-0008-0000-0A00-0000D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8" name="Rectangle 4">
          <a:extLst>
            <a:ext uri="{FF2B5EF4-FFF2-40B4-BE49-F238E27FC236}">
              <a16:creationId xmlns="" xmlns:a16="http://schemas.microsoft.com/office/drawing/2014/main" id="{00000000-0008-0000-0A00-0000D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9" name="Rectangle 4">
          <a:extLst>
            <a:ext uri="{FF2B5EF4-FFF2-40B4-BE49-F238E27FC236}">
              <a16:creationId xmlns="" xmlns:a16="http://schemas.microsoft.com/office/drawing/2014/main" id="{00000000-0008-0000-0A00-0000D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20" name="Rectangle 4">
          <a:extLst>
            <a:ext uri="{FF2B5EF4-FFF2-40B4-BE49-F238E27FC236}">
              <a16:creationId xmlns="" xmlns:a16="http://schemas.microsoft.com/office/drawing/2014/main" id="{00000000-0008-0000-0A00-0000D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21" name="Rectangle 4">
          <a:extLst>
            <a:ext uri="{FF2B5EF4-FFF2-40B4-BE49-F238E27FC236}">
              <a16:creationId xmlns="" xmlns:a16="http://schemas.microsoft.com/office/drawing/2014/main" id="{00000000-0008-0000-0A00-0000D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22" name="Rectangle 4">
          <a:extLst>
            <a:ext uri="{FF2B5EF4-FFF2-40B4-BE49-F238E27FC236}">
              <a16:creationId xmlns="" xmlns:a16="http://schemas.microsoft.com/office/drawing/2014/main" id="{00000000-0008-0000-0A00-0000D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23" name="Rectangle 4">
          <a:extLst>
            <a:ext uri="{FF2B5EF4-FFF2-40B4-BE49-F238E27FC236}">
              <a16:creationId xmlns="" xmlns:a16="http://schemas.microsoft.com/office/drawing/2014/main" id="{00000000-0008-0000-0A00-0000D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24" name="Rectangle 4">
          <a:extLst>
            <a:ext uri="{FF2B5EF4-FFF2-40B4-BE49-F238E27FC236}">
              <a16:creationId xmlns="" xmlns:a16="http://schemas.microsoft.com/office/drawing/2014/main" id="{00000000-0008-0000-0A00-0000E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25" name="Rectangle 4">
          <a:extLst>
            <a:ext uri="{FF2B5EF4-FFF2-40B4-BE49-F238E27FC236}">
              <a16:creationId xmlns="" xmlns:a16="http://schemas.microsoft.com/office/drawing/2014/main" id="{00000000-0008-0000-0A00-0000E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26" name="Rectangle 4">
          <a:extLst>
            <a:ext uri="{FF2B5EF4-FFF2-40B4-BE49-F238E27FC236}">
              <a16:creationId xmlns="" xmlns:a16="http://schemas.microsoft.com/office/drawing/2014/main" id="{00000000-0008-0000-0A00-0000E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27" name="Rectangle 4">
          <a:extLst>
            <a:ext uri="{FF2B5EF4-FFF2-40B4-BE49-F238E27FC236}">
              <a16:creationId xmlns="" xmlns:a16="http://schemas.microsoft.com/office/drawing/2014/main" id="{00000000-0008-0000-0A00-0000E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28" name="Rectangle 4">
          <a:extLst>
            <a:ext uri="{FF2B5EF4-FFF2-40B4-BE49-F238E27FC236}">
              <a16:creationId xmlns="" xmlns:a16="http://schemas.microsoft.com/office/drawing/2014/main" id="{00000000-0008-0000-0A00-0000E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29" name="Rectangle 4">
          <a:extLst>
            <a:ext uri="{FF2B5EF4-FFF2-40B4-BE49-F238E27FC236}">
              <a16:creationId xmlns="" xmlns:a16="http://schemas.microsoft.com/office/drawing/2014/main" id="{00000000-0008-0000-0A00-0000E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30" name="Rectangle 4">
          <a:extLst>
            <a:ext uri="{FF2B5EF4-FFF2-40B4-BE49-F238E27FC236}">
              <a16:creationId xmlns="" xmlns:a16="http://schemas.microsoft.com/office/drawing/2014/main" id="{00000000-0008-0000-0A00-0000E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31" name="Rectangle 4">
          <a:extLst>
            <a:ext uri="{FF2B5EF4-FFF2-40B4-BE49-F238E27FC236}">
              <a16:creationId xmlns="" xmlns:a16="http://schemas.microsoft.com/office/drawing/2014/main" id="{00000000-0008-0000-0A00-0000E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32" name="Rectangle 4">
          <a:extLst>
            <a:ext uri="{FF2B5EF4-FFF2-40B4-BE49-F238E27FC236}">
              <a16:creationId xmlns="" xmlns:a16="http://schemas.microsoft.com/office/drawing/2014/main" id="{00000000-0008-0000-0A00-0000E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33" name="Rectangle 4">
          <a:extLst>
            <a:ext uri="{FF2B5EF4-FFF2-40B4-BE49-F238E27FC236}">
              <a16:creationId xmlns="" xmlns:a16="http://schemas.microsoft.com/office/drawing/2014/main" id="{00000000-0008-0000-0A00-0000E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34" name="Rectangle 4">
          <a:extLst>
            <a:ext uri="{FF2B5EF4-FFF2-40B4-BE49-F238E27FC236}">
              <a16:creationId xmlns="" xmlns:a16="http://schemas.microsoft.com/office/drawing/2014/main" id="{00000000-0008-0000-0A00-0000E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35" name="Rectangle 4">
          <a:extLst>
            <a:ext uri="{FF2B5EF4-FFF2-40B4-BE49-F238E27FC236}">
              <a16:creationId xmlns="" xmlns:a16="http://schemas.microsoft.com/office/drawing/2014/main" id="{00000000-0008-0000-0A00-0000E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36" name="Rectangle 4">
          <a:extLst>
            <a:ext uri="{FF2B5EF4-FFF2-40B4-BE49-F238E27FC236}">
              <a16:creationId xmlns="" xmlns:a16="http://schemas.microsoft.com/office/drawing/2014/main" id="{00000000-0008-0000-0A00-0000E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37" name="Rectangle 4">
          <a:extLst>
            <a:ext uri="{FF2B5EF4-FFF2-40B4-BE49-F238E27FC236}">
              <a16:creationId xmlns="" xmlns:a16="http://schemas.microsoft.com/office/drawing/2014/main" id="{00000000-0008-0000-0A00-0000E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38" name="Rectangle 4">
          <a:extLst>
            <a:ext uri="{FF2B5EF4-FFF2-40B4-BE49-F238E27FC236}">
              <a16:creationId xmlns="" xmlns:a16="http://schemas.microsoft.com/office/drawing/2014/main" id="{00000000-0008-0000-0A00-0000E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39" name="Rectangle 4">
          <a:extLst>
            <a:ext uri="{FF2B5EF4-FFF2-40B4-BE49-F238E27FC236}">
              <a16:creationId xmlns="" xmlns:a16="http://schemas.microsoft.com/office/drawing/2014/main" id="{00000000-0008-0000-0A00-0000E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0" name="Rectangle 4">
          <a:extLst>
            <a:ext uri="{FF2B5EF4-FFF2-40B4-BE49-F238E27FC236}">
              <a16:creationId xmlns="" xmlns:a16="http://schemas.microsoft.com/office/drawing/2014/main" id="{00000000-0008-0000-0A00-0000F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1" name="Rectangle 4">
          <a:extLst>
            <a:ext uri="{FF2B5EF4-FFF2-40B4-BE49-F238E27FC236}">
              <a16:creationId xmlns="" xmlns:a16="http://schemas.microsoft.com/office/drawing/2014/main" id="{00000000-0008-0000-0A00-0000F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2" name="Rectangle 4">
          <a:extLst>
            <a:ext uri="{FF2B5EF4-FFF2-40B4-BE49-F238E27FC236}">
              <a16:creationId xmlns="" xmlns:a16="http://schemas.microsoft.com/office/drawing/2014/main" id="{00000000-0008-0000-0A00-0000F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3" name="Rectangle 4">
          <a:extLst>
            <a:ext uri="{FF2B5EF4-FFF2-40B4-BE49-F238E27FC236}">
              <a16:creationId xmlns="" xmlns:a16="http://schemas.microsoft.com/office/drawing/2014/main" id="{00000000-0008-0000-0A00-0000F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4" name="Rectangle 4">
          <a:extLst>
            <a:ext uri="{FF2B5EF4-FFF2-40B4-BE49-F238E27FC236}">
              <a16:creationId xmlns="" xmlns:a16="http://schemas.microsoft.com/office/drawing/2014/main" id="{00000000-0008-0000-0A00-0000F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5" name="Rectangle 4">
          <a:extLst>
            <a:ext uri="{FF2B5EF4-FFF2-40B4-BE49-F238E27FC236}">
              <a16:creationId xmlns="" xmlns:a16="http://schemas.microsoft.com/office/drawing/2014/main" id="{00000000-0008-0000-0A00-0000F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6" name="Rectangle 4">
          <a:extLst>
            <a:ext uri="{FF2B5EF4-FFF2-40B4-BE49-F238E27FC236}">
              <a16:creationId xmlns="" xmlns:a16="http://schemas.microsoft.com/office/drawing/2014/main" id="{00000000-0008-0000-0A00-0000F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7" name="Rectangle 4">
          <a:extLst>
            <a:ext uri="{FF2B5EF4-FFF2-40B4-BE49-F238E27FC236}">
              <a16:creationId xmlns="" xmlns:a16="http://schemas.microsoft.com/office/drawing/2014/main" id="{00000000-0008-0000-0A00-0000F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8" name="Rectangle 4">
          <a:extLst>
            <a:ext uri="{FF2B5EF4-FFF2-40B4-BE49-F238E27FC236}">
              <a16:creationId xmlns="" xmlns:a16="http://schemas.microsoft.com/office/drawing/2014/main" id="{00000000-0008-0000-0A00-0000F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9" name="Rectangle 4">
          <a:extLst>
            <a:ext uri="{FF2B5EF4-FFF2-40B4-BE49-F238E27FC236}">
              <a16:creationId xmlns="" xmlns:a16="http://schemas.microsoft.com/office/drawing/2014/main" id="{00000000-0008-0000-0A00-0000F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50" name="Rectangle 4">
          <a:extLst>
            <a:ext uri="{FF2B5EF4-FFF2-40B4-BE49-F238E27FC236}">
              <a16:creationId xmlns="" xmlns:a16="http://schemas.microsoft.com/office/drawing/2014/main" id="{00000000-0008-0000-0A00-0000F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51" name="Rectangle 4">
          <a:extLst>
            <a:ext uri="{FF2B5EF4-FFF2-40B4-BE49-F238E27FC236}">
              <a16:creationId xmlns="" xmlns:a16="http://schemas.microsoft.com/office/drawing/2014/main" id="{00000000-0008-0000-0A00-0000F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52" name="Rectangle 4">
          <a:extLst>
            <a:ext uri="{FF2B5EF4-FFF2-40B4-BE49-F238E27FC236}">
              <a16:creationId xmlns="" xmlns:a16="http://schemas.microsoft.com/office/drawing/2014/main" id="{00000000-0008-0000-0A00-0000F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53" name="Rectangle 4">
          <a:extLst>
            <a:ext uri="{FF2B5EF4-FFF2-40B4-BE49-F238E27FC236}">
              <a16:creationId xmlns="" xmlns:a16="http://schemas.microsoft.com/office/drawing/2014/main" id="{00000000-0008-0000-0A00-0000F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54" name="Rectangle 4">
          <a:extLst>
            <a:ext uri="{FF2B5EF4-FFF2-40B4-BE49-F238E27FC236}">
              <a16:creationId xmlns="" xmlns:a16="http://schemas.microsoft.com/office/drawing/2014/main" id="{00000000-0008-0000-0A00-0000F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55" name="Rectangle 4">
          <a:extLst>
            <a:ext uri="{FF2B5EF4-FFF2-40B4-BE49-F238E27FC236}">
              <a16:creationId xmlns="" xmlns:a16="http://schemas.microsoft.com/office/drawing/2014/main" id="{00000000-0008-0000-0A00-0000F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56" name="Rectangle 4">
          <a:extLst>
            <a:ext uri="{FF2B5EF4-FFF2-40B4-BE49-F238E27FC236}">
              <a16:creationId xmlns="" xmlns:a16="http://schemas.microsoft.com/office/drawing/2014/main" id="{00000000-0008-0000-0A00-00000001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57" name="Rectangle 4">
          <a:extLst>
            <a:ext uri="{FF2B5EF4-FFF2-40B4-BE49-F238E27FC236}">
              <a16:creationId xmlns="" xmlns:a16="http://schemas.microsoft.com/office/drawing/2014/main" id="{00000000-0008-0000-0A00-00000101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58" name="Rectangle 4">
          <a:extLst>
            <a:ext uri="{FF2B5EF4-FFF2-40B4-BE49-F238E27FC236}">
              <a16:creationId xmlns="" xmlns:a16="http://schemas.microsoft.com/office/drawing/2014/main" id="{00000000-0008-0000-0A00-00000201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59" name="Rectangle 4">
          <a:extLst>
            <a:ext uri="{FF2B5EF4-FFF2-40B4-BE49-F238E27FC236}">
              <a16:creationId xmlns="" xmlns:a16="http://schemas.microsoft.com/office/drawing/2014/main" id="{00000000-0008-0000-0A00-00000301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60" name="Rectangle 4">
          <a:extLst>
            <a:ext uri="{FF2B5EF4-FFF2-40B4-BE49-F238E27FC236}">
              <a16:creationId xmlns="" xmlns:a16="http://schemas.microsoft.com/office/drawing/2014/main" id="{00000000-0008-0000-0A00-00000401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466725</xdr:colOff>
      <xdr:row>4</xdr:row>
      <xdr:rowOff>295275</xdr:rowOff>
    </xdr:from>
    <xdr:to>
      <xdr:col>2</xdr:col>
      <xdr:colOff>1057275</xdr:colOff>
      <xdr:row>4</xdr:row>
      <xdr:rowOff>485775</xdr:rowOff>
    </xdr:to>
    <xdr:sp macro="" textlink="">
      <xdr:nvSpPr>
        <xdr:cNvPr id="131" name="Rectangle 1">
          <a:extLst>
            <a:ext uri="{FF2B5EF4-FFF2-40B4-BE49-F238E27FC236}">
              <a16:creationId xmlns="" xmlns:a16="http://schemas.microsoft.com/office/drawing/2014/main" id="{00000000-0008-0000-0A00-000083000000}"/>
            </a:ext>
          </a:extLst>
        </xdr:cNvPr>
        <xdr:cNvSpPr>
          <a:spLocks noChangeArrowheads="1"/>
        </xdr:cNvSpPr>
      </xdr:nvSpPr>
      <xdr:spPr bwMode="auto">
        <a:xfrm>
          <a:off x="1028700" y="1981200"/>
          <a:ext cx="5905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464820</xdr:colOff>
      <xdr:row>4</xdr:row>
      <xdr:rowOff>295275</xdr:rowOff>
    </xdr:from>
    <xdr:to>
      <xdr:col>2</xdr:col>
      <xdr:colOff>1057761</xdr:colOff>
      <xdr:row>4</xdr:row>
      <xdr:rowOff>485775</xdr:rowOff>
    </xdr:to>
    <xdr:sp macro="" textlink="">
      <xdr:nvSpPr>
        <xdr:cNvPr id="135" name="Rectangle 1">
          <a:extLst>
            <a:ext uri="{FF2B5EF4-FFF2-40B4-BE49-F238E27FC236}">
              <a16:creationId xmlns="" xmlns:a16="http://schemas.microsoft.com/office/drawing/2014/main" id="{00000000-0008-0000-0A00-000087000000}"/>
            </a:ext>
          </a:extLst>
        </xdr:cNvPr>
        <xdr:cNvSpPr>
          <a:spLocks noChangeArrowheads="1"/>
        </xdr:cNvSpPr>
      </xdr:nvSpPr>
      <xdr:spPr bwMode="auto">
        <a:xfrm>
          <a:off x="1026795" y="1981200"/>
          <a:ext cx="59294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Calibri" pitchFamily="34" charset="0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8" name="Rectangle 4">
          <a:extLst>
            <a:ext uri="{FF2B5EF4-FFF2-40B4-BE49-F238E27FC236}">
              <a16:creationId xmlns="" xmlns:a16="http://schemas.microsoft.com/office/drawing/2014/main" id="{00000000-0008-0000-0A00-00008A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9" name="Rectangle 4">
          <a:extLst>
            <a:ext uri="{FF2B5EF4-FFF2-40B4-BE49-F238E27FC236}">
              <a16:creationId xmlns="" xmlns:a16="http://schemas.microsoft.com/office/drawing/2014/main" id="{00000000-0008-0000-0A00-00008B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0" name="Rectangle 4">
          <a:extLst>
            <a:ext uri="{FF2B5EF4-FFF2-40B4-BE49-F238E27FC236}">
              <a16:creationId xmlns="" xmlns:a16="http://schemas.microsoft.com/office/drawing/2014/main" id="{00000000-0008-0000-0A00-00008C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1" name="Rectangle 4">
          <a:extLst>
            <a:ext uri="{FF2B5EF4-FFF2-40B4-BE49-F238E27FC236}">
              <a16:creationId xmlns="" xmlns:a16="http://schemas.microsoft.com/office/drawing/2014/main" id="{00000000-0008-0000-0A00-00008D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2" name="Rectangle 4">
          <a:extLst>
            <a:ext uri="{FF2B5EF4-FFF2-40B4-BE49-F238E27FC236}">
              <a16:creationId xmlns="" xmlns:a16="http://schemas.microsoft.com/office/drawing/2014/main" id="{00000000-0008-0000-0A00-00008E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3" name="Rectangle 4">
          <a:extLst>
            <a:ext uri="{FF2B5EF4-FFF2-40B4-BE49-F238E27FC236}">
              <a16:creationId xmlns="" xmlns:a16="http://schemas.microsoft.com/office/drawing/2014/main" id="{00000000-0008-0000-0A00-00008F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4" name="Rectangle 4">
          <a:extLst>
            <a:ext uri="{FF2B5EF4-FFF2-40B4-BE49-F238E27FC236}">
              <a16:creationId xmlns="" xmlns:a16="http://schemas.microsoft.com/office/drawing/2014/main" id="{00000000-0008-0000-0A00-000090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5" name="Rectangle 4">
          <a:extLst>
            <a:ext uri="{FF2B5EF4-FFF2-40B4-BE49-F238E27FC236}">
              <a16:creationId xmlns="" xmlns:a16="http://schemas.microsoft.com/office/drawing/2014/main" id="{00000000-0008-0000-0A00-000091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6" name="Rectangle 4">
          <a:extLst>
            <a:ext uri="{FF2B5EF4-FFF2-40B4-BE49-F238E27FC236}">
              <a16:creationId xmlns="" xmlns:a16="http://schemas.microsoft.com/office/drawing/2014/main" id="{00000000-0008-0000-0A00-000092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7" name="Rectangle 4">
          <a:extLst>
            <a:ext uri="{FF2B5EF4-FFF2-40B4-BE49-F238E27FC236}">
              <a16:creationId xmlns="" xmlns:a16="http://schemas.microsoft.com/office/drawing/2014/main" id="{00000000-0008-0000-0A00-000093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8" name="Rectangle 4">
          <a:extLst>
            <a:ext uri="{FF2B5EF4-FFF2-40B4-BE49-F238E27FC236}">
              <a16:creationId xmlns="" xmlns:a16="http://schemas.microsoft.com/office/drawing/2014/main" id="{00000000-0008-0000-0A00-000094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9" name="Rectangle 4">
          <a:extLst>
            <a:ext uri="{FF2B5EF4-FFF2-40B4-BE49-F238E27FC236}">
              <a16:creationId xmlns="" xmlns:a16="http://schemas.microsoft.com/office/drawing/2014/main" id="{00000000-0008-0000-0A00-000095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0" name="Rectangle 4">
          <a:extLst>
            <a:ext uri="{FF2B5EF4-FFF2-40B4-BE49-F238E27FC236}">
              <a16:creationId xmlns="" xmlns:a16="http://schemas.microsoft.com/office/drawing/2014/main" id="{00000000-0008-0000-0A00-000096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1" name="Rectangle 4">
          <a:extLst>
            <a:ext uri="{FF2B5EF4-FFF2-40B4-BE49-F238E27FC236}">
              <a16:creationId xmlns="" xmlns:a16="http://schemas.microsoft.com/office/drawing/2014/main" id="{00000000-0008-0000-0A00-000097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2" name="Rectangle 4">
          <a:extLst>
            <a:ext uri="{FF2B5EF4-FFF2-40B4-BE49-F238E27FC236}">
              <a16:creationId xmlns="" xmlns:a16="http://schemas.microsoft.com/office/drawing/2014/main" id="{00000000-0008-0000-0A00-000098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3" name="Rectangle 4">
          <a:extLst>
            <a:ext uri="{FF2B5EF4-FFF2-40B4-BE49-F238E27FC236}">
              <a16:creationId xmlns="" xmlns:a16="http://schemas.microsoft.com/office/drawing/2014/main" id="{00000000-0008-0000-0A00-000099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4" name="Rectangle 4">
          <a:extLst>
            <a:ext uri="{FF2B5EF4-FFF2-40B4-BE49-F238E27FC236}">
              <a16:creationId xmlns="" xmlns:a16="http://schemas.microsoft.com/office/drawing/2014/main" id="{00000000-0008-0000-0A00-00009A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5" name="Rectangle 4">
          <a:extLst>
            <a:ext uri="{FF2B5EF4-FFF2-40B4-BE49-F238E27FC236}">
              <a16:creationId xmlns="" xmlns:a16="http://schemas.microsoft.com/office/drawing/2014/main" id="{00000000-0008-0000-0A00-00009B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6" name="Rectangle 4">
          <a:extLst>
            <a:ext uri="{FF2B5EF4-FFF2-40B4-BE49-F238E27FC236}">
              <a16:creationId xmlns="" xmlns:a16="http://schemas.microsoft.com/office/drawing/2014/main" id="{00000000-0008-0000-0A00-00009C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7" name="Rectangle 4">
          <a:extLst>
            <a:ext uri="{FF2B5EF4-FFF2-40B4-BE49-F238E27FC236}">
              <a16:creationId xmlns="" xmlns:a16="http://schemas.microsoft.com/office/drawing/2014/main" id="{00000000-0008-0000-0A00-00009D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8" name="Rectangle 4">
          <a:extLst>
            <a:ext uri="{FF2B5EF4-FFF2-40B4-BE49-F238E27FC236}">
              <a16:creationId xmlns="" xmlns:a16="http://schemas.microsoft.com/office/drawing/2014/main" id="{00000000-0008-0000-0A00-00009E00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61" name="Rectangle 4">
          <a:extLst>
            <a:ext uri="{FF2B5EF4-FFF2-40B4-BE49-F238E27FC236}">
              <a16:creationId xmlns="" xmlns:a16="http://schemas.microsoft.com/office/drawing/2014/main" id="{00000000-0008-0000-0A00-000005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62" name="Rectangle 4">
          <a:extLst>
            <a:ext uri="{FF2B5EF4-FFF2-40B4-BE49-F238E27FC236}">
              <a16:creationId xmlns="" xmlns:a16="http://schemas.microsoft.com/office/drawing/2014/main" id="{00000000-0008-0000-0A00-000006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63" name="Rectangle 4">
          <a:extLst>
            <a:ext uri="{FF2B5EF4-FFF2-40B4-BE49-F238E27FC236}">
              <a16:creationId xmlns="" xmlns:a16="http://schemas.microsoft.com/office/drawing/2014/main" id="{00000000-0008-0000-0A00-000007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64" name="Rectangle 4">
          <a:extLst>
            <a:ext uri="{FF2B5EF4-FFF2-40B4-BE49-F238E27FC236}">
              <a16:creationId xmlns="" xmlns:a16="http://schemas.microsoft.com/office/drawing/2014/main" id="{00000000-0008-0000-0A00-000008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65" name="Rectangle 4">
          <a:extLst>
            <a:ext uri="{FF2B5EF4-FFF2-40B4-BE49-F238E27FC236}">
              <a16:creationId xmlns="" xmlns:a16="http://schemas.microsoft.com/office/drawing/2014/main" id="{00000000-0008-0000-0A00-000009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66" name="Rectangle 4">
          <a:extLst>
            <a:ext uri="{FF2B5EF4-FFF2-40B4-BE49-F238E27FC236}">
              <a16:creationId xmlns="" xmlns:a16="http://schemas.microsoft.com/office/drawing/2014/main" id="{00000000-0008-0000-0A00-00000A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67" name="Rectangle 4">
          <a:extLst>
            <a:ext uri="{FF2B5EF4-FFF2-40B4-BE49-F238E27FC236}">
              <a16:creationId xmlns="" xmlns:a16="http://schemas.microsoft.com/office/drawing/2014/main" id="{00000000-0008-0000-0A00-00000B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68" name="Rectangle 4">
          <a:extLst>
            <a:ext uri="{FF2B5EF4-FFF2-40B4-BE49-F238E27FC236}">
              <a16:creationId xmlns="" xmlns:a16="http://schemas.microsoft.com/office/drawing/2014/main" id="{00000000-0008-0000-0A00-00000C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69" name="Rectangle 4">
          <a:extLst>
            <a:ext uri="{FF2B5EF4-FFF2-40B4-BE49-F238E27FC236}">
              <a16:creationId xmlns="" xmlns:a16="http://schemas.microsoft.com/office/drawing/2014/main" id="{00000000-0008-0000-0A00-00000D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0" name="Rectangle 4">
          <a:extLst>
            <a:ext uri="{FF2B5EF4-FFF2-40B4-BE49-F238E27FC236}">
              <a16:creationId xmlns="" xmlns:a16="http://schemas.microsoft.com/office/drawing/2014/main" id="{00000000-0008-0000-0A00-00000E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1" name="Rectangle 4">
          <a:extLst>
            <a:ext uri="{FF2B5EF4-FFF2-40B4-BE49-F238E27FC236}">
              <a16:creationId xmlns="" xmlns:a16="http://schemas.microsoft.com/office/drawing/2014/main" id="{00000000-0008-0000-0A00-00000F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2" name="Rectangle 4">
          <a:extLst>
            <a:ext uri="{FF2B5EF4-FFF2-40B4-BE49-F238E27FC236}">
              <a16:creationId xmlns="" xmlns:a16="http://schemas.microsoft.com/office/drawing/2014/main" id="{00000000-0008-0000-0A00-000010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3" name="Rectangle 4">
          <a:extLst>
            <a:ext uri="{FF2B5EF4-FFF2-40B4-BE49-F238E27FC236}">
              <a16:creationId xmlns="" xmlns:a16="http://schemas.microsoft.com/office/drawing/2014/main" id="{00000000-0008-0000-0A00-000011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4" name="Rectangle 4">
          <a:extLst>
            <a:ext uri="{FF2B5EF4-FFF2-40B4-BE49-F238E27FC236}">
              <a16:creationId xmlns="" xmlns:a16="http://schemas.microsoft.com/office/drawing/2014/main" id="{00000000-0008-0000-0A00-000012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5" name="Rectangle 4">
          <a:extLst>
            <a:ext uri="{FF2B5EF4-FFF2-40B4-BE49-F238E27FC236}">
              <a16:creationId xmlns="" xmlns:a16="http://schemas.microsoft.com/office/drawing/2014/main" id="{00000000-0008-0000-0A00-000013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6" name="Rectangle 4">
          <a:extLst>
            <a:ext uri="{FF2B5EF4-FFF2-40B4-BE49-F238E27FC236}">
              <a16:creationId xmlns="" xmlns:a16="http://schemas.microsoft.com/office/drawing/2014/main" id="{00000000-0008-0000-0A00-000014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7" name="Rectangle 4">
          <a:extLst>
            <a:ext uri="{FF2B5EF4-FFF2-40B4-BE49-F238E27FC236}">
              <a16:creationId xmlns="" xmlns:a16="http://schemas.microsoft.com/office/drawing/2014/main" id="{00000000-0008-0000-0A00-000015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8" name="Rectangle 4">
          <a:extLst>
            <a:ext uri="{FF2B5EF4-FFF2-40B4-BE49-F238E27FC236}">
              <a16:creationId xmlns="" xmlns:a16="http://schemas.microsoft.com/office/drawing/2014/main" id="{00000000-0008-0000-0A00-000016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9" name="Rectangle 4">
          <a:extLst>
            <a:ext uri="{FF2B5EF4-FFF2-40B4-BE49-F238E27FC236}">
              <a16:creationId xmlns="" xmlns:a16="http://schemas.microsoft.com/office/drawing/2014/main" id="{00000000-0008-0000-0A00-000017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80" name="Rectangle 4">
          <a:extLst>
            <a:ext uri="{FF2B5EF4-FFF2-40B4-BE49-F238E27FC236}">
              <a16:creationId xmlns="" xmlns:a16="http://schemas.microsoft.com/office/drawing/2014/main" id="{00000000-0008-0000-0A00-000018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81" name="Rectangle 4">
          <a:extLst>
            <a:ext uri="{FF2B5EF4-FFF2-40B4-BE49-F238E27FC236}">
              <a16:creationId xmlns="" xmlns:a16="http://schemas.microsoft.com/office/drawing/2014/main" id="{00000000-0008-0000-0A00-000019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82" name="Rectangle 4">
          <a:extLst>
            <a:ext uri="{FF2B5EF4-FFF2-40B4-BE49-F238E27FC236}">
              <a16:creationId xmlns="" xmlns:a16="http://schemas.microsoft.com/office/drawing/2014/main" id="{00000000-0008-0000-0A00-00001A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83" name="Rectangle 4">
          <a:extLst>
            <a:ext uri="{FF2B5EF4-FFF2-40B4-BE49-F238E27FC236}">
              <a16:creationId xmlns="" xmlns:a16="http://schemas.microsoft.com/office/drawing/2014/main" id="{00000000-0008-0000-0A00-00001B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84" name="Rectangle 4">
          <a:extLst>
            <a:ext uri="{FF2B5EF4-FFF2-40B4-BE49-F238E27FC236}">
              <a16:creationId xmlns="" xmlns:a16="http://schemas.microsoft.com/office/drawing/2014/main" id="{00000000-0008-0000-0A00-00001C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85" name="Rectangle 4">
          <a:extLst>
            <a:ext uri="{FF2B5EF4-FFF2-40B4-BE49-F238E27FC236}">
              <a16:creationId xmlns="" xmlns:a16="http://schemas.microsoft.com/office/drawing/2014/main" id="{00000000-0008-0000-0A00-00001D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86" name="Rectangle 4">
          <a:extLst>
            <a:ext uri="{FF2B5EF4-FFF2-40B4-BE49-F238E27FC236}">
              <a16:creationId xmlns="" xmlns:a16="http://schemas.microsoft.com/office/drawing/2014/main" id="{00000000-0008-0000-0A00-00001E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87" name="Rectangle 4">
          <a:extLst>
            <a:ext uri="{FF2B5EF4-FFF2-40B4-BE49-F238E27FC236}">
              <a16:creationId xmlns="" xmlns:a16="http://schemas.microsoft.com/office/drawing/2014/main" id="{00000000-0008-0000-0A00-00001F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88" name="Rectangle 4">
          <a:extLst>
            <a:ext uri="{FF2B5EF4-FFF2-40B4-BE49-F238E27FC236}">
              <a16:creationId xmlns="" xmlns:a16="http://schemas.microsoft.com/office/drawing/2014/main" id="{00000000-0008-0000-0A00-000020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89" name="Rectangle 4">
          <a:extLst>
            <a:ext uri="{FF2B5EF4-FFF2-40B4-BE49-F238E27FC236}">
              <a16:creationId xmlns="" xmlns:a16="http://schemas.microsoft.com/office/drawing/2014/main" id="{00000000-0008-0000-0A00-000021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90" name="Rectangle 4">
          <a:extLst>
            <a:ext uri="{FF2B5EF4-FFF2-40B4-BE49-F238E27FC236}">
              <a16:creationId xmlns="" xmlns:a16="http://schemas.microsoft.com/office/drawing/2014/main" id="{00000000-0008-0000-0A00-000022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91" name="Rectangle 4">
          <a:extLst>
            <a:ext uri="{FF2B5EF4-FFF2-40B4-BE49-F238E27FC236}">
              <a16:creationId xmlns="" xmlns:a16="http://schemas.microsoft.com/office/drawing/2014/main" id="{00000000-0008-0000-0A00-000023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92" name="Rectangle 4">
          <a:extLst>
            <a:ext uri="{FF2B5EF4-FFF2-40B4-BE49-F238E27FC236}">
              <a16:creationId xmlns="" xmlns:a16="http://schemas.microsoft.com/office/drawing/2014/main" id="{00000000-0008-0000-0A00-000024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93" name="Rectangle 4">
          <a:extLst>
            <a:ext uri="{FF2B5EF4-FFF2-40B4-BE49-F238E27FC236}">
              <a16:creationId xmlns="" xmlns:a16="http://schemas.microsoft.com/office/drawing/2014/main" id="{00000000-0008-0000-0A00-000025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94" name="Rectangle 4">
          <a:extLst>
            <a:ext uri="{FF2B5EF4-FFF2-40B4-BE49-F238E27FC236}">
              <a16:creationId xmlns="" xmlns:a16="http://schemas.microsoft.com/office/drawing/2014/main" id="{00000000-0008-0000-0A00-000026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95" name="Rectangle 4">
          <a:extLst>
            <a:ext uri="{FF2B5EF4-FFF2-40B4-BE49-F238E27FC236}">
              <a16:creationId xmlns="" xmlns:a16="http://schemas.microsoft.com/office/drawing/2014/main" id="{00000000-0008-0000-0A00-000027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96" name="Rectangle 4">
          <a:extLst>
            <a:ext uri="{FF2B5EF4-FFF2-40B4-BE49-F238E27FC236}">
              <a16:creationId xmlns="" xmlns:a16="http://schemas.microsoft.com/office/drawing/2014/main" id="{00000000-0008-0000-0A00-000028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97" name="Rectangle 4">
          <a:extLst>
            <a:ext uri="{FF2B5EF4-FFF2-40B4-BE49-F238E27FC236}">
              <a16:creationId xmlns="" xmlns:a16="http://schemas.microsoft.com/office/drawing/2014/main" id="{00000000-0008-0000-0A00-000029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98" name="Rectangle 4">
          <a:extLst>
            <a:ext uri="{FF2B5EF4-FFF2-40B4-BE49-F238E27FC236}">
              <a16:creationId xmlns="" xmlns:a16="http://schemas.microsoft.com/office/drawing/2014/main" id="{00000000-0008-0000-0A00-00002A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99" name="Rectangle 4">
          <a:extLst>
            <a:ext uri="{FF2B5EF4-FFF2-40B4-BE49-F238E27FC236}">
              <a16:creationId xmlns="" xmlns:a16="http://schemas.microsoft.com/office/drawing/2014/main" id="{00000000-0008-0000-0A00-00002B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00" name="Rectangle 4">
          <a:extLst>
            <a:ext uri="{FF2B5EF4-FFF2-40B4-BE49-F238E27FC236}">
              <a16:creationId xmlns="" xmlns:a16="http://schemas.microsoft.com/office/drawing/2014/main" id="{00000000-0008-0000-0A00-00002C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01" name="Rectangle 4">
          <a:extLst>
            <a:ext uri="{FF2B5EF4-FFF2-40B4-BE49-F238E27FC236}">
              <a16:creationId xmlns="" xmlns:a16="http://schemas.microsoft.com/office/drawing/2014/main" id="{00000000-0008-0000-0A00-00002D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02" name="Rectangle 4">
          <a:extLst>
            <a:ext uri="{FF2B5EF4-FFF2-40B4-BE49-F238E27FC236}">
              <a16:creationId xmlns="" xmlns:a16="http://schemas.microsoft.com/office/drawing/2014/main" id="{00000000-0008-0000-0A00-00002E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03" name="Rectangle 4">
          <a:extLst>
            <a:ext uri="{FF2B5EF4-FFF2-40B4-BE49-F238E27FC236}">
              <a16:creationId xmlns="" xmlns:a16="http://schemas.microsoft.com/office/drawing/2014/main" id="{00000000-0008-0000-0A00-00002F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04" name="Rectangle 4">
          <a:extLst>
            <a:ext uri="{FF2B5EF4-FFF2-40B4-BE49-F238E27FC236}">
              <a16:creationId xmlns="" xmlns:a16="http://schemas.microsoft.com/office/drawing/2014/main" id="{00000000-0008-0000-0A00-000030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05" name="Rectangle 4">
          <a:extLst>
            <a:ext uri="{FF2B5EF4-FFF2-40B4-BE49-F238E27FC236}">
              <a16:creationId xmlns="" xmlns:a16="http://schemas.microsoft.com/office/drawing/2014/main" id="{00000000-0008-0000-0A00-000031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06" name="Rectangle 4">
          <a:extLst>
            <a:ext uri="{FF2B5EF4-FFF2-40B4-BE49-F238E27FC236}">
              <a16:creationId xmlns="" xmlns:a16="http://schemas.microsoft.com/office/drawing/2014/main" id="{00000000-0008-0000-0A00-000032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07" name="Rectangle 4">
          <a:extLst>
            <a:ext uri="{FF2B5EF4-FFF2-40B4-BE49-F238E27FC236}">
              <a16:creationId xmlns="" xmlns:a16="http://schemas.microsoft.com/office/drawing/2014/main" id="{00000000-0008-0000-0A00-000033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08" name="Rectangle 4">
          <a:extLst>
            <a:ext uri="{FF2B5EF4-FFF2-40B4-BE49-F238E27FC236}">
              <a16:creationId xmlns="" xmlns:a16="http://schemas.microsoft.com/office/drawing/2014/main" id="{00000000-0008-0000-0A00-000034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09" name="Rectangle 4">
          <a:extLst>
            <a:ext uri="{FF2B5EF4-FFF2-40B4-BE49-F238E27FC236}">
              <a16:creationId xmlns="" xmlns:a16="http://schemas.microsoft.com/office/drawing/2014/main" id="{00000000-0008-0000-0A00-000035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0" name="Rectangle 4">
          <a:extLst>
            <a:ext uri="{FF2B5EF4-FFF2-40B4-BE49-F238E27FC236}">
              <a16:creationId xmlns="" xmlns:a16="http://schemas.microsoft.com/office/drawing/2014/main" id="{00000000-0008-0000-0A00-000036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1" name="Rectangle 4">
          <a:extLst>
            <a:ext uri="{FF2B5EF4-FFF2-40B4-BE49-F238E27FC236}">
              <a16:creationId xmlns="" xmlns:a16="http://schemas.microsoft.com/office/drawing/2014/main" id="{00000000-0008-0000-0A00-000037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2" name="Rectangle 4">
          <a:extLst>
            <a:ext uri="{FF2B5EF4-FFF2-40B4-BE49-F238E27FC236}">
              <a16:creationId xmlns="" xmlns:a16="http://schemas.microsoft.com/office/drawing/2014/main" id="{00000000-0008-0000-0A00-000038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3" name="Rectangle 4">
          <a:extLst>
            <a:ext uri="{FF2B5EF4-FFF2-40B4-BE49-F238E27FC236}">
              <a16:creationId xmlns="" xmlns:a16="http://schemas.microsoft.com/office/drawing/2014/main" id="{00000000-0008-0000-0A00-000039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4" name="Rectangle 4">
          <a:extLst>
            <a:ext uri="{FF2B5EF4-FFF2-40B4-BE49-F238E27FC236}">
              <a16:creationId xmlns="" xmlns:a16="http://schemas.microsoft.com/office/drawing/2014/main" id="{00000000-0008-0000-0A00-00003A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5" name="Rectangle 4">
          <a:extLst>
            <a:ext uri="{FF2B5EF4-FFF2-40B4-BE49-F238E27FC236}">
              <a16:creationId xmlns="" xmlns:a16="http://schemas.microsoft.com/office/drawing/2014/main" id="{00000000-0008-0000-0A00-00003B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6" name="Rectangle 4">
          <a:extLst>
            <a:ext uri="{FF2B5EF4-FFF2-40B4-BE49-F238E27FC236}">
              <a16:creationId xmlns="" xmlns:a16="http://schemas.microsoft.com/office/drawing/2014/main" id="{00000000-0008-0000-0A00-00003C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7" name="Rectangle 4">
          <a:extLst>
            <a:ext uri="{FF2B5EF4-FFF2-40B4-BE49-F238E27FC236}">
              <a16:creationId xmlns="" xmlns:a16="http://schemas.microsoft.com/office/drawing/2014/main" id="{00000000-0008-0000-0A00-00003D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8" name="Rectangle 4">
          <a:extLst>
            <a:ext uri="{FF2B5EF4-FFF2-40B4-BE49-F238E27FC236}">
              <a16:creationId xmlns="" xmlns:a16="http://schemas.microsoft.com/office/drawing/2014/main" id="{00000000-0008-0000-0A00-00003E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9" name="Rectangle 4">
          <a:extLst>
            <a:ext uri="{FF2B5EF4-FFF2-40B4-BE49-F238E27FC236}">
              <a16:creationId xmlns="" xmlns:a16="http://schemas.microsoft.com/office/drawing/2014/main" id="{00000000-0008-0000-0A00-00003F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20" name="Rectangle 4">
          <a:extLst>
            <a:ext uri="{FF2B5EF4-FFF2-40B4-BE49-F238E27FC236}">
              <a16:creationId xmlns="" xmlns:a16="http://schemas.microsoft.com/office/drawing/2014/main" id="{00000000-0008-0000-0A00-000040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21" name="Rectangle 4">
          <a:extLst>
            <a:ext uri="{FF2B5EF4-FFF2-40B4-BE49-F238E27FC236}">
              <a16:creationId xmlns="" xmlns:a16="http://schemas.microsoft.com/office/drawing/2014/main" id="{00000000-0008-0000-0A00-000041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22" name="Rectangle 4">
          <a:extLst>
            <a:ext uri="{FF2B5EF4-FFF2-40B4-BE49-F238E27FC236}">
              <a16:creationId xmlns="" xmlns:a16="http://schemas.microsoft.com/office/drawing/2014/main" id="{00000000-0008-0000-0A00-000042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23" name="Rectangle 4">
          <a:extLst>
            <a:ext uri="{FF2B5EF4-FFF2-40B4-BE49-F238E27FC236}">
              <a16:creationId xmlns="" xmlns:a16="http://schemas.microsoft.com/office/drawing/2014/main" id="{00000000-0008-0000-0A00-000043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24" name="Rectangle 4">
          <a:extLst>
            <a:ext uri="{FF2B5EF4-FFF2-40B4-BE49-F238E27FC236}">
              <a16:creationId xmlns="" xmlns:a16="http://schemas.microsoft.com/office/drawing/2014/main" id="{00000000-0008-0000-0A00-000044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25" name="Rectangle 4">
          <a:extLst>
            <a:ext uri="{FF2B5EF4-FFF2-40B4-BE49-F238E27FC236}">
              <a16:creationId xmlns="" xmlns:a16="http://schemas.microsoft.com/office/drawing/2014/main" id="{00000000-0008-0000-0A00-000045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26" name="Rectangle 4">
          <a:extLst>
            <a:ext uri="{FF2B5EF4-FFF2-40B4-BE49-F238E27FC236}">
              <a16:creationId xmlns="" xmlns:a16="http://schemas.microsoft.com/office/drawing/2014/main" id="{00000000-0008-0000-0A00-000046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27" name="Rectangle 4">
          <a:extLst>
            <a:ext uri="{FF2B5EF4-FFF2-40B4-BE49-F238E27FC236}">
              <a16:creationId xmlns="" xmlns:a16="http://schemas.microsoft.com/office/drawing/2014/main" id="{00000000-0008-0000-0A00-000047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28" name="Rectangle 4">
          <a:extLst>
            <a:ext uri="{FF2B5EF4-FFF2-40B4-BE49-F238E27FC236}">
              <a16:creationId xmlns="" xmlns:a16="http://schemas.microsoft.com/office/drawing/2014/main" id="{00000000-0008-0000-0A00-000048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29" name="Rectangle 4">
          <a:extLst>
            <a:ext uri="{FF2B5EF4-FFF2-40B4-BE49-F238E27FC236}">
              <a16:creationId xmlns="" xmlns:a16="http://schemas.microsoft.com/office/drawing/2014/main" id="{00000000-0008-0000-0A00-000049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30" name="Rectangle 4">
          <a:extLst>
            <a:ext uri="{FF2B5EF4-FFF2-40B4-BE49-F238E27FC236}">
              <a16:creationId xmlns="" xmlns:a16="http://schemas.microsoft.com/office/drawing/2014/main" id="{00000000-0008-0000-0A00-00004A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31" name="Rectangle 4">
          <a:extLst>
            <a:ext uri="{FF2B5EF4-FFF2-40B4-BE49-F238E27FC236}">
              <a16:creationId xmlns="" xmlns:a16="http://schemas.microsoft.com/office/drawing/2014/main" id="{00000000-0008-0000-0A00-00004B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32" name="Rectangle 4">
          <a:extLst>
            <a:ext uri="{FF2B5EF4-FFF2-40B4-BE49-F238E27FC236}">
              <a16:creationId xmlns="" xmlns:a16="http://schemas.microsoft.com/office/drawing/2014/main" id="{00000000-0008-0000-0A00-00004C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33" name="Rectangle 4">
          <a:extLst>
            <a:ext uri="{FF2B5EF4-FFF2-40B4-BE49-F238E27FC236}">
              <a16:creationId xmlns="" xmlns:a16="http://schemas.microsoft.com/office/drawing/2014/main" id="{00000000-0008-0000-0A00-00004D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34" name="Rectangle 4">
          <a:extLst>
            <a:ext uri="{FF2B5EF4-FFF2-40B4-BE49-F238E27FC236}">
              <a16:creationId xmlns="" xmlns:a16="http://schemas.microsoft.com/office/drawing/2014/main" id="{00000000-0008-0000-0A00-00004E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35" name="Rectangle 4">
          <a:extLst>
            <a:ext uri="{FF2B5EF4-FFF2-40B4-BE49-F238E27FC236}">
              <a16:creationId xmlns="" xmlns:a16="http://schemas.microsoft.com/office/drawing/2014/main" id="{00000000-0008-0000-0A00-00004F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36" name="Rectangle 4">
          <a:extLst>
            <a:ext uri="{FF2B5EF4-FFF2-40B4-BE49-F238E27FC236}">
              <a16:creationId xmlns="" xmlns:a16="http://schemas.microsoft.com/office/drawing/2014/main" id="{00000000-0008-0000-0A00-000050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37" name="Rectangle 4">
          <a:extLst>
            <a:ext uri="{FF2B5EF4-FFF2-40B4-BE49-F238E27FC236}">
              <a16:creationId xmlns="" xmlns:a16="http://schemas.microsoft.com/office/drawing/2014/main" id="{00000000-0008-0000-0A00-000051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38" name="Rectangle 4">
          <a:extLst>
            <a:ext uri="{FF2B5EF4-FFF2-40B4-BE49-F238E27FC236}">
              <a16:creationId xmlns="" xmlns:a16="http://schemas.microsoft.com/office/drawing/2014/main" id="{00000000-0008-0000-0A00-000052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39" name="Rectangle 4">
          <a:extLst>
            <a:ext uri="{FF2B5EF4-FFF2-40B4-BE49-F238E27FC236}">
              <a16:creationId xmlns="" xmlns:a16="http://schemas.microsoft.com/office/drawing/2014/main" id="{00000000-0008-0000-0A00-000053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40" name="Rectangle 4">
          <a:extLst>
            <a:ext uri="{FF2B5EF4-FFF2-40B4-BE49-F238E27FC236}">
              <a16:creationId xmlns="" xmlns:a16="http://schemas.microsoft.com/office/drawing/2014/main" id="{00000000-0008-0000-0A00-000054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41" name="Rectangle 4">
          <a:extLst>
            <a:ext uri="{FF2B5EF4-FFF2-40B4-BE49-F238E27FC236}">
              <a16:creationId xmlns="" xmlns:a16="http://schemas.microsoft.com/office/drawing/2014/main" id="{00000000-0008-0000-0A00-000055010000}"/>
            </a:ext>
          </a:extLst>
        </xdr:cNvPr>
        <xdr:cNvSpPr>
          <a:spLocks noChangeArrowheads="1"/>
        </xdr:cNvSpPr>
      </xdr:nvSpPr>
      <xdr:spPr bwMode="auto">
        <a:xfrm>
          <a:off x="281939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1236133</xdr:colOff>
      <xdr:row>3</xdr:row>
      <xdr:rowOff>243417</xdr:rowOff>
    </xdr:from>
    <xdr:to>
      <xdr:col>2</xdr:col>
      <xdr:colOff>1819275</xdr:colOff>
      <xdr:row>3</xdr:row>
      <xdr:rowOff>409575</xdr:rowOff>
    </xdr:to>
    <xdr:sp macro="" textlink="">
      <xdr:nvSpPr>
        <xdr:cNvPr id="353" name="Rectangle 1">
          <a:extLst>
            <a:ext uri="{FF2B5EF4-FFF2-40B4-BE49-F238E27FC236}">
              <a16:creationId xmlns="" xmlns:a16="http://schemas.microsoft.com/office/drawing/2014/main" id="{00000000-0008-0000-0A00-000061010000}"/>
            </a:ext>
          </a:extLst>
        </xdr:cNvPr>
        <xdr:cNvSpPr>
          <a:spLocks noChangeArrowheads="1"/>
        </xdr:cNvSpPr>
      </xdr:nvSpPr>
      <xdr:spPr bwMode="auto">
        <a:xfrm>
          <a:off x="2007658" y="691092"/>
          <a:ext cx="583142" cy="1661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328083</xdr:colOff>
      <xdr:row>3</xdr:row>
      <xdr:rowOff>709084</xdr:rowOff>
    </xdr:from>
    <xdr:to>
      <xdr:col>2</xdr:col>
      <xdr:colOff>914400</xdr:colOff>
      <xdr:row>3</xdr:row>
      <xdr:rowOff>857250</xdr:rowOff>
    </xdr:to>
    <xdr:sp macro="" textlink="">
      <xdr:nvSpPr>
        <xdr:cNvPr id="354" name="Rectangle 1">
          <a:extLst>
            <a:ext uri="{FF2B5EF4-FFF2-40B4-BE49-F238E27FC236}">
              <a16:creationId xmlns="" xmlns:a16="http://schemas.microsoft.com/office/drawing/2014/main" id="{00000000-0008-0000-0A00-000062010000}"/>
            </a:ext>
          </a:extLst>
        </xdr:cNvPr>
        <xdr:cNvSpPr>
          <a:spLocks noChangeArrowheads="1"/>
        </xdr:cNvSpPr>
      </xdr:nvSpPr>
      <xdr:spPr bwMode="auto">
        <a:xfrm flipV="1">
          <a:off x="1099608" y="1156759"/>
          <a:ext cx="586317" cy="1481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  <a:endParaRPr lang="ru-RU" sz="800" b="0" i="0" strike="noStrike">
            <a:solidFill>
              <a:srgbClr val="000000"/>
            </a:solidFill>
            <a:latin typeface="Calibri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2333624</xdr:colOff>
      <xdr:row>4</xdr:row>
      <xdr:rowOff>1904</xdr:rowOff>
    </xdr:from>
    <xdr:to>
      <xdr:col>2</xdr:col>
      <xdr:colOff>2333624</xdr:colOff>
      <xdr:row>4</xdr:row>
      <xdr:rowOff>1904</xdr:rowOff>
    </xdr:to>
    <xdr:sp macro="" textlink="">
      <xdr:nvSpPr>
        <xdr:cNvPr id="2" name="Rectangle 4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SpPr>
          <a:spLocks noChangeArrowheads="1"/>
        </xdr:cNvSpPr>
      </xdr:nvSpPr>
      <xdr:spPr bwMode="auto">
        <a:xfrm>
          <a:off x="82848449" y="161162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4</xdr:row>
      <xdr:rowOff>1904</xdr:rowOff>
    </xdr:from>
    <xdr:to>
      <xdr:col>2</xdr:col>
      <xdr:colOff>2333624</xdr:colOff>
      <xdr:row>4</xdr:row>
      <xdr:rowOff>1904</xdr:rowOff>
    </xdr:to>
    <xdr:sp macro="" textlink="">
      <xdr:nvSpPr>
        <xdr:cNvPr id="3" name="Rectangle 4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SpPr>
          <a:spLocks noChangeArrowheads="1"/>
        </xdr:cNvSpPr>
      </xdr:nvSpPr>
      <xdr:spPr bwMode="auto">
        <a:xfrm>
          <a:off x="82848449" y="161162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466725</xdr:colOff>
      <xdr:row>4</xdr:row>
      <xdr:rowOff>295275</xdr:rowOff>
    </xdr:from>
    <xdr:to>
      <xdr:col>2</xdr:col>
      <xdr:colOff>1057275</xdr:colOff>
      <xdr:row>4</xdr:row>
      <xdr:rowOff>485775</xdr:rowOff>
    </xdr:to>
    <xdr:sp macro="" textlink="">
      <xdr:nvSpPr>
        <xdr:cNvPr id="4" name="Rectangle 1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SpPr>
          <a:spLocks noChangeArrowheads="1"/>
        </xdr:cNvSpPr>
      </xdr:nvSpPr>
      <xdr:spPr bwMode="auto">
        <a:xfrm>
          <a:off x="80981550" y="1905000"/>
          <a:ext cx="5905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2333624</xdr:colOff>
      <xdr:row>4</xdr:row>
      <xdr:rowOff>1904</xdr:rowOff>
    </xdr:from>
    <xdr:to>
      <xdr:col>2</xdr:col>
      <xdr:colOff>2333624</xdr:colOff>
      <xdr:row>4</xdr:row>
      <xdr:rowOff>1904</xdr:rowOff>
    </xdr:to>
    <xdr:sp macro="" textlink="">
      <xdr:nvSpPr>
        <xdr:cNvPr id="6" name="Rectangle 4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SpPr>
          <a:spLocks noChangeArrowheads="1"/>
        </xdr:cNvSpPr>
      </xdr:nvSpPr>
      <xdr:spPr bwMode="auto">
        <a:xfrm>
          <a:off x="82848449" y="161162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4</xdr:row>
      <xdr:rowOff>1904</xdr:rowOff>
    </xdr:from>
    <xdr:to>
      <xdr:col>2</xdr:col>
      <xdr:colOff>2333624</xdr:colOff>
      <xdr:row>4</xdr:row>
      <xdr:rowOff>1904</xdr:rowOff>
    </xdr:to>
    <xdr:sp macro="" textlink="">
      <xdr:nvSpPr>
        <xdr:cNvPr id="7" name="Rectangle 4">
          <a:extLst>
            <a:ext uri="{FF2B5EF4-FFF2-40B4-BE49-F238E27FC236}">
              <a16:creationId xmlns="" xmlns:a16="http://schemas.microsoft.com/office/drawing/2014/main" id="{00000000-0008-0000-0B00-000007000000}"/>
            </a:ext>
          </a:extLst>
        </xdr:cNvPr>
        <xdr:cNvSpPr>
          <a:spLocks noChangeArrowheads="1"/>
        </xdr:cNvSpPr>
      </xdr:nvSpPr>
      <xdr:spPr bwMode="auto">
        <a:xfrm>
          <a:off x="82848449" y="161162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4</xdr:row>
      <xdr:rowOff>1904</xdr:rowOff>
    </xdr:from>
    <xdr:to>
      <xdr:col>2</xdr:col>
      <xdr:colOff>2333624</xdr:colOff>
      <xdr:row>4</xdr:row>
      <xdr:rowOff>1904</xdr:rowOff>
    </xdr:to>
    <xdr:sp macro="" textlink="">
      <xdr:nvSpPr>
        <xdr:cNvPr id="10" name="Rectangle 4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>
          <a:spLocks noChangeArrowheads="1"/>
        </xdr:cNvSpPr>
      </xdr:nvSpPr>
      <xdr:spPr bwMode="auto">
        <a:xfrm>
          <a:off x="82848449" y="161162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4</xdr:row>
      <xdr:rowOff>1904</xdr:rowOff>
    </xdr:from>
    <xdr:to>
      <xdr:col>2</xdr:col>
      <xdr:colOff>2333624</xdr:colOff>
      <xdr:row>4</xdr:row>
      <xdr:rowOff>1904</xdr:rowOff>
    </xdr:to>
    <xdr:sp macro="" textlink="">
      <xdr:nvSpPr>
        <xdr:cNvPr id="11" name="Rectangle 4">
          <a:extLst>
            <a:ext uri="{FF2B5EF4-FFF2-40B4-BE49-F238E27FC236}">
              <a16:creationId xmlns="" xmlns:a16="http://schemas.microsoft.com/office/drawing/2014/main" id="{00000000-0008-0000-0B00-00000B000000}"/>
            </a:ext>
          </a:extLst>
        </xdr:cNvPr>
        <xdr:cNvSpPr>
          <a:spLocks noChangeArrowheads="1"/>
        </xdr:cNvSpPr>
      </xdr:nvSpPr>
      <xdr:spPr bwMode="auto">
        <a:xfrm>
          <a:off x="82848449" y="1611629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464820</xdr:colOff>
      <xdr:row>4</xdr:row>
      <xdr:rowOff>295275</xdr:rowOff>
    </xdr:from>
    <xdr:to>
      <xdr:col>2</xdr:col>
      <xdr:colOff>1057761</xdr:colOff>
      <xdr:row>4</xdr:row>
      <xdr:rowOff>485775</xdr:rowOff>
    </xdr:to>
    <xdr:sp macro="" textlink="">
      <xdr:nvSpPr>
        <xdr:cNvPr id="12" name="Rectangle 1">
          <a:extLst>
            <a:ext uri="{FF2B5EF4-FFF2-40B4-BE49-F238E27FC236}">
              <a16:creationId xmlns="" xmlns:a16="http://schemas.microsoft.com/office/drawing/2014/main" id="{00000000-0008-0000-0B00-00000C000000}"/>
            </a:ext>
          </a:extLst>
        </xdr:cNvPr>
        <xdr:cNvSpPr>
          <a:spLocks noChangeArrowheads="1"/>
        </xdr:cNvSpPr>
      </xdr:nvSpPr>
      <xdr:spPr bwMode="auto">
        <a:xfrm>
          <a:off x="80979645" y="1905000"/>
          <a:ext cx="592941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Calibri" pitchFamily="34" charset="0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" name="Rectangle 4">
          <a:extLst>
            <a:ext uri="{FF2B5EF4-FFF2-40B4-BE49-F238E27FC236}">
              <a16:creationId xmlns="" xmlns:a16="http://schemas.microsoft.com/office/drawing/2014/main" id="{00000000-0008-0000-0B00-00000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" name="Rectangle 4">
          <a:extLst>
            <a:ext uri="{FF2B5EF4-FFF2-40B4-BE49-F238E27FC236}">
              <a16:creationId xmlns="" xmlns:a16="http://schemas.microsoft.com/office/drawing/2014/main" id="{00000000-0008-0000-0B00-00000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" name="Rectangle 4">
          <a:extLst>
            <a:ext uri="{FF2B5EF4-FFF2-40B4-BE49-F238E27FC236}">
              <a16:creationId xmlns="" xmlns:a16="http://schemas.microsoft.com/office/drawing/2014/main" id="{00000000-0008-0000-0B00-00001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" name="Rectangle 4">
          <a:extLst>
            <a:ext uri="{FF2B5EF4-FFF2-40B4-BE49-F238E27FC236}">
              <a16:creationId xmlns="" xmlns:a16="http://schemas.microsoft.com/office/drawing/2014/main" id="{00000000-0008-0000-0B00-00001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" name="Rectangle 4">
          <a:extLst>
            <a:ext uri="{FF2B5EF4-FFF2-40B4-BE49-F238E27FC236}">
              <a16:creationId xmlns="" xmlns:a16="http://schemas.microsoft.com/office/drawing/2014/main" id="{00000000-0008-0000-0B00-00001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9" name="Rectangle 4">
          <a:extLst>
            <a:ext uri="{FF2B5EF4-FFF2-40B4-BE49-F238E27FC236}">
              <a16:creationId xmlns="" xmlns:a16="http://schemas.microsoft.com/office/drawing/2014/main" id="{00000000-0008-0000-0B00-00001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0" name="Rectangle 4">
          <a:extLst>
            <a:ext uri="{FF2B5EF4-FFF2-40B4-BE49-F238E27FC236}">
              <a16:creationId xmlns="" xmlns:a16="http://schemas.microsoft.com/office/drawing/2014/main" id="{00000000-0008-0000-0B00-00001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" name="Rectangle 4">
          <a:extLst>
            <a:ext uri="{FF2B5EF4-FFF2-40B4-BE49-F238E27FC236}">
              <a16:creationId xmlns="" xmlns:a16="http://schemas.microsoft.com/office/drawing/2014/main" id="{00000000-0008-0000-0B00-00001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2" name="Rectangle 4">
          <a:extLst>
            <a:ext uri="{FF2B5EF4-FFF2-40B4-BE49-F238E27FC236}">
              <a16:creationId xmlns="" xmlns:a16="http://schemas.microsoft.com/office/drawing/2014/main" id="{00000000-0008-0000-0B00-00001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3" name="Rectangle 4">
          <a:extLst>
            <a:ext uri="{FF2B5EF4-FFF2-40B4-BE49-F238E27FC236}">
              <a16:creationId xmlns="" xmlns:a16="http://schemas.microsoft.com/office/drawing/2014/main" id="{00000000-0008-0000-0B00-00001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" name="Rectangle 4">
          <a:extLst>
            <a:ext uri="{FF2B5EF4-FFF2-40B4-BE49-F238E27FC236}">
              <a16:creationId xmlns="" xmlns:a16="http://schemas.microsoft.com/office/drawing/2014/main" id="{00000000-0008-0000-0B00-00001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5" name="Rectangle 4">
          <a:extLst>
            <a:ext uri="{FF2B5EF4-FFF2-40B4-BE49-F238E27FC236}">
              <a16:creationId xmlns="" xmlns:a16="http://schemas.microsoft.com/office/drawing/2014/main" id="{00000000-0008-0000-0B00-00001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6" name="Rectangle 4">
          <a:extLst>
            <a:ext uri="{FF2B5EF4-FFF2-40B4-BE49-F238E27FC236}">
              <a16:creationId xmlns="" xmlns:a16="http://schemas.microsoft.com/office/drawing/2014/main" id="{00000000-0008-0000-0B00-00001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" name="Rectangle 4">
          <a:extLst>
            <a:ext uri="{FF2B5EF4-FFF2-40B4-BE49-F238E27FC236}">
              <a16:creationId xmlns="" xmlns:a16="http://schemas.microsoft.com/office/drawing/2014/main" id="{00000000-0008-0000-0B00-00001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8" name="Rectangle 4">
          <a:extLst>
            <a:ext uri="{FF2B5EF4-FFF2-40B4-BE49-F238E27FC236}">
              <a16:creationId xmlns="" xmlns:a16="http://schemas.microsoft.com/office/drawing/2014/main" id="{00000000-0008-0000-0B00-00001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9" name="Rectangle 4">
          <a:extLst>
            <a:ext uri="{FF2B5EF4-FFF2-40B4-BE49-F238E27FC236}">
              <a16:creationId xmlns="" xmlns:a16="http://schemas.microsoft.com/office/drawing/2014/main" id="{00000000-0008-0000-0B00-00001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0" name="Rectangle 4">
          <a:extLst>
            <a:ext uri="{FF2B5EF4-FFF2-40B4-BE49-F238E27FC236}">
              <a16:creationId xmlns="" xmlns:a16="http://schemas.microsoft.com/office/drawing/2014/main" id="{00000000-0008-0000-0B00-00001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" name="Rectangle 4">
          <a:extLst>
            <a:ext uri="{FF2B5EF4-FFF2-40B4-BE49-F238E27FC236}">
              <a16:creationId xmlns="" xmlns:a16="http://schemas.microsoft.com/office/drawing/2014/main" id="{00000000-0008-0000-0B00-00001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2" name="Rectangle 4">
          <a:extLst>
            <a:ext uri="{FF2B5EF4-FFF2-40B4-BE49-F238E27FC236}">
              <a16:creationId xmlns="" xmlns:a16="http://schemas.microsoft.com/office/drawing/2014/main" id="{00000000-0008-0000-0B00-00002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3" name="Rectangle 4">
          <a:extLst>
            <a:ext uri="{FF2B5EF4-FFF2-40B4-BE49-F238E27FC236}">
              <a16:creationId xmlns="" xmlns:a16="http://schemas.microsoft.com/office/drawing/2014/main" id="{00000000-0008-0000-0B00-00002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4" name="Rectangle 4">
          <a:extLst>
            <a:ext uri="{FF2B5EF4-FFF2-40B4-BE49-F238E27FC236}">
              <a16:creationId xmlns="" xmlns:a16="http://schemas.microsoft.com/office/drawing/2014/main" id="{00000000-0008-0000-0B00-00002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5" name="Rectangle 4">
          <a:extLst>
            <a:ext uri="{FF2B5EF4-FFF2-40B4-BE49-F238E27FC236}">
              <a16:creationId xmlns="" xmlns:a16="http://schemas.microsoft.com/office/drawing/2014/main" id="{00000000-0008-0000-0B00-00002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6" name="Rectangle 4">
          <a:extLst>
            <a:ext uri="{FF2B5EF4-FFF2-40B4-BE49-F238E27FC236}">
              <a16:creationId xmlns="" xmlns:a16="http://schemas.microsoft.com/office/drawing/2014/main" id="{00000000-0008-0000-0B00-00002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7" name="Rectangle 4">
          <a:extLst>
            <a:ext uri="{FF2B5EF4-FFF2-40B4-BE49-F238E27FC236}">
              <a16:creationId xmlns="" xmlns:a16="http://schemas.microsoft.com/office/drawing/2014/main" id="{00000000-0008-0000-0B00-00002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8" name="Rectangle 4">
          <a:extLst>
            <a:ext uri="{FF2B5EF4-FFF2-40B4-BE49-F238E27FC236}">
              <a16:creationId xmlns="" xmlns:a16="http://schemas.microsoft.com/office/drawing/2014/main" id="{00000000-0008-0000-0B00-00002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9" name="Rectangle 4">
          <a:extLst>
            <a:ext uri="{FF2B5EF4-FFF2-40B4-BE49-F238E27FC236}">
              <a16:creationId xmlns="" xmlns:a16="http://schemas.microsoft.com/office/drawing/2014/main" id="{00000000-0008-0000-0B00-00002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0" name="Rectangle 4">
          <a:extLst>
            <a:ext uri="{FF2B5EF4-FFF2-40B4-BE49-F238E27FC236}">
              <a16:creationId xmlns="" xmlns:a16="http://schemas.microsoft.com/office/drawing/2014/main" id="{00000000-0008-0000-0B00-00002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1" name="Rectangle 4">
          <a:extLst>
            <a:ext uri="{FF2B5EF4-FFF2-40B4-BE49-F238E27FC236}">
              <a16:creationId xmlns="" xmlns:a16="http://schemas.microsoft.com/office/drawing/2014/main" id="{00000000-0008-0000-0B00-00002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2" name="Rectangle 4">
          <a:extLst>
            <a:ext uri="{FF2B5EF4-FFF2-40B4-BE49-F238E27FC236}">
              <a16:creationId xmlns="" xmlns:a16="http://schemas.microsoft.com/office/drawing/2014/main" id="{00000000-0008-0000-0B00-00002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3" name="Rectangle 4">
          <a:extLst>
            <a:ext uri="{FF2B5EF4-FFF2-40B4-BE49-F238E27FC236}">
              <a16:creationId xmlns="" xmlns:a16="http://schemas.microsoft.com/office/drawing/2014/main" id="{00000000-0008-0000-0B00-00002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4" name="Rectangle 4">
          <a:extLst>
            <a:ext uri="{FF2B5EF4-FFF2-40B4-BE49-F238E27FC236}">
              <a16:creationId xmlns="" xmlns:a16="http://schemas.microsoft.com/office/drawing/2014/main" id="{00000000-0008-0000-0B00-00002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5" name="Rectangle 4">
          <a:extLst>
            <a:ext uri="{FF2B5EF4-FFF2-40B4-BE49-F238E27FC236}">
              <a16:creationId xmlns="" xmlns:a16="http://schemas.microsoft.com/office/drawing/2014/main" id="{00000000-0008-0000-0B00-00002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6" name="Rectangle 4">
          <a:extLst>
            <a:ext uri="{FF2B5EF4-FFF2-40B4-BE49-F238E27FC236}">
              <a16:creationId xmlns="" xmlns:a16="http://schemas.microsoft.com/office/drawing/2014/main" id="{00000000-0008-0000-0B00-00002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7" name="Rectangle 4">
          <a:extLst>
            <a:ext uri="{FF2B5EF4-FFF2-40B4-BE49-F238E27FC236}">
              <a16:creationId xmlns="" xmlns:a16="http://schemas.microsoft.com/office/drawing/2014/main" id="{00000000-0008-0000-0B00-00002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8" name="Rectangle 4">
          <a:extLst>
            <a:ext uri="{FF2B5EF4-FFF2-40B4-BE49-F238E27FC236}">
              <a16:creationId xmlns="" xmlns:a16="http://schemas.microsoft.com/office/drawing/2014/main" id="{00000000-0008-0000-0B00-00003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9" name="Rectangle 4">
          <a:extLst>
            <a:ext uri="{FF2B5EF4-FFF2-40B4-BE49-F238E27FC236}">
              <a16:creationId xmlns="" xmlns:a16="http://schemas.microsoft.com/office/drawing/2014/main" id="{00000000-0008-0000-0B00-00003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0" name="Rectangle 4">
          <a:extLst>
            <a:ext uri="{FF2B5EF4-FFF2-40B4-BE49-F238E27FC236}">
              <a16:creationId xmlns="" xmlns:a16="http://schemas.microsoft.com/office/drawing/2014/main" id="{00000000-0008-0000-0B00-00003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1" name="Rectangle 4">
          <a:extLst>
            <a:ext uri="{FF2B5EF4-FFF2-40B4-BE49-F238E27FC236}">
              <a16:creationId xmlns="" xmlns:a16="http://schemas.microsoft.com/office/drawing/2014/main" id="{00000000-0008-0000-0B00-00003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2" name="Rectangle 4">
          <a:extLst>
            <a:ext uri="{FF2B5EF4-FFF2-40B4-BE49-F238E27FC236}">
              <a16:creationId xmlns="" xmlns:a16="http://schemas.microsoft.com/office/drawing/2014/main" id="{00000000-0008-0000-0B00-00003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3" name="Rectangle 4">
          <a:extLst>
            <a:ext uri="{FF2B5EF4-FFF2-40B4-BE49-F238E27FC236}">
              <a16:creationId xmlns="" xmlns:a16="http://schemas.microsoft.com/office/drawing/2014/main" id="{00000000-0008-0000-0B00-00003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4" name="Rectangle 4">
          <a:extLst>
            <a:ext uri="{FF2B5EF4-FFF2-40B4-BE49-F238E27FC236}">
              <a16:creationId xmlns="" xmlns:a16="http://schemas.microsoft.com/office/drawing/2014/main" id="{00000000-0008-0000-0B00-00003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5" name="Rectangle 4">
          <a:extLst>
            <a:ext uri="{FF2B5EF4-FFF2-40B4-BE49-F238E27FC236}">
              <a16:creationId xmlns="" xmlns:a16="http://schemas.microsoft.com/office/drawing/2014/main" id="{00000000-0008-0000-0B00-00003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6" name="Rectangle 4">
          <a:extLst>
            <a:ext uri="{FF2B5EF4-FFF2-40B4-BE49-F238E27FC236}">
              <a16:creationId xmlns="" xmlns:a16="http://schemas.microsoft.com/office/drawing/2014/main" id="{00000000-0008-0000-0B00-00003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7" name="Rectangle 4">
          <a:extLst>
            <a:ext uri="{FF2B5EF4-FFF2-40B4-BE49-F238E27FC236}">
              <a16:creationId xmlns="" xmlns:a16="http://schemas.microsoft.com/office/drawing/2014/main" id="{00000000-0008-0000-0B00-00003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8" name="Rectangle 4">
          <a:extLst>
            <a:ext uri="{FF2B5EF4-FFF2-40B4-BE49-F238E27FC236}">
              <a16:creationId xmlns="" xmlns:a16="http://schemas.microsoft.com/office/drawing/2014/main" id="{00000000-0008-0000-0B00-00003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9" name="Rectangle 4">
          <a:extLst>
            <a:ext uri="{FF2B5EF4-FFF2-40B4-BE49-F238E27FC236}">
              <a16:creationId xmlns="" xmlns:a16="http://schemas.microsoft.com/office/drawing/2014/main" id="{00000000-0008-0000-0B00-00003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0" name="Rectangle 4">
          <a:extLst>
            <a:ext uri="{FF2B5EF4-FFF2-40B4-BE49-F238E27FC236}">
              <a16:creationId xmlns="" xmlns:a16="http://schemas.microsoft.com/office/drawing/2014/main" id="{00000000-0008-0000-0B00-00003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1" name="Rectangle 4">
          <a:extLst>
            <a:ext uri="{FF2B5EF4-FFF2-40B4-BE49-F238E27FC236}">
              <a16:creationId xmlns="" xmlns:a16="http://schemas.microsoft.com/office/drawing/2014/main" id="{00000000-0008-0000-0B00-00003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2" name="Rectangle 4">
          <a:extLst>
            <a:ext uri="{FF2B5EF4-FFF2-40B4-BE49-F238E27FC236}">
              <a16:creationId xmlns="" xmlns:a16="http://schemas.microsoft.com/office/drawing/2014/main" id="{00000000-0008-0000-0B00-00003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3" name="Rectangle 4">
          <a:extLst>
            <a:ext uri="{FF2B5EF4-FFF2-40B4-BE49-F238E27FC236}">
              <a16:creationId xmlns="" xmlns:a16="http://schemas.microsoft.com/office/drawing/2014/main" id="{00000000-0008-0000-0B00-00003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4" name="Rectangle 4">
          <a:extLst>
            <a:ext uri="{FF2B5EF4-FFF2-40B4-BE49-F238E27FC236}">
              <a16:creationId xmlns="" xmlns:a16="http://schemas.microsoft.com/office/drawing/2014/main" id="{00000000-0008-0000-0B00-00004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5" name="Rectangle 4">
          <a:extLst>
            <a:ext uri="{FF2B5EF4-FFF2-40B4-BE49-F238E27FC236}">
              <a16:creationId xmlns="" xmlns:a16="http://schemas.microsoft.com/office/drawing/2014/main" id="{00000000-0008-0000-0B00-00004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6" name="Rectangle 4">
          <a:extLst>
            <a:ext uri="{FF2B5EF4-FFF2-40B4-BE49-F238E27FC236}">
              <a16:creationId xmlns="" xmlns:a16="http://schemas.microsoft.com/office/drawing/2014/main" id="{00000000-0008-0000-0B00-00004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7" name="Rectangle 4">
          <a:extLst>
            <a:ext uri="{FF2B5EF4-FFF2-40B4-BE49-F238E27FC236}">
              <a16:creationId xmlns="" xmlns:a16="http://schemas.microsoft.com/office/drawing/2014/main" id="{00000000-0008-0000-0B00-00004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8" name="Rectangle 4">
          <a:extLst>
            <a:ext uri="{FF2B5EF4-FFF2-40B4-BE49-F238E27FC236}">
              <a16:creationId xmlns="" xmlns:a16="http://schemas.microsoft.com/office/drawing/2014/main" id="{00000000-0008-0000-0B00-00004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9" name="Rectangle 4">
          <a:extLst>
            <a:ext uri="{FF2B5EF4-FFF2-40B4-BE49-F238E27FC236}">
              <a16:creationId xmlns="" xmlns:a16="http://schemas.microsoft.com/office/drawing/2014/main" id="{00000000-0008-0000-0B00-00004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0" name="Rectangle 4">
          <a:extLst>
            <a:ext uri="{FF2B5EF4-FFF2-40B4-BE49-F238E27FC236}">
              <a16:creationId xmlns="" xmlns:a16="http://schemas.microsoft.com/office/drawing/2014/main" id="{00000000-0008-0000-0B00-00004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1" name="Rectangle 4">
          <a:extLst>
            <a:ext uri="{FF2B5EF4-FFF2-40B4-BE49-F238E27FC236}">
              <a16:creationId xmlns="" xmlns:a16="http://schemas.microsoft.com/office/drawing/2014/main" id="{00000000-0008-0000-0B00-00004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2" name="Rectangle 4">
          <a:extLst>
            <a:ext uri="{FF2B5EF4-FFF2-40B4-BE49-F238E27FC236}">
              <a16:creationId xmlns="" xmlns:a16="http://schemas.microsoft.com/office/drawing/2014/main" id="{00000000-0008-0000-0B00-00004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3" name="Rectangle 4">
          <a:extLst>
            <a:ext uri="{FF2B5EF4-FFF2-40B4-BE49-F238E27FC236}">
              <a16:creationId xmlns="" xmlns:a16="http://schemas.microsoft.com/office/drawing/2014/main" id="{00000000-0008-0000-0B00-00004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4" name="Rectangle 4">
          <a:extLst>
            <a:ext uri="{FF2B5EF4-FFF2-40B4-BE49-F238E27FC236}">
              <a16:creationId xmlns="" xmlns:a16="http://schemas.microsoft.com/office/drawing/2014/main" id="{00000000-0008-0000-0B00-00004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5" name="Rectangle 4">
          <a:extLst>
            <a:ext uri="{FF2B5EF4-FFF2-40B4-BE49-F238E27FC236}">
              <a16:creationId xmlns="" xmlns:a16="http://schemas.microsoft.com/office/drawing/2014/main" id="{00000000-0008-0000-0B00-00004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6" name="Rectangle 4">
          <a:extLst>
            <a:ext uri="{FF2B5EF4-FFF2-40B4-BE49-F238E27FC236}">
              <a16:creationId xmlns="" xmlns:a16="http://schemas.microsoft.com/office/drawing/2014/main" id="{00000000-0008-0000-0B00-00004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7" name="Rectangle 4">
          <a:extLst>
            <a:ext uri="{FF2B5EF4-FFF2-40B4-BE49-F238E27FC236}">
              <a16:creationId xmlns="" xmlns:a16="http://schemas.microsoft.com/office/drawing/2014/main" id="{00000000-0008-0000-0B00-00004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8" name="Rectangle 4">
          <a:extLst>
            <a:ext uri="{FF2B5EF4-FFF2-40B4-BE49-F238E27FC236}">
              <a16:creationId xmlns="" xmlns:a16="http://schemas.microsoft.com/office/drawing/2014/main" id="{00000000-0008-0000-0B00-00004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9" name="Rectangle 4">
          <a:extLst>
            <a:ext uri="{FF2B5EF4-FFF2-40B4-BE49-F238E27FC236}">
              <a16:creationId xmlns="" xmlns:a16="http://schemas.microsoft.com/office/drawing/2014/main" id="{00000000-0008-0000-0B00-00004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0" name="Rectangle 4">
          <a:extLst>
            <a:ext uri="{FF2B5EF4-FFF2-40B4-BE49-F238E27FC236}">
              <a16:creationId xmlns="" xmlns:a16="http://schemas.microsoft.com/office/drawing/2014/main" id="{00000000-0008-0000-0B00-00005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1" name="Rectangle 4">
          <a:extLst>
            <a:ext uri="{FF2B5EF4-FFF2-40B4-BE49-F238E27FC236}">
              <a16:creationId xmlns="" xmlns:a16="http://schemas.microsoft.com/office/drawing/2014/main" id="{00000000-0008-0000-0B00-00005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2" name="Rectangle 4">
          <a:extLst>
            <a:ext uri="{FF2B5EF4-FFF2-40B4-BE49-F238E27FC236}">
              <a16:creationId xmlns="" xmlns:a16="http://schemas.microsoft.com/office/drawing/2014/main" id="{00000000-0008-0000-0B00-00005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3" name="Rectangle 4">
          <a:extLst>
            <a:ext uri="{FF2B5EF4-FFF2-40B4-BE49-F238E27FC236}">
              <a16:creationId xmlns="" xmlns:a16="http://schemas.microsoft.com/office/drawing/2014/main" id="{00000000-0008-0000-0B00-00005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4" name="Rectangle 4">
          <a:extLst>
            <a:ext uri="{FF2B5EF4-FFF2-40B4-BE49-F238E27FC236}">
              <a16:creationId xmlns="" xmlns:a16="http://schemas.microsoft.com/office/drawing/2014/main" id="{00000000-0008-0000-0B00-00005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5" name="Rectangle 4">
          <a:extLst>
            <a:ext uri="{FF2B5EF4-FFF2-40B4-BE49-F238E27FC236}">
              <a16:creationId xmlns="" xmlns:a16="http://schemas.microsoft.com/office/drawing/2014/main" id="{00000000-0008-0000-0B00-00005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6" name="Rectangle 4">
          <a:extLst>
            <a:ext uri="{FF2B5EF4-FFF2-40B4-BE49-F238E27FC236}">
              <a16:creationId xmlns="" xmlns:a16="http://schemas.microsoft.com/office/drawing/2014/main" id="{00000000-0008-0000-0B00-00005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7" name="Rectangle 4">
          <a:extLst>
            <a:ext uri="{FF2B5EF4-FFF2-40B4-BE49-F238E27FC236}">
              <a16:creationId xmlns="" xmlns:a16="http://schemas.microsoft.com/office/drawing/2014/main" id="{00000000-0008-0000-0B00-00005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8" name="Rectangle 4">
          <a:extLst>
            <a:ext uri="{FF2B5EF4-FFF2-40B4-BE49-F238E27FC236}">
              <a16:creationId xmlns="" xmlns:a16="http://schemas.microsoft.com/office/drawing/2014/main" id="{00000000-0008-0000-0B00-00005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9" name="Rectangle 4">
          <a:extLst>
            <a:ext uri="{FF2B5EF4-FFF2-40B4-BE49-F238E27FC236}">
              <a16:creationId xmlns="" xmlns:a16="http://schemas.microsoft.com/office/drawing/2014/main" id="{00000000-0008-0000-0B00-00005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0" name="Rectangle 4">
          <a:extLst>
            <a:ext uri="{FF2B5EF4-FFF2-40B4-BE49-F238E27FC236}">
              <a16:creationId xmlns="" xmlns:a16="http://schemas.microsoft.com/office/drawing/2014/main" id="{00000000-0008-0000-0B00-00005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1" name="Rectangle 4">
          <a:extLst>
            <a:ext uri="{FF2B5EF4-FFF2-40B4-BE49-F238E27FC236}">
              <a16:creationId xmlns="" xmlns:a16="http://schemas.microsoft.com/office/drawing/2014/main" id="{00000000-0008-0000-0B00-00005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2" name="Rectangle 4">
          <a:extLst>
            <a:ext uri="{FF2B5EF4-FFF2-40B4-BE49-F238E27FC236}">
              <a16:creationId xmlns="" xmlns:a16="http://schemas.microsoft.com/office/drawing/2014/main" id="{00000000-0008-0000-0B00-00005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3" name="Rectangle 4">
          <a:extLst>
            <a:ext uri="{FF2B5EF4-FFF2-40B4-BE49-F238E27FC236}">
              <a16:creationId xmlns="" xmlns:a16="http://schemas.microsoft.com/office/drawing/2014/main" id="{00000000-0008-0000-0B00-00005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4" name="Rectangle 4">
          <a:extLst>
            <a:ext uri="{FF2B5EF4-FFF2-40B4-BE49-F238E27FC236}">
              <a16:creationId xmlns="" xmlns:a16="http://schemas.microsoft.com/office/drawing/2014/main" id="{00000000-0008-0000-0B00-00005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5" name="Rectangle 4">
          <a:extLst>
            <a:ext uri="{FF2B5EF4-FFF2-40B4-BE49-F238E27FC236}">
              <a16:creationId xmlns="" xmlns:a16="http://schemas.microsoft.com/office/drawing/2014/main" id="{00000000-0008-0000-0B00-00005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6" name="Rectangle 4">
          <a:extLst>
            <a:ext uri="{FF2B5EF4-FFF2-40B4-BE49-F238E27FC236}">
              <a16:creationId xmlns="" xmlns:a16="http://schemas.microsoft.com/office/drawing/2014/main" id="{00000000-0008-0000-0B00-00006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7" name="Rectangle 4">
          <a:extLst>
            <a:ext uri="{FF2B5EF4-FFF2-40B4-BE49-F238E27FC236}">
              <a16:creationId xmlns="" xmlns:a16="http://schemas.microsoft.com/office/drawing/2014/main" id="{00000000-0008-0000-0B00-00006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8" name="Rectangle 4">
          <a:extLst>
            <a:ext uri="{FF2B5EF4-FFF2-40B4-BE49-F238E27FC236}">
              <a16:creationId xmlns="" xmlns:a16="http://schemas.microsoft.com/office/drawing/2014/main" id="{00000000-0008-0000-0B00-00006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9" name="Rectangle 4">
          <a:extLst>
            <a:ext uri="{FF2B5EF4-FFF2-40B4-BE49-F238E27FC236}">
              <a16:creationId xmlns="" xmlns:a16="http://schemas.microsoft.com/office/drawing/2014/main" id="{00000000-0008-0000-0B00-00006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0" name="Rectangle 4">
          <a:extLst>
            <a:ext uri="{FF2B5EF4-FFF2-40B4-BE49-F238E27FC236}">
              <a16:creationId xmlns="" xmlns:a16="http://schemas.microsoft.com/office/drawing/2014/main" id="{00000000-0008-0000-0B00-00006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1" name="Rectangle 4">
          <a:extLst>
            <a:ext uri="{FF2B5EF4-FFF2-40B4-BE49-F238E27FC236}">
              <a16:creationId xmlns="" xmlns:a16="http://schemas.microsoft.com/office/drawing/2014/main" id="{00000000-0008-0000-0B00-00006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2" name="Rectangle 4">
          <a:extLst>
            <a:ext uri="{FF2B5EF4-FFF2-40B4-BE49-F238E27FC236}">
              <a16:creationId xmlns="" xmlns:a16="http://schemas.microsoft.com/office/drawing/2014/main" id="{00000000-0008-0000-0B00-00006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3" name="Rectangle 4">
          <a:extLst>
            <a:ext uri="{FF2B5EF4-FFF2-40B4-BE49-F238E27FC236}">
              <a16:creationId xmlns="" xmlns:a16="http://schemas.microsoft.com/office/drawing/2014/main" id="{00000000-0008-0000-0B00-00006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4" name="Rectangle 4">
          <a:extLst>
            <a:ext uri="{FF2B5EF4-FFF2-40B4-BE49-F238E27FC236}">
              <a16:creationId xmlns="" xmlns:a16="http://schemas.microsoft.com/office/drawing/2014/main" id="{00000000-0008-0000-0B00-00006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5" name="Rectangle 4">
          <a:extLst>
            <a:ext uri="{FF2B5EF4-FFF2-40B4-BE49-F238E27FC236}">
              <a16:creationId xmlns="" xmlns:a16="http://schemas.microsoft.com/office/drawing/2014/main" id="{00000000-0008-0000-0B00-00006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6" name="Rectangle 4">
          <a:extLst>
            <a:ext uri="{FF2B5EF4-FFF2-40B4-BE49-F238E27FC236}">
              <a16:creationId xmlns="" xmlns:a16="http://schemas.microsoft.com/office/drawing/2014/main" id="{00000000-0008-0000-0B00-00006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7" name="Rectangle 4">
          <a:extLst>
            <a:ext uri="{FF2B5EF4-FFF2-40B4-BE49-F238E27FC236}">
              <a16:creationId xmlns="" xmlns:a16="http://schemas.microsoft.com/office/drawing/2014/main" id="{00000000-0008-0000-0B00-00006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8" name="Rectangle 4">
          <a:extLst>
            <a:ext uri="{FF2B5EF4-FFF2-40B4-BE49-F238E27FC236}">
              <a16:creationId xmlns="" xmlns:a16="http://schemas.microsoft.com/office/drawing/2014/main" id="{00000000-0008-0000-0B00-00006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9" name="Rectangle 4">
          <a:extLst>
            <a:ext uri="{FF2B5EF4-FFF2-40B4-BE49-F238E27FC236}">
              <a16:creationId xmlns="" xmlns:a16="http://schemas.microsoft.com/office/drawing/2014/main" id="{00000000-0008-0000-0B00-00006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0" name="Rectangle 4">
          <a:extLst>
            <a:ext uri="{FF2B5EF4-FFF2-40B4-BE49-F238E27FC236}">
              <a16:creationId xmlns="" xmlns:a16="http://schemas.microsoft.com/office/drawing/2014/main" id="{00000000-0008-0000-0B00-00006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1" name="Rectangle 4">
          <a:extLst>
            <a:ext uri="{FF2B5EF4-FFF2-40B4-BE49-F238E27FC236}">
              <a16:creationId xmlns="" xmlns:a16="http://schemas.microsoft.com/office/drawing/2014/main" id="{00000000-0008-0000-0B00-00006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2" name="Rectangle 4">
          <a:extLst>
            <a:ext uri="{FF2B5EF4-FFF2-40B4-BE49-F238E27FC236}">
              <a16:creationId xmlns="" xmlns:a16="http://schemas.microsoft.com/office/drawing/2014/main" id="{00000000-0008-0000-0B00-00007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3" name="Rectangle 4">
          <a:extLst>
            <a:ext uri="{FF2B5EF4-FFF2-40B4-BE49-F238E27FC236}">
              <a16:creationId xmlns="" xmlns:a16="http://schemas.microsoft.com/office/drawing/2014/main" id="{00000000-0008-0000-0B00-00007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4" name="Rectangle 4">
          <a:extLst>
            <a:ext uri="{FF2B5EF4-FFF2-40B4-BE49-F238E27FC236}">
              <a16:creationId xmlns="" xmlns:a16="http://schemas.microsoft.com/office/drawing/2014/main" id="{00000000-0008-0000-0B00-00007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5" name="Rectangle 4">
          <a:extLst>
            <a:ext uri="{FF2B5EF4-FFF2-40B4-BE49-F238E27FC236}">
              <a16:creationId xmlns="" xmlns:a16="http://schemas.microsoft.com/office/drawing/2014/main" id="{00000000-0008-0000-0B00-00007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6" name="Rectangle 4">
          <a:extLst>
            <a:ext uri="{FF2B5EF4-FFF2-40B4-BE49-F238E27FC236}">
              <a16:creationId xmlns="" xmlns:a16="http://schemas.microsoft.com/office/drawing/2014/main" id="{00000000-0008-0000-0B00-00007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7" name="Rectangle 4">
          <a:extLst>
            <a:ext uri="{FF2B5EF4-FFF2-40B4-BE49-F238E27FC236}">
              <a16:creationId xmlns="" xmlns:a16="http://schemas.microsoft.com/office/drawing/2014/main" id="{00000000-0008-0000-0B00-00007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8" name="Rectangle 4">
          <a:extLst>
            <a:ext uri="{FF2B5EF4-FFF2-40B4-BE49-F238E27FC236}">
              <a16:creationId xmlns="" xmlns:a16="http://schemas.microsoft.com/office/drawing/2014/main" id="{00000000-0008-0000-0B00-00007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9" name="Rectangle 4">
          <a:extLst>
            <a:ext uri="{FF2B5EF4-FFF2-40B4-BE49-F238E27FC236}">
              <a16:creationId xmlns="" xmlns:a16="http://schemas.microsoft.com/office/drawing/2014/main" id="{00000000-0008-0000-0B00-00007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0" name="Rectangle 4">
          <a:extLst>
            <a:ext uri="{FF2B5EF4-FFF2-40B4-BE49-F238E27FC236}">
              <a16:creationId xmlns="" xmlns:a16="http://schemas.microsoft.com/office/drawing/2014/main" id="{00000000-0008-0000-0B00-00007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1" name="Rectangle 4">
          <a:extLst>
            <a:ext uri="{FF2B5EF4-FFF2-40B4-BE49-F238E27FC236}">
              <a16:creationId xmlns="" xmlns:a16="http://schemas.microsoft.com/office/drawing/2014/main" id="{00000000-0008-0000-0B00-00007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2" name="Rectangle 4">
          <a:extLst>
            <a:ext uri="{FF2B5EF4-FFF2-40B4-BE49-F238E27FC236}">
              <a16:creationId xmlns="" xmlns:a16="http://schemas.microsoft.com/office/drawing/2014/main" id="{00000000-0008-0000-0B00-00007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3" name="Rectangle 4">
          <a:extLst>
            <a:ext uri="{FF2B5EF4-FFF2-40B4-BE49-F238E27FC236}">
              <a16:creationId xmlns="" xmlns:a16="http://schemas.microsoft.com/office/drawing/2014/main" id="{00000000-0008-0000-0B00-00007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4" name="Rectangle 4">
          <a:extLst>
            <a:ext uri="{FF2B5EF4-FFF2-40B4-BE49-F238E27FC236}">
              <a16:creationId xmlns="" xmlns:a16="http://schemas.microsoft.com/office/drawing/2014/main" id="{00000000-0008-0000-0B00-00007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5" name="Rectangle 4">
          <a:extLst>
            <a:ext uri="{FF2B5EF4-FFF2-40B4-BE49-F238E27FC236}">
              <a16:creationId xmlns="" xmlns:a16="http://schemas.microsoft.com/office/drawing/2014/main" id="{00000000-0008-0000-0B00-00007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6" name="Rectangle 4">
          <a:extLst>
            <a:ext uri="{FF2B5EF4-FFF2-40B4-BE49-F238E27FC236}">
              <a16:creationId xmlns="" xmlns:a16="http://schemas.microsoft.com/office/drawing/2014/main" id="{00000000-0008-0000-0B00-00007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7" name="Rectangle 4">
          <a:extLst>
            <a:ext uri="{FF2B5EF4-FFF2-40B4-BE49-F238E27FC236}">
              <a16:creationId xmlns="" xmlns:a16="http://schemas.microsoft.com/office/drawing/2014/main" id="{00000000-0008-0000-0B00-00007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8" name="Rectangle 4">
          <a:extLst>
            <a:ext uri="{FF2B5EF4-FFF2-40B4-BE49-F238E27FC236}">
              <a16:creationId xmlns="" xmlns:a16="http://schemas.microsoft.com/office/drawing/2014/main" id="{00000000-0008-0000-0B00-00008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9" name="Rectangle 4">
          <a:extLst>
            <a:ext uri="{FF2B5EF4-FFF2-40B4-BE49-F238E27FC236}">
              <a16:creationId xmlns="" xmlns:a16="http://schemas.microsoft.com/office/drawing/2014/main" id="{00000000-0008-0000-0B00-00008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0" name="Rectangle 4">
          <a:extLst>
            <a:ext uri="{FF2B5EF4-FFF2-40B4-BE49-F238E27FC236}">
              <a16:creationId xmlns="" xmlns:a16="http://schemas.microsoft.com/office/drawing/2014/main" id="{00000000-0008-0000-0B00-00008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1" name="Rectangle 4">
          <a:extLst>
            <a:ext uri="{FF2B5EF4-FFF2-40B4-BE49-F238E27FC236}">
              <a16:creationId xmlns="" xmlns:a16="http://schemas.microsoft.com/office/drawing/2014/main" id="{00000000-0008-0000-0B00-00008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2" name="Rectangle 4">
          <a:extLst>
            <a:ext uri="{FF2B5EF4-FFF2-40B4-BE49-F238E27FC236}">
              <a16:creationId xmlns="" xmlns:a16="http://schemas.microsoft.com/office/drawing/2014/main" id="{00000000-0008-0000-0B00-00008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3" name="Rectangle 4">
          <a:extLst>
            <a:ext uri="{FF2B5EF4-FFF2-40B4-BE49-F238E27FC236}">
              <a16:creationId xmlns="" xmlns:a16="http://schemas.microsoft.com/office/drawing/2014/main" id="{00000000-0008-0000-0B00-00008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466725</xdr:colOff>
      <xdr:row>4</xdr:row>
      <xdr:rowOff>295275</xdr:rowOff>
    </xdr:from>
    <xdr:to>
      <xdr:col>2</xdr:col>
      <xdr:colOff>1057275</xdr:colOff>
      <xdr:row>4</xdr:row>
      <xdr:rowOff>485775</xdr:rowOff>
    </xdr:to>
    <xdr:sp macro="" textlink="">
      <xdr:nvSpPr>
        <xdr:cNvPr id="139" name="Rectangle 1">
          <a:extLst>
            <a:ext uri="{FF2B5EF4-FFF2-40B4-BE49-F238E27FC236}">
              <a16:creationId xmlns="" xmlns:a16="http://schemas.microsoft.com/office/drawing/2014/main" id="{00000000-0008-0000-0B00-00008B000000}"/>
            </a:ext>
          </a:extLst>
        </xdr:cNvPr>
        <xdr:cNvSpPr>
          <a:spLocks noChangeArrowheads="1"/>
        </xdr:cNvSpPr>
      </xdr:nvSpPr>
      <xdr:spPr bwMode="auto">
        <a:xfrm>
          <a:off x="1123950" y="2257425"/>
          <a:ext cx="5905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464820</xdr:colOff>
      <xdr:row>4</xdr:row>
      <xdr:rowOff>295275</xdr:rowOff>
    </xdr:from>
    <xdr:to>
      <xdr:col>2</xdr:col>
      <xdr:colOff>1057761</xdr:colOff>
      <xdr:row>4</xdr:row>
      <xdr:rowOff>485775</xdr:rowOff>
    </xdr:to>
    <xdr:sp macro="" textlink="">
      <xdr:nvSpPr>
        <xdr:cNvPr id="143" name="Rectangle 1">
          <a:extLst>
            <a:ext uri="{FF2B5EF4-FFF2-40B4-BE49-F238E27FC236}">
              <a16:creationId xmlns="" xmlns:a16="http://schemas.microsoft.com/office/drawing/2014/main" id="{00000000-0008-0000-0B00-00008F000000}"/>
            </a:ext>
          </a:extLst>
        </xdr:cNvPr>
        <xdr:cNvSpPr>
          <a:spLocks noChangeArrowheads="1"/>
        </xdr:cNvSpPr>
      </xdr:nvSpPr>
      <xdr:spPr bwMode="auto">
        <a:xfrm>
          <a:off x="1122045" y="2257425"/>
          <a:ext cx="59294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Calibri" pitchFamily="34" charset="0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1236133</xdr:colOff>
      <xdr:row>3</xdr:row>
      <xdr:rowOff>243417</xdr:rowOff>
    </xdr:from>
    <xdr:to>
      <xdr:col>2</xdr:col>
      <xdr:colOff>1800225</xdr:colOff>
      <xdr:row>3</xdr:row>
      <xdr:rowOff>381000</xdr:rowOff>
    </xdr:to>
    <xdr:sp macro="" textlink="">
      <xdr:nvSpPr>
        <xdr:cNvPr id="148" name="Rectangle 1">
          <a:extLst>
            <a:ext uri="{FF2B5EF4-FFF2-40B4-BE49-F238E27FC236}">
              <a16:creationId xmlns="" xmlns:a16="http://schemas.microsoft.com/office/drawing/2014/main" id="{00000000-0008-0000-0B00-000094000000}"/>
            </a:ext>
          </a:extLst>
        </xdr:cNvPr>
        <xdr:cNvSpPr>
          <a:spLocks noChangeArrowheads="1"/>
        </xdr:cNvSpPr>
      </xdr:nvSpPr>
      <xdr:spPr bwMode="auto">
        <a:xfrm>
          <a:off x="2026708" y="691092"/>
          <a:ext cx="564092" cy="1375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328084</xdr:colOff>
      <xdr:row>3</xdr:row>
      <xdr:rowOff>709084</xdr:rowOff>
    </xdr:from>
    <xdr:to>
      <xdr:col>2</xdr:col>
      <xdr:colOff>885826</xdr:colOff>
      <xdr:row>3</xdr:row>
      <xdr:rowOff>876300</xdr:rowOff>
    </xdr:to>
    <xdr:sp macro="" textlink="">
      <xdr:nvSpPr>
        <xdr:cNvPr id="149" name="Rectangle 1">
          <a:extLst>
            <a:ext uri="{FF2B5EF4-FFF2-40B4-BE49-F238E27FC236}">
              <a16:creationId xmlns="" xmlns:a16="http://schemas.microsoft.com/office/drawing/2014/main" id="{00000000-0008-0000-0B00-000095000000}"/>
            </a:ext>
          </a:extLst>
        </xdr:cNvPr>
        <xdr:cNvSpPr>
          <a:spLocks noChangeArrowheads="1"/>
        </xdr:cNvSpPr>
      </xdr:nvSpPr>
      <xdr:spPr bwMode="auto">
        <a:xfrm flipV="1">
          <a:off x="1118659" y="1156759"/>
          <a:ext cx="557742" cy="16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  <a:endParaRPr lang="ru-RU" sz="800" b="0" i="0" strike="noStrike">
            <a:solidFill>
              <a:srgbClr val="000000"/>
            </a:solidFill>
            <a:latin typeface="Calibri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4</xdr:row>
      <xdr:rowOff>275167</xdr:rowOff>
    </xdr:from>
    <xdr:to>
      <xdr:col>2</xdr:col>
      <xdr:colOff>1212850</xdr:colOff>
      <xdr:row>4</xdr:row>
      <xdr:rowOff>458258</xdr:rowOff>
    </xdr:to>
    <xdr:sp macro="" textlink="">
      <xdr:nvSpPr>
        <xdr:cNvPr id="6" name="Rectangle 1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SpPr>
          <a:spLocks noChangeArrowheads="1"/>
        </xdr:cNvSpPr>
      </xdr:nvSpPr>
      <xdr:spPr bwMode="auto">
        <a:xfrm flipV="1">
          <a:off x="1085850" y="1913467"/>
          <a:ext cx="793750" cy="1830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Calibri" pitchFamily="34" charset="0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" name="Rectangle 4"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" name="Rectangle 4">
          <a:extLst>
            <a:ext uri="{FF2B5EF4-FFF2-40B4-BE49-F238E27FC236}">
              <a16:creationId xmlns="" xmlns:a16="http://schemas.microsoft.com/office/drawing/2014/main" id="{00000000-0008-0000-0C00-00000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" name="Rectangle 4">
          <a:extLst>
            <a:ext uri="{FF2B5EF4-FFF2-40B4-BE49-F238E27FC236}">
              <a16:creationId xmlns="" xmlns:a16="http://schemas.microsoft.com/office/drawing/2014/main" id="{00000000-0008-0000-0C00-00000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" name="Rectangle 4">
          <a:extLst>
            <a:ext uri="{FF2B5EF4-FFF2-40B4-BE49-F238E27FC236}">
              <a16:creationId xmlns="" xmlns:a16="http://schemas.microsoft.com/office/drawing/2014/main" id="{00000000-0008-0000-0C00-00000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" name="Rectangle 4">
          <a:extLst>
            <a:ext uri="{FF2B5EF4-FFF2-40B4-BE49-F238E27FC236}">
              <a16:creationId xmlns="" xmlns:a16="http://schemas.microsoft.com/office/drawing/2014/main" id="{00000000-0008-0000-0C00-00000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" name="Rectangle 4">
          <a:extLst>
            <a:ext uri="{FF2B5EF4-FFF2-40B4-BE49-F238E27FC236}">
              <a16:creationId xmlns="" xmlns:a16="http://schemas.microsoft.com/office/drawing/2014/main" id="{00000000-0008-0000-0C00-00000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3" name="Rectangle 4">
          <a:extLst>
            <a:ext uri="{FF2B5EF4-FFF2-40B4-BE49-F238E27FC236}">
              <a16:creationId xmlns="" xmlns:a16="http://schemas.microsoft.com/office/drawing/2014/main" id="{00000000-0008-0000-0C00-00000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4" name="Rectangle 4">
          <a:extLst>
            <a:ext uri="{FF2B5EF4-FFF2-40B4-BE49-F238E27FC236}">
              <a16:creationId xmlns="" xmlns:a16="http://schemas.microsoft.com/office/drawing/2014/main" id="{00000000-0008-0000-0C00-00000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5" name="Rectangle 4">
          <a:extLst>
            <a:ext uri="{FF2B5EF4-FFF2-40B4-BE49-F238E27FC236}">
              <a16:creationId xmlns="" xmlns:a16="http://schemas.microsoft.com/office/drawing/2014/main" id="{00000000-0008-0000-0C00-00000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6" name="Rectangle 4">
          <a:extLst>
            <a:ext uri="{FF2B5EF4-FFF2-40B4-BE49-F238E27FC236}">
              <a16:creationId xmlns="" xmlns:a16="http://schemas.microsoft.com/office/drawing/2014/main" id="{00000000-0008-0000-0C00-00001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7" name="Rectangle 4">
          <a:extLst>
            <a:ext uri="{FF2B5EF4-FFF2-40B4-BE49-F238E27FC236}">
              <a16:creationId xmlns="" xmlns:a16="http://schemas.microsoft.com/office/drawing/2014/main" id="{00000000-0008-0000-0C00-00001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8" name="Rectangle 4">
          <a:extLst>
            <a:ext uri="{FF2B5EF4-FFF2-40B4-BE49-F238E27FC236}">
              <a16:creationId xmlns="" xmlns:a16="http://schemas.microsoft.com/office/drawing/2014/main" id="{00000000-0008-0000-0C00-00001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9" name="Rectangle 4">
          <a:extLst>
            <a:ext uri="{FF2B5EF4-FFF2-40B4-BE49-F238E27FC236}">
              <a16:creationId xmlns="" xmlns:a16="http://schemas.microsoft.com/office/drawing/2014/main" id="{00000000-0008-0000-0C00-00001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0" name="Rectangle 4">
          <a:extLst>
            <a:ext uri="{FF2B5EF4-FFF2-40B4-BE49-F238E27FC236}">
              <a16:creationId xmlns="" xmlns:a16="http://schemas.microsoft.com/office/drawing/2014/main" id="{00000000-0008-0000-0C00-00001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1" name="Rectangle 4">
          <a:extLst>
            <a:ext uri="{FF2B5EF4-FFF2-40B4-BE49-F238E27FC236}">
              <a16:creationId xmlns="" xmlns:a16="http://schemas.microsoft.com/office/drawing/2014/main" id="{00000000-0008-0000-0C00-00001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2" name="Rectangle 4">
          <a:extLst>
            <a:ext uri="{FF2B5EF4-FFF2-40B4-BE49-F238E27FC236}">
              <a16:creationId xmlns="" xmlns:a16="http://schemas.microsoft.com/office/drawing/2014/main" id="{00000000-0008-0000-0C00-00001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3" name="Rectangle 4">
          <a:extLst>
            <a:ext uri="{FF2B5EF4-FFF2-40B4-BE49-F238E27FC236}">
              <a16:creationId xmlns="" xmlns:a16="http://schemas.microsoft.com/office/drawing/2014/main" id="{00000000-0008-0000-0C00-00001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4" name="Rectangle 4">
          <a:extLst>
            <a:ext uri="{FF2B5EF4-FFF2-40B4-BE49-F238E27FC236}">
              <a16:creationId xmlns="" xmlns:a16="http://schemas.microsoft.com/office/drawing/2014/main" id="{00000000-0008-0000-0C00-00001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5" name="Rectangle 4">
          <a:extLst>
            <a:ext uri="{FF2B5EF4-FFF2-40B4-BE49-F238E27FC236}">
              <a16:creationId xmlns="" xmlns:a16="http://schemas.microsoft.com/office/drawing/2014/main" id="{00000000-0008-0000-0C00-00001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6" name="Rectangle 4">
          <a:extLst>
            <a:ext uri="{FF2B5EF4-FFF2-40B4-BE49-F238E27FC236}">
              <a16:creationId xmlns="" xmlns:a16="http://schemas.microsoft.com/office/drawing/2014/main" id="{00000000-0008-0000-0C00-00001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7" name="Rectangle 4">
          <a:extLst>
            <a:ext uri="{FF2B5EF4-FFF2-40B4-BE49-F238E27FC236}">
              <a16:creationId xmlns="" xmlns:a16="http://schemas.microsoft.com/office/drawing/2014/main" id="{00000000-0008-0000-0C00-00001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8" name="Rectangle 4">
          <a:extLst>
            <a:ext uri="{FF2B5EF4-FFF2-40B4-BE49-F238E27FC236}">
              <a16:creationId xmlns="" xmlns:a16="http://schemas.microsoft.com/office/drawing/2014/main" id="{00000000-0008-0000-0C00-00001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29" name="Rectangle 4">
          <a:extLst>
            <a:ext uri="{FF2B5EF4-FFF2-40B4-BE49-F238E27FC236}">
              <a16:creationId xmlns="" xmlns:a16="http://schemas.microsoft.com/office/drawing/2014/main" id="{00000000-0008-0000-0C00-00001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0" name="Rectangle 4">
          <a:extLst>
            <a:ext uri="{FF2B5EF4-FFF2-40B4-BE49-F238E27FC236}">
              <a16:creationId xmlns="" xmlns:a16="http://schemas.microsoft.com/office/drawing/2014/main" id="{00000000-0008-0000-0C00-00001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1" name="Rectangle 4">
          <a:extLst>
            <a:ext uri="{FF2B5EF4-FFF2-40B4-BE49-F238E27FC236}">
              <a16:creationId xmlns="" xmlns:a16="http://schemas.microsoft.com/office/drawing/2014/main" id="{00000000-0008-0000-0C00-00001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2" name="Rectangle 4">
          <a:extLst>
            <a:ext uri="{FF2B5EF4-FFF2-40B4-BE49-F238E27FC236}">
              <a16:creationId xmlns="" xmlns:a16="http://schemas.microsoft.com/office/drawing/2014/main" id="{00000000-0008-0000-0C00-00002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3" name="Rectangle 4">
          <a:extLst>
            <a:ext uri="{FF2B5EF4-FFF2-40B4-BE49-F238E27FC236}">
              <a16:creationId xmlns="" xmlns:a16="http://schemas.microsoft.com/office/drawing/2014/main" id="{00000000-0008-0000-0C00-00002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4" name="Rectangle 4">
          <a:extLst>
            <a:ext uri="{FF2B5EF4-FFF2-40B4-BE49-F238E27FC236}">
              <a16:creationId xmlns="" xmlns:a16="http://schemas.microsoft.com/office/drawing/2014/main" id="{00000000-0008-0000-0C00-00002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5" name="Rectangle 4">
          <a:extLst>
            <a:ext uri="{FF2B5EF4-FFF2-40B4-BE49-F238E27FC236}">
              <a16:creationId xmlns="" xmlns:a16="http://schemas.microsoft.com/office/drawing/2014/main" id="{00000000-0008-0000-0C00-00002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6" name="Rectangle 4">
          <a:extLst>
            <a:ext uri="{FF2B5EF4-FFF2-40B4-BE49-F238E27FC236}">
              <a16:creationId xmlns="" xmlns:a16="http://schemas.microsoft.com/office/drawing/2014/main" id="{00000000-0008-0000-0C00-00002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7" name="Rectangle 4">
          <a:extLst>
            <a:ext uri="{FF2B5EF4-FFF2-40B4-BE49-F238E27FC236}">
              <a16:creationId xmlns="" xmlns:a16="http://schemas.microsoft.com/office/drawing/2014/main" id="{00000000-0008-0000-0C00-00002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8" name="Rectangle 4">
          <a:extLst>
            <a:ext uri="{FF2B5EF4-FFF2-40B4-BE49-F238E27FC236}">
              <a16:creationId xmlns="" xmlns:a16="http://schemas.microsoft.com/office/drawing/2014/main" id="{00000000-0008-0000-0C00-00002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39" name="Rectangle 4">
          <a:extLst>
            <a:ext uri="{FF2B5EF4-FFF2-40B4-BE49-F238E27FC236}">
              <a16:creationId xmlns="" xmlns:a16="http://schemas.microsoft.com/office/drawing/2014/main" id="{00000000-0008-0000-0C00-00002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0" name="Rectangle 4">
          <a:extLst>
            <a:ext uri="{FF2B5EF4-FFF2-40B4-BE49-F238E27FC236}">
              <a16:creationId xmlns="" xmlns:a16="http://schemas.microsoft.com/office/drawing/2014/main" id="{00000000-0008-0000-0C00-00002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1" name="Rectangle 4">
          <a:extLst>
            <a:ext uri="{FF2B5EF4-FFF2-40B4-BE49-F238E27FC236}">
              <a16:creationId xmlns="" xmlns:a16="http://schemas.microsoft.com/office/drawing/2014/main" id="{00000000-0008-0000-0C00-00002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2" name="Rectangle 4">
          <a:extLst>
            <a:ext uri="{FF2B5EF4-FFF2-40B4-BE49-F238E27FC236}">
              <a16:creationId xmlns="" xmlns:a16="http://schemas.microsoft.com/office/drawing/2014/main" id="{00000000-0008-0000-0C00-00002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3" name="Rectangle 4">
          <a:extLst>
            <a:ext uri="{FF2B5EF4-FFF2-40B4-BE49-F238E27FC236}">
              <a16:creationId xmlns="" xmlns:a16="http://schemas.microsoft.com/office/drawing/2014/main" id="{00000000-0008-0000-0C00-00002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4" name="Rectangle 4">
          <a:extLst>
            <a:ext uri="{FF2B5EF4-FFF2-40B4-BE49-F238E27FC236}">
              <a16:creationId xmlns="" xmlns:a16="http://schemas.microsoft.com/office/drawing/2014/main" id="{00000000-0008-0000-0C00-00002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5" name="Rectangle 4">
          <a:extLst>
            <a:ext uri="{FF2B5EF4-FFF2-40B4-BE49-F238E27FC236}">
              <a16:creationId xmlns="" xmlns:a16="http://schemas.microsoft.com/office/drawing/2014/main" id="{00000000-0008-0000-0C00-00002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6" name="Rectangle 4">
          <a:extLst>
            <a:ext uri="{FF2B5EF4-FFF2-40B4-BE49-F238E27FC236}">
              <a16:creationId xmlns="" xmlns:a16="http://schemas.microsoft.com/office/drawing/2014/main" id="{00000000-0008-0000-0C00-00002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7" name="Rectangle 4">
          <a:extLst>
            <a:ext uri="{FF2B5EF4-FFF2-40B4-BE49-F238E27FC236}">
              <a16:creationId xmlns="" xmlns:a16="http://schemas.microsoft.com/office/drawing/2014/main" id="{00000000-0008-0000-0C00-00002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8" name="Rectangle 4">
          <a:extLst>
            <a:ext uri="{FF2B5EF4-FFF2-40B4-BE49-F238E27FC236}">
              <a16:creationId xmlns="" xmlns:a16="http://schemas.microsoft.com/office/drawing/2014/main" id="{00000000-0008-0000-0C00-00003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49" name="Rectangle 4">
          <a:extLst>
            <a:ext uri="{FF2B5EF4-FFF2-40B4-BE49-F238E27FC236}">
              <a16:creationId xmlns="" xmlns:a16="http://schemas.microsoft.com/office/drawing/2014/main" id="{00000000-0008-0000-0C00-00003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0" name="Rectangle 4">
          <a:extLst>
            <a:ext uri="{FF2B5EF4-FFF2-40B4-BE49-F238E27FC236}">
              <a16:creationId xmlns="" xmlns:a16="http://schemas.microsoft.com/office/drawing/2014/main" id="{00000000-0008-0000-0C00-00003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1" name="Rectangle 4">
          <a:extLst>
            <a:ext uri="{FF2B5EF4-FFF2-40B4-BE49-F238E27FC236}">
              <a16:creationId xmlns="" xmlns:a16="http://schemas.microsoft.com/office/drawing/2014/main" id="{00000000-0008-0000-0C00-00003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2" name="Rectangle 4">
          <a:extLst>
            <a:ext uri="{FF2B5EF4-FFF2-40B4-BE49-F238E27FC236}">
              <a16:creationId xmlns="" xmlns:a16="http://schemas.microsoft.com/office/drawing/2014/main" id="{00000000-0008-0000-0C00-00003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3" name="Rectangle 4">
          <a:extLst>
            <a:ext uri="{FF2B5EF4-FFF2-40B4-BE49-F238E27FC236}">
              <a16:creationId xmlns="" xmlns:a16="http://schemas.microsoft.com/office/drawing/2014/main" id="{00000000-0008-0000-0C00-00003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4" name="Rectangle 4">
          <a:extLst>
            <a:ext uri="{FF2B5EF4-FFF2-40B4-BE49-F238E27FC236}">
              <a16:creationId xmlns="" xmlns:a16="http://schemas.microsoft.com/office/drawing/2014/main" id="{00000000-0008-0000-0C00-00003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5" name="Rectangle 4">
          <a:extLst>
            <a:ext uri="{FF2B5EF4-FFF2-40B4-BE49-F238E27FC236}">
              <a16:creationId xmlns="" xmlns:a16="http://schemas.microsoft.com/office/drawing/2014/main" id="{00000000-0008-0000-0C00-00003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6" name="Rectangle 4">
          <a:extLst>
            <a:ext uri="{FF2B5EF4-FFF2-40B4-BE49-F238E27FC236}">
              <a16:creationId xmlns="" xmlns:a16="http://schemas.microsoft.com/office/drawing/2014/main" id="{00000000-0008-0000-0C00-00003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7" name="Rectangle 4">
          <a:extLst>
            <a:ext uri="{FF2B5EF4-FFF2-40B4-BE49-F238E27FC236}">
              <a16:creationId xmlns="" xmlns:a16="http://schemas.microsoft.com/office/drawing/2014/main" id="{00000000-0008-0000-0C00-00003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8" name="Rectangle 4">
          <a:extLst>
            <a:ext uri="{FF2B5EF4-FFF2-40B4-BE49-F238E27FC236}">
              <a16:creationId xmlns="" xmlns:a16="http://schemas.microsoft.com/office/drawing/2014/main" id="{00000000-0008-0000-0C00-00003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59" name="Rectangle 4">
          <a:extLst>
            <a:ext uri="{FF2B5EF4-FFF2-40B4-BE49-F238E27FC236}">
              <a16:creationId xmlns="" xmlns:a16="http://schemas.microsoft.com/office/drawing/2014/main" id="{00000000-0008-0000-0C00-00003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0" name="Rectangle 4">
          <a:extLst>
            <a:ext uri="{FF2B5EF4-FFF2-40B4-BE49-F238E27FC236}">
              <a16:creationId xmlns="" xmlns:a16="http://schemas.microsoft.com/office/drawing/2014/main" id="{00000000-0008-0000-0C00-00003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1" name="Rectangle 4">
          <a:extLst>
            <a:ext uri="{FF2B5EF4-FFF2-40B4-BE49-F238E27FC236}">
              <a16:creationId xmlns="" xmlns:a16="http://schemas.microsoft.com/office/drawing/2014/main" id="{00000000-0008-0000-0C00-00003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2" name="Rectangle 4">
          <a:extLst>
            <a:ext uri="{FF2B5EF4-FFF2-40B4-BE49-F238E27FC236}">
              <a16:creationId xmlns="" xmlns:a16="http://schemas.microsoft.com/office/drawing/2014/main" id="{00000000-0008-0000-0C00-00003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3" name="Rectangle 4">
          <a:extLst>
            <a:ext uri="{FF2B5EF4-FFF2-40B4-BE49-F238E27FC236}">
              <a16:creationId xmlns="" xmlns:a16="http://schemas.microsoft.com/office/drawing/2014/main" id="{00000000-0008-0000-0C00-00003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4" name="Rectangle 4">
          <a:extLst>
            <a:ext uri="{FF2B5EF4-FFF2-40B4-BE49-F238E27FC236}">
              <a16:creationId xmlns="" xmlns:a16="http://schemas.microsoft.com/office/drawing/2014/main" id="{00000000-0008-0000-0C00-00004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5" name="Rectangle 4">
          <a:extLst>
            <a:ext uri="{FF2B5EF4-FFF2-40B4-BE49-F238E27FC236}">
              <a16:creationId xmlns="" xmlns:a16="http://schemas.microsoft.com/office/drawing/2014/main" id="{00000000-0008-0000-0C00-00004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6" name="Rectangle 4">
          <a:extLst>
            <a:ext uri="{FF2B5EF4-FFF2-40B4-BE49-F238E27FC236}">
              <a16:creationId xmlns="" xmlns:a16="http://schemas.microsoft.com/office/drawing/2014/main" id="{00000000-0008-0000-0C00-00004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7" name="Rectangle 4">
          <a:extLst>
            <a:ext uri="{FF2B5EF4-FFF2-40B4-BE49-F238E27FC236}">
              <a16:creationId xmlns="" xmlns:a16="http://schemas.microsoft.com/office/drawing/2014/main" id="{00000000-0008-0000-0C00-00004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8" name="Rectangle 4">
          <a:extLst>
            <a:ext uri="{FF2B5EF4-FFF2-40B4-BE49-F238E27FC236}">
              <a16:creationId xmlns="" xmlns:a16="http://schemas.microsoft.com/office/drawing/2014/main" id="{00000000-0008-0000-0C00-00004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69" name="Rectangle 4">
          <a:extLst>
            <a:ext uri="{FF2B5EF4-FFF2-40B4-BE49-F238E27FC236}">
              <a16:creationId xmlns="" xmlns:a16="http://schemas.microsoft.com/office/drawing/2014/main" id="{00000000-0008-0000-0C00-00004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0" name="Rectangle 4">
          <a:extLst>
            <a:ext uri="{FF2B5EF4-FFF2-40B4-BE49-F238E27FC236}">
              <a16:creationId xmlns="" xmlns:a16="http://schemas.microsoft.com/office/drawing/2014/main" id="{00000000-0008-0000-0C00-00004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1" name="Rectangle 4">
          <a:extLst>
            <a:ext uri="{FF2B5EF4-FFF2-40B4-BE49-F238E27FC236}">
              <a16:creationId xmlns="" xmlns:a16="http://schemas.microsoft.com/office/drawing/2014/main" id="{00000000-0008-0000-0C00-00004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2" name="Rectangle 4">
          <a:extLst>
            <a:ext uri="{FF2B5EF4-FFF2-40B4-BE49-F238E27FC236}">
              <a16:creationId xmlns="" xmlns:a16="http://schemas.microsoft.com/office/drawing/2014/main" id="{00000000-0008-0000-0C00-00004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3" name="Rectangle 4">
          <a:extLst>
            <a:ext uri="{FF2B5EF4-FFF2-40B4-BE49-F238E27FC236}">
              <a16:creationId xmlns="" xmlns:a16="http://schemas.microsoft.com/office/drawing/2014/main" id="{00000000-0008-0000-0C00-00004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4" name="Rectangle 4">
          <a:extLst>
            <a:ext uri="{FF2B5EF4-FFF2-40B4-BE49-F238E27FC236}">
              <a16:creationId xmlns="" xmlns:a16="http://schemas.microsoft.com/office/drawing/2014/main" id="{00000000-0008-0000-0C00-00004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5" name="Rectangle 4">
          <a:extLst>
            <a:ext uri="{FF2B5EF4-FFF2-40B4-BE49-F238E27FC236}">
              <a16:creationId xmlns="" xmlns:a16="http://schemas.microsoft.com/office/drawing/2014/main" id="{00000000-0008-0000-0C00-00004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6" name="Rectangle 4">
          <a:extLst>
            <a:ext uri="{FF2B5EF4-FFF2-40B4-BE49-F238E27FC236}">
              <a16:creationId xmlns="" xmlns:a16="http://schemas.microsoft.com/office/drawing/2014/main" id="{00000000-0008-0000-0C00-00004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7" name="Rectangle 4">
          <a:extLst>
            <a:ext uri="{FF2B5EF4-FFF2-40B4-BE49-F238E27FC236}">
              <a16:creationId xmlns="" xmlns:a16="http://schemas.microsoft.com/office/drawing/2014/main" id="{00000000-0008-0000-0C00-00004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8" name="Rectangle 4">
          <a:extLst>
            <a:ext uri="{FF2B5EF4-FFF2-40B4-BE49-F238E27FC236}">
              <a16:creationId xmlns="" xmlns:a16="http://schemas.microsoft.com/office/drawing/2014/main" id="{00000000-0008-0000-0C00-00004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79" name="Rectangle 4">
          <a:extLst>
            <a:ext uri="{FF2B5EF4-FFF2-40B4-BE49-F238E27FC236}">
              <a16:creationId xmlns="" xmlns:a16="http://schemas.microsoft.com/office/drawing/2014/main" id="{00000000-0008-0000-0C00-00004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0" name="Rectangle 4">
          <a:extLst>
            <a:ext uri="{FF2B5EF4-FFF2-40B4-BE49-F238E27FC236}">
              <a16:creationId xmlns="" xmlns:a16="http://schemas.microsoft.com/office/drawing/2014/main" id="{00000000-0008-0000-0C00-00005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1" name="Rectangle 4">
          <a:extLst>
            <a:ext uri="{FF2B5EF4-FFF2-40B4-BE49-F238E27FC236}">
              <a16:creationId xmlns="" xmlns:a16="http://schemas.microsoft.com/office/drawing/2014/main" id="{00000000-0008-0000-0C00-00005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2" name="Rectangle 4">
          <a:extLst>
            <a:ext uri="{FF2B5EF4-FFF2-40B4-BE49-F238E27FC236}">
              <a16:creationId xmlns="" xmlns:a16="http://schemas.microsoft.com/office/drawing/2014/main" id="{00000000-0008-0000-0C00-00005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3" name="Rectangle 4">
          <a:extLst>
            <a:ext uri="{FF2B5EF4-FFF2-40B4-BE49-F238E27FC236}">
              <a16:creationId xmlns="" xmlns:a16="http://schemas.microsoft.com/office/drawing/2014/main" id="{00000000-0008-0000-0C00-00005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4" name="Rectangle 4">
          <a:extLst>
            <a:ext uri="{FF2B5EF4-FFF2-40B4-BE49-F238E27FC236}">
              <a16:creationId xmlns="" xmlns:a16="http://schemas.microsoft.com/office/drawing/2014/main" id="{00000000-0008-0000-0C00-00005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5" name="Rectangle 4">
          <a:extLst>
            <a:ext uri="{FF2B5EF4-FFF2-40B4-BE49-F238E27FC236}">
              <a16:creationId xmlns="" xmlns:a16="http://schemas.microsoft.com/office/drawing/2014/main" id="{00000000-0008-0000-0C00-00005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6" name="Rectangle 4">
          <a:extLst>
            <a:ext uri="{FF2B5EF4-FFF2-40B4-BE49-F238E27FC236}">
              <a16:creationId xmlns="" xmlns:a16="http://schemas.microsoft.com/office/drawing/2014/main" id="{00000000-0008-0000-0C00-00005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7" name="Rectangle 4">
          <a:extLst>
            <a:ext uri="{FF2B5EF4-FFF2-40B4-BE49-F238E27FC236}">
              <a16:creationId xmlns="" xmlns:a16="http://schemas.microsoft.com/office/drawing/2014/main" id="{00000000-0008-0000-0C00-00005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8" name="Rectangle 4">
          <a:extLst>
            <a:ext uri="{FF2B5EF4-FFF2-40B4-BE49-F238E27FC236}">
              <a16:creationId xmlns="" xmlns:a16="http://schemas.microsoft.com/office/drawing/2014/main" id="{00000000-0008-0000-0C00-00005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89" name="Rectangle 4">
          <a:extLst>
            <a:ext uri="{FF2B5EF4-FFF2-40B4-BE49-F238E27FC236}">
              <a16:creationId xmlns="" xmlns:a16="http://schemas.microsoft.com/office/drawing/2014/main" id="{00000000-0008-0000-0C00-00005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0" name="Rectangle 4">
          <a:extLst>
            <a:ext uri="{FF2B5EF4-FFF2-40B4-BE49-F238E27FC236}">
              <a16:creationId xmlns="" xmlns:a16="http://schemas.microsoft.com/office/drawing/2014/main" id="{00000000-0008-0000-0C00-00005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1" name="Rectangle 4">
          <a:extLst>
            <a:ext uri="{FF2B5EF4-FFF2-40B4-BE49-F238E27FC236}">
              <a16:creationId xmlns="" xmlns:a16="http://schemas.microsoft.com/office/drawing/2014/main" id="{00000000-0008-0000-0C00-00005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2" name="Rectangle 4">
          <a:extLst>
            <a:ext uri="{FF2B5EF4-FFF2-40B4-BE49-F238E27FC236}">
              <a16:creationId xmlns="" xmlns:a16="http://schemas.microsoft.com/office/drawing/2014/main" id="{00000000-0008-0000-0C00-00005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3" name="Rectangle 4">
          <a:extLst>
            <a:ext uri="{FF2B5EF4-FFF2-40B4-BE49-F238E27FC236}">
              <a16:creationId xmlns="" xmlns:a16="http://schemas.microsoft.com/office/drawing/2014/main" id="{00000000-0008-0000-0C00-00005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4" name="Rectangle 4">
          <a:extLst>
            <a:ext uri="{FF2B5EF4-FFF2-40B4-BE49-F238E27FC236}">
              <a16:creationId xmlns="" xmlns:a16="http://schemas.microsoft.com/office/drawing/2014/main" id="{00000000-0008-0000-0C00-00005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5" name="Rectangle 4">
          <a:extLst>
            <a:ext uri="{FF2B5EF4-FFF2-40B4-BE49-F238E27FC236}">
              <a16:creationId xmlns="" xmlns:a16="http://schemas.microsoft.com/office/drawing/2014/main" id="{00000000-0008-0000-0C00-00005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6" name="Rectangle 4">
          <a:extLst>
            <a:ext uri="{FF2B5EF4-FFF2-40B4-BE49-F238E27FC236}">
              <a16:creationId xmlns="" xmlns:a16="http://schemas.microsoft.com/office/drawing/2014/main" id="{00000000-0008-0000-0C00-00006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7" name="Rectangle 4">
          <a:extLst>
            <a:ext uri="{FF2B5EF4-FFF2-40B4-BE49-F238E27FC236}">
              <a16:creationId xmlns="" xmlns:a16="http://schemas.microsoft.com/office/drawing/2014/main" id="{00000000-0008-0000-0C00-00006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8" name="Rectangle 4">
          <a:extLst>
            <a:ext uri="{FF2B5EF4-FFF2-40B4-BE49-F238E27FC236}">
              <a16:creationId xmlns="" xmlns:a16="http://schemas.microsoft.com/office/drawing/2014/main" id="{00000000-0008-0000-0C00-00006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99" name="Rectangle 4">
          <a:extLst>
            <a:ext uri="{FF2B5EF4-FFF2-40B4-BE49-F238E27FC236}">
              <a16:creationId xmlns="" xmlns:a16="http://schemas.microsoft.com/office/drawing/2014/main" id="{00000000-0008-0000-0C00-00006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0" name="Rectangle 4">
          <a:extLst>
            <a:ext uri="{FF2B5EF4-FFF2-40B4-BE49-F238E27FC236}">
              <a16:creationId xmlns="" xmlns:a16="http://schemas.microsoft.com/office/drawing/2014/main" id="{00000000-0008-0000-0C00-00006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1" name="Rectangle 4">
          <a:extLst>
            <a:ext uri="{FF2B5EF4-FFF2-40B4-BE49-F238E27FC236}">
              <a16:creationId xmlns="" xmlns:a16="http://schemas.microsoft.com/office/drawing/2014/main" id="{00000000-0008-0000-0C00-00006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2" name="Rectangle 4">
          <a:extLst>
            <a:ext uri="{FF2B5EF4-FFF2-40B4-BE49-F238E27FC236}">
              <a16:creationId xmlns="" xmlns:a16="http://schemas.microsoft.com/office/drawing/2014/main" id="{00000000-0008-0000-0C00-00006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3" name="Rectangle 4">
          <a:extLst>
            <a:ext uri="{FF2B5EF4-FFF2-40B4-BE49-F238E27FC236}">
              <a16:creationId xmlns="" xmlns:a16="http://schemas.microsoft.com/office/drawing/2014/main" id="{00000000-0008-0000-0C00-00006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4" name="Rectangle 4">
          <a:extLst>
            <a:ext uri="{FF2B5EF4-FFF2-40B4-BE49-F238E27FC236}">
              <a16:creationId xmlns="" xmlns:a16="http://schemas.microsoft.com/office/drawing/2014/main" id="{00000000-0008-0000-0C00-00006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5" name="Rectangle 4">
          <a:extLst>
            <a:ext uri="{FF2B5EF4-FFF2-40B4-BE49-F238E27FC236}">
              <a16:creationId xmlns="" xmlns:a16="http://schemas.microsoft.com/office/drawing/2014/main" id="{00000000-0008-0000-0C00-00006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6" name="Rectangle 4">
          <a:extLst>
            <a:ext uri="{FF2B5EF4-FFF2-40B4-BE49-F238E27FC236}">
              <a16:creationId xmlns="" xmlns:a16="http://schemas.microsoft.com/office/drawing/2014/main" id="{00000000-0008-0000-0C00-00006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7" name="Rectangle 4">
          <a:extLst>
            <a:ext uri="{FF2B5EF4-FFF2-40B4-BE49-F238E27FC236}">
              <a16:creationId xmlns="" xmlns:a16="http://schemas.microsoft.com/office/drawing/2014/main" id="{00000000-0008-0000-0C00-00006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8" name="Rectangle 4">
          <a:extLst>
            <a:ext uri="{FF2B5EF4-FFF2-40B4-BE49-F238E27FC236}">
              <a16:creationId xmlns="" xmlns:a16="http://schemas.microsoft.com/office/drawing/2014/main" id="{00000000-0008-0000-0C00-00006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09" name="Rectangle 4">
          <a:extLst>
            <a:ext uri="{FF2B5EF4-FFF2-40B4-BE49-F238E27FC236}">
              <a16:creationId xmlns="" xmlns:a16="http://schemas.microsoft.com/office/drawing/2014/main" id="{00000000-0008-0000-0C00-00006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0" name="Rectangle 4">
          <a:extLst>
            <a:ext uri="{FF2B5EF4-FFF2-40B4-BE49-F238E27FC236}">
              <a16:creationId xmlns="" xmlns:a16="http://schemas.microsoft.com/office/drawing/2014/main" id="{00000000-0008-0000-0C00-00006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1" name="Rectangle 4">
          <a:extLst>
            <a:ext uri="{FF2B5EF4-FFF2-40B4-BE49-F238E27FC236}">
              <a16:creationId xmlns="" xmlns:a16="http://schemas.microsoft.com/office/drawing/2014/main" id="{00000000-0008-0000-0C00-00006F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2" name="Rectangle 4">
          <a:extLst>
            <a:ext uri="{FF2B5EF4-FFF2-40B4-BE49-F238E27FC236}">
              <a16:creationId xmlns="" xmlns:a16="http://schemas.microsoft.com/office/drawing/2014/main" id="{00000000-0008-0000-0C00-000070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3" name="Rectangle 4">
          <a:extLst>
            <a:ext uri="{FF2B5EF4-FFF2-40B4-BE49-F238E27FC236}">
              <a16:creationId xmlns="" xmlns:a16="http://schemas.microsoft.com/office/drawing/2014/main" id="{00000000-0008-0000-0C00-000071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4" name="Rectangle 4">
          <a:extLst>
            <a:ext uri="{FF2B5EF4-FFF2-40B4-BE49-F238E27FC236}">
              <a16:creationId xmlns="" xmlns:a16="http://schemas.microsoft.com/office/drawing/2014/main" id="{00000000-0008-0000-0C00-000072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5" name="Rectangle 4">
          <a:extLst>
            <a:ext uri="{FF2B5EF4-FFF2-40B4-BE49-F238E27FC236}">
              <a16:creationId xmlns="" xmlns:a16="http://schemas.microsoft.com/office/drawing/2014/main" id="{00000000-0008-0000-0C00-000073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6" name="Rectangle 4">
          <a:extLst>
            <a:ext uri="{FF2B5EF4-FFF2-40B4-BE49-F238E27FC236}">
              <a16:creationId xmlns="" xmlns:a16="http://schemas.microsoft.com/office/drawing/2014/main" id="{00000000-0008-0000-0C00-000074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7" name="Rectangle 4">
          <a:extLst>
            <a:ext uri="{FF2B5EF4-FFF2-40B4-BE49-F238E27FC236}">
              <a16:creationId xmlns="" xmlns:a16="http://schemas.microsoft.com/office/drawing/2014/main" id="{00000000-0008-0000-0C00-000075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8" name="Rectangle 4">
          <a:extLst>
            <a:ext uri="{FF2B5EF4-FFF2-40B4-BE49-F238E27FC236}">
              <a16:creationId xmlns="" xmlns:a16="http://schemas.microsoft.com/office/drawing/2014/main" id="{00000000-0008-0000-0C00-000076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19" name="Rectangle 4">
          <a:extLst>
            <a:ext uri="{FF2B5EF4-FFF2-40B4-BE49-F238E27FC236}">
              <a16:creationId xmlns="" xmlns:a16="http://schemas.microsoft.com/office/drawing/2014/main" id="{00000000-0008-0000-0C00-000077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0" name="Rectangle 4">
          <a:extLst>
            <a:ext uri="{FF2B5EF4-FFF2-40B4-BE49-F238E27FC236}">
              <a16:creationId xmlns="" xmlns:a16="http://schemas.microsoft.com/office/drawing/2014/main" id="{00000000-0008-0000-0C00-000078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1" name="Rectangle 4">
          <a:extLst>
            <a:ext uri="{FF2B5EF4-FFF2-40B4-BE49-F238E27FC236}">
              <a16:creationId xmlns="" xmlns:a16="http://schemas.microsoft.com/office/drawing/2014/main" id="{00000000-0008-0000-0C00-000079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2" name="Rectangle 4">
          <a:extLst>
            <a:ext uri="{FF2B5EF4-FFF2-40B4-BE49-F238E27FC236}">
              <a16:creationId xmlns="" xmlns:a16="http://schemas.microsoft.com/office/drawing/2014/main" id="{00000000-0008-0000-0C00-00007A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3" name="Rectangle 4">
          <a:extLst>
            <a:ext uri="{FF2B5EF4-FFF2-40B4-BE49-F238E27FC236}">
              <a16:creationId xmlns="" xmlns:a16="http://schemas.microsoft.com/office/drawing/2014/main" id="{00000000-0008-0000-0C00-00007B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4" name="Rectangle 4">
          <a:extLst>
            <a:ext uri="{FF2B5EF4-FFF2-40B4-BE49-F238E27FC236}">
              <a16:creationId xmlns="" xmlns:a16="http://schemas.microsoft.com/office/drawing/2014/main" id="{00000000-0008-0000-0C00-00007C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5" name="Rectangle 4">
          <a:extLst>
            <a:ext uri="{FF2B5EF4-FFF2-40B4-BE49-F238E27FC236}">
              <a16:creationId xmlns="" xmlns:a16="http://schemas.microsoft.com/office/drawing/2014/main" id="{00000000-0008-0000-0C00-00007D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2333624</xdr:colOff>
      <xdr:row>3</xdr:row>
      <xdr:rowOff>1049654</xdr:rowOff>
    </xdr:from>
    <xdr:to>
      <xdr:col>2</xdr:col>
      <xdr:colOff>2333624</xdr:colOff>
      <xdr:row>3</xdr:row>
      <xdr:rowOff>1049654</xdr:rowOff>
    </xdr:to>
    <xdr:sp macro="" textlink="">
      <xdr:nvSpPr>
        <xdr:cNvPr id="126" name="Rectangle 4">
          <a:extLst>
            <a:ext uri="{FF2B5EF4-FFF2-40B4-BE49-F238E27FC236}">
              <a16:creationId xmlns="" xmlns:a16="http://schemas.microsoft.com/office/drawing/2014/main" id="{00000000-0008-0000-0C00-00007E000000}"/>
            </a:ext>
          </a:extLst>
        </xdr:cNvPr>
        <xdr:cNvSpPr>
          <a:spLocks noChangeArrowheads="1"/>
        </xdr:cNvSpPr>
      </xdr:nvSpPr>
      <xdr:spPr bwMode="auto">
        <a:xfrm>
          <a:off x="2990849" y="1659254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Отрасль</a:t>
          </a:r>
        </a:p>
      </xdr:txBody>
    </xdr:sp>
    <xdr:clientData/>
  </xdr:twoCellAnchor>
  <xdr:twoCellAnchor>
    <xdr:from>
      <xdr:col>2</xdr:col>
      <xdr:colOff>466725</xdr:colOff>
      <xdr:row>4</xdr:row>
      <xdr:rowOff>295275</xdr:rowOff>
    </xdr:from>
    <xdr:to>
      <xdr:col>2</xdr:col>
      <xdr:colOff>1057275</xdr:colOff>
      <xdr:row>4</xdr:row>
      <xdr:rowOff>485775</xdr:rowOff>
    </xdr:to>
    <xdr:sp macro="" textlink="">
      <xdr:nvSpPr>
        <xdr:cNvPr id="132" name="Rectangle 1">
          <a:extLst>
            <a:ext uri="{FF2B5EF4-FFF2-40B4-BE49-F238E27FC236}">
              <a16:creationId xmlns="" xmlns:a16="http://schemas.microsoft.com/office/drawing/2014/main" id="{00000000-0008-0000-0C00-000084000000}"/>
            </a:ext>
          </a:extLst>
        </xdr:cNvPr>
        <xdr:cNvSpPr>
          <a:spLocks noChangeArrowheads="1"/>
        </xdr:cNvSpPr>
      </xdr:nvSpPr>
      <xdr:spPr bwMode="auto">
        <a:xfrm>
          <a:off x="1123950" y="2257425"/>
          <a:ext cx="5905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2</xdr:col>
      <xdr:colOff>464820</xdr:colOff>
      <xdr:row>4</xdr:row>
      <xdr:rowOff>295275</xdr:rowOff>
    </xdr:from>
    <xdr:to>
      <xdr:col>2</xdr:col>
      <xdr:colOff>1057761</xdr:colOff>
      <xdr:row>4</xdr:row>
      <xdr:rowOff>485775</xdr:rowOff>
    </xdr:to>
    <xdr:sp macro="" textlink="">
      <xdr:nvSpPr>
        <xdr:cNvPr id="136" name="Rectangle 1">
          <a:extLst>
            <a:ext uri="{FF2B5EF4-FFF2-40B4-BE49-F238E27FC236}">
              <a16:creationId xmlns="" xmlns:a16="http://schemas.microsoft.com/office/drawing/2014/main" id="{00000000-0008-0000-0C00-000088000000}"/>
            </a:ext>
          </a:extLst>
        </xdr:cNvPr>
        <xdr:cNvSpPr>
          <a:spLocks noChangeArrowheads="1"/>
        </xdr:cNvSpPr>
      </xdr:nvSpPr>
      <xdr:spPr bwMode="auto">
        <a:xfrm>
          <a:off x="1122045" y="2257425"/>
          <a:ext cx="59294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Calibri" pitchFamily="34" charset="0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1236133</xdr:colOff>
      <xdr:row>3</xdr:row>
      <xdr:rowOff>243417</xdr:rowOff>
    </xdr:from>
    <xdr:to>
      <xdr:col>2</xdr:col>
      <xdr:colOff>1781175</xdr:colOff>
      <xdr:row>3</xdr:row>
      <xdr:rowOff>390525</xdr:rowOff>
    </xdr:to>
    <xdr:sp macro="" textlink="">
      <xdr:nvSpPr>
        <xdr:cNvPr id="142" name="Rectangle 1">
          <a:extLst>
            <a:ext uri="{FF2B5EF4-FFF2-40B4-BE49-F238E27FC236}">
              <a16:creationId xmlns="" xmlns:a16="http://schemas.microsoft.com/office/drawing/2014/main" id="{00000000-0008-0000-0C00-00008E000000}"/>
            </a:ext>
          </a:extLst>
        </xdr:cNvPr>
        <xdr:cNvSpPr>
          <a:spLocks noChangeArrowheads="1"/>
        </xdr:cNvSpPr>
      </xdr:nvSpPr>
      <xdr:spPr bwMode="auto">
        <a:xfrm>
          <a:off x="2055283" y="691092"/>
          <a:ext cx="545042" cy="1471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</a:p>
      </xdr:txBody>
    </xdr:sp>
    <xdr:clientData/>
  </xdr:twoCellAnchor>
  <xdr:twoCellAnchor>
    <xdr:from>
      <xdr:col>2</xdr:col>
      <xdr:colOff>328083</xdr:colOff>
      <xdr:row>3</xdr:row>
      <xdr:rowOff>709084</xdr:rowOff>
    </xdr:from>
    <xdr:to>
      <xdr:col>2</xdr:col>
      <xdr:colOff>895350</xdr:colOff>
      <xdr:row>3</xdr:row>
      <xdr:rowOff>876300</xdr:rowOff>
    </xdr:to>
    <xdr:sp macro="" textlink="">
      <xdr:nvSpPr>
        <xdr:cNvPr id="143" name="Rectangle 1">
          <a:extLst>
            <a:ext uri="{FF2B5EF4-FFF2-40B4-BE49-F238E27FC236}">
              <a16:creationId xmlns="" xmlns:a16="http://schemas.microsoft.com/office/drawing/2014/main" id="{00000000-0008-0000-0C00-00008F000000}"/>
            </a:ext>
          </a:extLst>
        </xdr:cNvPr>
        <xdr:cNvSpPr>
          <a:spLocks noChangeArrowheads="1"/>
        </xdr:cNvSpPr>
      </xdr:nvSpPr>
      <xdr:spPr bwMode="auto">
        <a:xfrm flipV="1">
          <a:off x="1147233" y="1156759"/>
          <a:ext cx="567267" cy="16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800" b="0" i="0" strike="noStrike">
              <a:solidFill>
                <a:srgbClr val="000000"/>
              </a:solidFill>
              <a:latin typeface="Roboto"/>
              <a:ea typeface="+mn-ea"/>
              <a:cs typeface="Arial" pitchFamily="34" charset="0"/>
            </a:rPr>
            <a:t>Продукция</a:t>
          </a:r>
          <a:endParaRPr lang="ru-RU" sz="800" b="0" i="0" strike="noStrike">
            <a:solidFill>
              <a:srgbClr val="000000"/>
            </a:solidFill>
            <a:latin typeface="Calibri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36"/>
  <sheetViews>
    <sheetView zoomScaleNormal="100" workbookViewId="0">
      <selection activeCell="M16" sqref="M16"/>
    </sheetView>
  </sheetViews>
  <sheetFormatPr defaultRowHeight="18"/>
  <cols>
    <col min="1" max="8" width="9.140625" style="6"/>
    <col min="9" max="9" width="12.140625" style="6" customWidth="1"/>
    <col min="10" max="14" width="9.140625" style="6"/>
    <col min="15" max="15" width="9.85546875" style="6" customWidth="1"/>
    <col min="16" max="16" width="10.28515625" style="6" customWidth="1"/>
    <col min="17" max="16384" width="9.140625" style="6"/>
  </cols>
  <sheetData>
    <row r="3" spans="1:16" s="1" customFormat="1" ht="24" customHeight="1">
      <c r="A3" s="113"/>
      <c r="B3" s="113"/>
      <c r="C3" s="113"/>
      <c r="D3" s="113"/>
      <c r="E3" s="113"/>
      <c r="F3" s="113"/>
      <c r="G3" s="113"/>
    </row>
    <row r="4" spans="1:16" s="1" customFormat="1" ht="24" customHeight="1">
      <c r="A4" s="113"/>
      <c r="B4" s="113"/>
      <c r="C4" s="113"/>
      <c r="D4" s="113"/>
      <c r="E4" s="113"/>
      <c r="F4" s="113"/>
      <c r="G4" s="113"/>
    </row>
    <row r="5" spans="1:16" s="1" customFormat="1" ht="24" customHeight="1">
      <c r="A5" s="113"/>
      <c r="B5" s="113"/>
      <c r="C5" s="113" t="s">
        <v>190</v>
      </c>
      <c r="D5" s="113"/>
      <c r="E5" s="113"/>
      <c r="F5" s="113"/>
      <c r="G5" s="113"/>
    </row>
    <row r="9" spans="1:16" s="1" customFormat="1">
      <c r="A9" s="84" t="s">
        <v>219</v>
      </c>
      <c r="D9" s="2"/>
      <c r="E9" s="2"/>
      <c r="F9" s="2"/>
      <c r="G9" s="2"/>
      <c r="H9" s="2"/>
    </row>
    <row r="10" spans="1:16" s="1" customFormat="1">
      <c r="A10" s="84" t="s">
        <v>220</v>
      </c>
      <c r="D10" s="2"/>
      <c r="E10" s="2"/>
      <c r="F10" s="2"/>
      <c r="G10" s="2"/>
      <c r="H10" s="2"/>
    </row>
    <row r="14" spans="1:16" s="1" customFormat="1" ht="60" customHeight="1">
      <c r="A14" s="116" t="s">
        <v>217</v>
      </c>
      <c r="B14" s="116"/>
      <c r="C14" s="116"/>
      <c r="D14" s="116"/>
      <c r="E14" s="116"/>
      <c r="F14" s="116"/>
      <c r="G14" s="116"/>
      <c r="H14" s="116"/>
    </row>
    <row r="16" spans="1:16" s="1" customFormat="1">
      <c r="A16" s="115" t="s">
        <v>218</v>
      </c>
      <c r="B16" s="115"/>
      <c r="C16" s="115"/>
      <c r="D16" s="115"/>
      <c r="E16" s="115"/>
      <c r="F16" s="2"/>
      <c r="G16" s="2"/>
      <c r="H16" s="3"/>
      <c r="I16" s="3"/>
      <c r="J16" s="3"/>
      <c r="K16" s="3"/>
      <c r="L16" s="3"/>
      <c r="M16" s="3"/>
      <c r="N16" s="3"/>
      <c r="O16" s="3"/>
      <c r="P16" s="3"/>
    </row>
    <row r="21" spans="1:16">
      <c r="A21" s="4" t="s">
        <v>2</v>
      </c>
      <c r="B21" s="3"/>
      <c r="C21" s="3"/>
      <c r="D21" s="3"/>
      <c r="E21" s="3"/>
      <c r="F21" s="3"/>
      <c r="G21" s="3"/>
      <c r="H21" s="3"/>
      <c r="I21" s="3"/>
      <c r="J21" s="3"/>
    </row>
    <row r="22" spans="1:16">
      <c r="A22" s="114"/>
      <c r="B22" s="114"/>
      <c r="C22" s="114"/>
      <c r="D22" s="114"/>
      <c r="E22" s="114"/>
      <c r="F22" s="114"/>
      <c r="G22" s="114"/>
      <c r="H22" s="114"/>
      <c r="I22" s="114"/>
      <c r="J22" s="114"/>
      <c r="K22" s="5"/>
      <c r="L22" s="5"/>
      <c r="M22" s="5"/>
      <c r="N22" s="5"/>
      <c r="O22" s="5"/>
      <c r="P22" s="5"/>
    </row>
    <row r="23" spans="1:16">
      <c r="B23" s="4"/>
      <c r="C23" s="4"/>
      <c r="D23" s="4"/>
      <c r="E23" s="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4"/>
      <c r="B24" s="4"/>
      <c r="C24" s="4"/>
      <c r="D24" s="4"/>
      <c r="E24" s="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4"/>
      <c r="B25" s="4"/>
      <c r="C25" s="4"/>
      <c r="D25" s="4"/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K26" s="3"/>
      <c r="L26" s="3"/>
      <c r="M26" s="3"/>
      <c r="N26" s="3"/>
      <c r="O26" s="3"/>
      <c r="P26" s="3"/>
    </row>
    <row r="27" spans="1:16">
      <c r="A27" s="7"/>
      <c r="B27" s="4"/>
      <c r="C27" s="4"/>
      <c r="D27" s="4"/>
      <c r="E27" s="4"/>
      <c r="F27" s="5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>
      <c r="A28" s="5"/>
      <c r="B28" s="5"/>
      <c r="C28" s="5"/>
      <c r="D28" s="5"/>
      <c r="E28" s="5"/>
      <c r="F28" s="5"/>
      <c r="G28" s="5"/>
      <c r="H28" s="5"/>
      <c r="I28" s="8"/>
      <c r="J28" s="9"/>
      <c r="K28" s="5"/>
      <c r="L28" s="10"/>
      <c r="M28" s="5"/>
      <c r="N28" s="5"/>
      <c r="O28" s="5"/>
      <c r="P28" s="5"/>
    </row>
    <row r="29" spans="1:16">
      <c r="A29" s="4"/>
      <c r="B29" s="4"/>
      <c r="C29" s="4"/>
      <c r="D29" s="5"/>
      <c r="E29" s="5"/>
      <c r="F29" s="5"/>
      <c r="G29" s="5"/>
      <c r="H29" s="5"/>
      <c r="I29" s="8"/>
      <c r="J29" s="9"/>
      <c r="K29" s="5"/>
      <c r="L29" s="10"/>
      <c r="M29" s="5"/>
      <c r="N29" s="5"/>
      <c r="O29" s="5"/>
      <c r="P29" s="5"/>
    </row>
    <row r="30" spans="1:16">
      <c r="A30" s="4"/>
      <c r="B30" s="4"/>
      <c r="C30" s="4"/>
      <c r="D30" s="11"/>
      <c r="E30" s="11"/>
      <c r="F30" s="5"/>
    </row>
    <row r="31" spans="1:16">
      <c r="A31" s="4"/>
      <c r="B31" s="4"/>
      <c r="C31" s="4"/>
      <c r="D31" s="11"/>
      <c r="E31" s="11"/>
      <c r="F31" s="5"/>
      <c r="G31" s="5"/>
      <c r="H31" s="5"/>
      <c r="I31" s="8"/>
      <c r="J31" s="9"/>
      <c r="K31" s="5"/>
      <c r="L31" s="10"/>
      <c r="M31" s="5"/>
      <c r="N31" s="5"/>
      <c r="O31" s="5"/>
      <c r="P31" s="5"/>
    </row>
    <row r="32" spans="1:16">
      <c r="A32" s="4"/>
      <c r="B32" s="4"/>
      <c r="C32" s="4"/>
      <c r="D32" s="5"/>
      <c r="E32" s="5"/>
      <c r="F32" s="5"/>
      <c r="G32" s="5"/>
      <c r="H32" s="5"/>
      <c r="I32" s="8"/>
      <c r="J32" s="9"/>
      <c r="K32" s="5"/>
      <c r="L32" s="10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8"/>
      <c r="J33" s="9"/>
      <c r="K33" s="5"/>
      <c r="L33" s="10"/>
      <c r="M33" s="5"/>
      <c r="N33" s="5"/>
      <c r="O33" s="5"/>
      <c r="P33" s="5"/>
    </row>
    <row r="34" spans="1:16">
      <c r="I34" s="12"/>
      <c r="J34" s="13"/>
    </row>
    <row r="35" spans="1:16">
      <c r="I35" s="12"/>
      <c r="J35" s="13"/>
    </row>
    <row r="36" spans="1:16">
      <c r="I36" s="12"/>
      <c r="J36" s="13"/>
    </row>
  </sheetData>
  <mergeCells count="4">
    <mergeCell ref="A3:G5"/>
    <mergeCell ref="A22:J22"/>
    <mergeCell ref="A16:E16"/>
    <mergeCell ref="A14:H14"/>
  </mergeCells>
  <pageMargins left="0.78740157480314965" right="0.39370078740157483" top="0.39370078740157483" bottom="0.39370078740157483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14"/>
  <sheetViews>
    <sheetView workbookViewId="0">
      <selection activeCell="B18" sqref="B18"/>
    </sheetView>
  </sheetViews>
  <sheetFormatPr defaultColWidth="9.140625" defaultRowHeight="12.75"/>
  <cols>
    <col min="1" max="1" width="4.42578125" style="75" customWidth="1"/>
    <col min="2" max="2" width="53.7109375" style="75" customWidth="1"/>
    <col min="3" max="3" width="17.28515625" style="75" customWidth="1"/>
    <col min="4" max="4" width="52" style="75" customWidth="1"/>
    <col min="5" max="16384" width="9.140625" style="75"/>
  </cols>
  <sheetData>
    <row r="4" spans="2:4">
      <c r="B4" s="74" t="s">
        <v>209</v>
      </c>
      <c r="D4" s="74"/>
    </row>
    <row r="5" spans="2:4">
      <c r="B5" s="74" t="s">
        <v>210</v>
      </c>
      <c r="D5" s="74"/>
    </row>
    <row r="6" spans="2:4">
      <c r="B6" s="74" t="s">
        <v>211</v>
      </c>
      <c r="D6" s="74"/>
    </row>
    <row r="7" spans="2:4">
      <c r="B7" s="74" t="s">
        <v>212</v>
      </c>
      <c r="D7" s="74"/>
    </row>
    <row r="8" spans="2:4">
      <c r="B8" s="74" t="s">
        <v>213</v>
      </c>
      <c r="D8" s="74"/>
    </row>
    <row r="9" spans="2:4" ht="38.25">
      <c r="B9" s="76" t="s">
        <v>214</v>
      </c>
      <c r="D9" s="76"/>
    </row>
    <row r="10" spans="2:4">
      <c r="B10" s="74"/>
      <c r="D10" s="77"/>
    </row>
    <row r="11" spans="2:4">
      <c r="B11" s="74"/>
      <c r="D11" s="77"/>
    </row>
    <row r="12" spans="2:4">
      <c r="B12" s="117" t="s">
        <v>221</v>
      </c>
      <c r="C12" s="118"/>
      <c r="D12" s="118"/>
    </row>
    <row r="14" spans="2:4">
      <c r="D14" s="78"/>
    </row>
  </sheetData>
  <mergeCells count="1">
    <mergeCell ref="B12:D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B16" sqref="B16"/>
    </sheetView>
  </sheetViews>
  <sheetFormatPr defaultRowHeight="15"/>
  <cols>
    <col min="1" max="1" width="6.42578125" style="81" customWidth="1"/>
    <col min="2" max="2" width="82.5703125" style="15" customWidth="1"/>
    <col min="3" max="3" width="9" style="15" customWidth="1"/>
    <col min="4" max="256" width="9.140625" style="15"/>
    <col min="257" max="257" width="6.42578125" style="15" customWidth="1"/>
    <col min="258" max="258" width="78.85546875" style="15" customWidth="1"/>
    <col min="259" max="259" width="6" style="15" customWidth="1"/>
    <col min="260" max="512" width="9.140625" style="15"/>
    <col min="513" max="513" width="6.42578125" style="15" customWidth="1"/>
    <col min="514" max="514" width="78.85546875" style="15" customWidth="1"/>
    <col min="515" max="515" width="6" style="15" customWidth="1"/>
    <col min="516" max="768" width="9.140625" style="15"/>
    <col min="769" max="769" width="6.42578125" style="15" customWidth="1"/>
    <col min="770" max="770" width="78.85546875" style="15" customWidth="1"/>
    <col min="771" max="771" width="6" style="15" customWidth="1"/>
    <col min="772" max="1024" width="9.140625" style="15"/>
    <col min="1025" max="1025" width="6.42578125" style="15" customWidth="1"/>
    <col min="1026" max="1026" width="78.85546875" style="15" customWidth="1"/>
    <col min="1027" max="1027" width="6" style="15" customWidth="1"/>
    <col min="1028" max="1280" width="9.140625" style="15"/>
    <col min="1281" max="1281" width="6.42578125" style="15" customWidth="1"/>
    <col min="1282" max="1282" width="78.85546875" style="15" customWidth="1"/>
    <col min="1283" max="1283" width="6" style="15" customWidth="1"/>
    <col min="1284" max="1536" width="9.140625" style="15"/>
    <col min="1537" max="1537" width="6.42578125" style="15" customWidth="1"/>
    <col min="1538" max="1538" width="78.85546875" style="15" customWidth="1"/>
    <col min="1539" max="1539" width="6" style="15" customWidth="1"/>
    <col min="1540" max="1792" width="9.140625" style="15"/>
    <col min="1793" max="1793" width="6.42578125" style="15" customWidth="1"/>
    <col min="1794" max="1794" width="78.85546875" style="15" customWidth="1"/>
    <col min="1795" max="1795" width="6" style="15" customWidth="1"/>
    <col min="1796" max="2048" width="9.140625" style="15"/>
    <col min="2049" max="2049" width="6.42578125" style="15" customWidth="1"/>
    <col min="2050" max="2050" width="78.85546875" style="15" customWidth="1"/>
    <col min="2051" max="2051" width="6" style="15" customWidth="1"/>
    <col min="2052" max="2304" width="9.140625" style="15"/>
    <col min="2305" max="2305" width="6.42578125" style="15" customWidth="1"/>
    <col min="2306" max="2306" width="78.85546875" style="15" customWidth="1"/>
    <col min="2307" max="2307" width="6" style="15" customWidth="1"/>
    <col min="2308" max="2560" width="9.140625" style="15"/>
    <col min="2561" max="2561" width="6.42578125" style="15" customWidth="1"/>
    <col min="2562" max="2562" width="78.85546875" style="15" customWidth="1"/>
    <col min="2563" max="2563" width="6" style="15" customWidth="1"/>
    <col min="2564" max="2816" width="9.140625" style="15"/>
    <col min="2817" max="2817" width="6.42578125" style="15" customWidth="1"/>
    <col min="2818" max="2818" width="78.85546875" style="15" customWidth="1"/>
    <col min="2819" max="2819" width="6" style="15" customWidth="1"/>
    <col min="2820" max="3072" width="9.140625" style="15"/>
    <col min="3073" max="3073" width="6.42578125" style="15" customWidth="1"/>
    <col min="3074" max="3074" width="78.85546875" style="15" customWidth="1"/>
    <col min="3075" max="3075" width="6" style="15" customWidth="1"/>
    <col min="3076" max="3328" width="9.140625" style="15"/>
    <col min="3329" max="3329" width="6.42578125" style="15" customWidth="1"/>
    <col min="3330" max="3330" width="78.85546875" style="15" customWidth="1"/>
    <col min="3331" max="3331" width="6" style="15" customWidth="1"/>
    <col min="3332" max="3584" width="9.140625" style="15"/>
    <col min="3585" max="3585" width="6.42578125" style="15" customWidth="1"/>
    <col min="3586" max="3586" width="78.85546875" style="15" customWidth="1"/>
    <col min="3587" max="3587" width="6" style="15" customWidth="1"/>
    <col min="3588" max="3840" width="9.140625" style="15"/>
    <col min="3841" max="3841" width="6.42578125" style="15" customWidth="1"/>
    <col min="3842" max="3842" width="78.85546875" style="15" customWidth="1"/>
    <col min="3843" max="3843" width="6" style="15" customWidth="1"/>
    <col min="3844" max="4096" width="9.140625" style="15"/>
    <col min="4097" max="4097" width="6.42578125" style="15" customWidth="1"/>
    <col min="4098" max="4098" width="78.85546875" style="15" customWidth="1"/>
    <col min="4099" max="4099" width="6" style="15" customWidth="1"/>
    <col min="4100" max="4352" width="9.140625" style="15"/>
    <col min="4353" max="4353" width="6.42578125" style="15" customWidth="1"/>
    <col min="4354" max="4354" width="78.85546875" style="15" customWidth="1"/>
    <col min="4355" max="4355" width="6" style="15" customWidth="1"/>
    <col min="4356" max="4608" width="9.140625" style="15"/>
    <col min="4609" max="4609" width="6.42578125" style="15" customWidth="1"/>
    <col min="4610" max="4610" width="78.85546875" style="15" customWidth="1"/>
    <col min="4611" max="4611" width="6" style="15" customWidth="1"/>
    <col min="4612" max="4864" width="9.140625" style="15"/>
    <col min="4865" max="4865" width="6.42578125" style="15" customWidth="1"/>
    <col min="4866" max="4866" width="78.85546875" style="15" customWidth="1"/>
    <col min="4867" max="4867" width="6" style="15" customWidth="1"/>
    <col min="4868" max="5120" width="9.140625" style="15"/>
    <col min="5121" max="5121" width="6.42578125" style="15" customWidth="1"/>
    <col min="5122" max="5122" width="78.85546875" style="15" customWidth="1"/>
    <col min="5123" max="5123" width="6" style="15" customWidth="1"/>
    <col min="5124" max="5376" width="9.140625" style="15"/>
    <col min="5377" max="5377" width="6.42578125" style="15" customWidth="1"/>
    <col min="5378" max="5378" width="78.85546875" style="15" customWidth="1"/>
    <col min="5379" max="5379" width="6" style="15" customWidth="1"/>
    <col min="5380" max="5632" width="9.140625" style="15"/>
    <col min="5633" max="5633" width="6.42578125" style="15" customWidth="1"/>
    <col min="5634" max="5634" width="78.85546875" style="15" customWidth="1"/>
    <col min="5635" max="5635" width="6" style="15" customWidth="1"/>
    <col min="5636" max="5888" width="9.140625" style="15"/>
    <col min="5889" max="5889" width="6.42578125" style="15" customWidth="1"/>
    <col min="5890" max="5890" width="78.85546875" style="15" customWidth="1"/>
    <col min="5891" max="5891" width="6" style="15" customWidth="1"/>
    <col min="5892" max="6144" width="9.140625" style="15"/>
    <col min="6145" max="6145" width="6.42578125" style="15" customWidth="1"/>
    <col min="6146" max="6146" width="78.85546875" style="15" customWidth="1"/>
    <col min="6147" max="6147" width="6" style="15" customWidth="1"/>
    <col min="6148" max="6400" width="9.140625" style="15"/>
    <col min="6401" max="6401" width="6.42578125" style="15" customWidth="1"/>
    <col min="6402" max="6402" width="78.85546875" style="15" customWidth="1"/>
    <col min="6403" max="6403" width="6" style="15" customWidth="1"/>
    <col min="6404" max="6656" width="9.140625" style="15"/>
    <col min="6657" max="6657" width="6.42578125" style="15" customWidth="1"/>
    <col min="6658" max="6658" width="78.85546875" style="15" customWidth="1"/>
    <col min="6659" max="6659" width="6" style="15" customWidth="1"/>
    <col min="6660" max="6912" width="9.140625" style="15"/>
    <col min="6913" max="6913" width="6.42578125" style="15" customWidth="1"/>
    <col min="6914" max="6914" width="78.85546875" style="15" customWidth="1"/>
    <col min="6915" max="6915" width="6" style="15" customWidth="1"/>
    <col min="6916" max="7168" width="9.140625" style="15"/>
    <col min="7169" max="7169" width="6.42578125" style="15" customWidth="1"/>
    <col min="7170" max="7170" width="78.85546875" style="15" customWidth="1"/>
    <col min="7171" max="7171" width="6" style="15" customWidth="1"/>
    <col min="7172" max="7424" width="9.140625" style="15"/>
    <col min="7425" max="7425" width="6.42578125" style="15" customWidth="1"/>
    <col min="7426" max="7426" width="78.85546875" style="15" customWidth="1"/>
    <col min="7427" max="7427" width="6" style="15" customWidth="1"/>
    <col min="7428" max="7680" width="9.140625" style="15"/>
    <col min="7681" max="7681" width="6.42578125" style="15" customWidth="1"/>
    <col min="7682" max="7682" width="78.85546875" style="15" customWidth="1"/>
    <col min="7683" max="7683" width="6" style="15" customWidth="1"/>
    <col min="7684" max="7936" width="9.140625" style="15"/>
    <col min="7937" max="7937" width="6.42578125" style="15" customWidth="1"/>
    <col min="7938" max="7938" width="78.85546875" style="15" customWidth="1"/>
    <col min="7939" max="7939" width="6" style="15" customWidth="1"/>
    <col min="7940" max="8192" width="9.140625" style="15"/>
    <col min="8193" max="8193" width="6.42578125" style="15" customWidth="1"/>
    <col min="8194" max="8194" width="78.85546875" style="15" customWidth="1"/>
    <col min="8195" max="8195" width="6" style="15" customWidth="1"/>
    <col min="8196" max="8448" width="9.140625" style="15"/>
    <col min="8449" max="8449" width="6.42578125" style="15" customWidth="1"/>
    <col min="8450" max="8450" width="78.85546875" style="15" customWidth="1"/>
    <col min="8451" max="8451" width="6" style="15" customWidth="1"/>
    <col min="8452" max="8704" width="9.140625" style="15"/>
    <col min="8705" max="8705" width="6.42578125" style="15" customWidth="1"/>
    <col min="8706" max="8706" width="78.85546875" style="15" customWidth="1"/>
    <col min="8707" max="8707" width="6" style="15" customWidth="1"/>
    <col min="8708" max="8960" width="9.140625" style="15"/>
    <col min="8961" max="8961" width="6.42578125" style="15" customWidth="1"/>
    <col min="8962" max="8962" width="78.85546875" style="15" customWidth="1"/>
    <col min="8963" max="8963" width="6" style="15" customWidth="1"/>
    <col min="8964" max="9216" width="9.140625" style="15"/>
    <col min="9217" max="9217" width="6.42578125" style="15" customWidth="1"/>
    <col min="9218" max="9218" width="78.85546875" style="15" customWidth="1"/>
    <col min="9219" max="9219" width="6" style="15" customWidth="1"/>
    <col min="9220" max="9472" width="9.140625" style="15"/>
    <col min="9473" max="9473" width="6.42578125" style="15" customWidth="1"/>
    <col min="9474" max="9474" width="78.85546875" style="15" customWidth="1"/>
    <col min="9475" max="9475" width="6" style="15" customWidth="1"/>
    <col min="9476" max="9728" width="9.140625" style="15"/>
    <col min="9729" max="9729" width="6.42578125" style="15" customWidth="1"/>
    <col min="9730" max="9730" width="78.85546875" style="15" customWidth="1"/>
    <col min="9731" max="9731" width="6" style="15" customWidth="1"/>
    <col min="9732" max="9984" width="9.140625" style="15"/>
    <col min="9985" max="9985" width="6.42578125" style="15" customWidth="1"/>
    <col min="9986" max="9986" width="78.85546875" style="15" customWidth="1"/>
    <col min="9987" max="9987" width="6" style="15" customWidth="1"/>
    <col min="9988" max="10240" width="9.140625" style="15"/>
    <col min="10241" max="10241" width="6.42578125" style="15" customWidth="1"/>
    <col min="10242" max="10242" width="78.85546875" style="15" customWidth="1"/>
    <col min="10243" max="10243" width="6" style="15" customWidth="1"/>
    <col min="10244" max="10496" width="9.140625" style="15"/>
    <col min="10497" max="10497" width="6.42578125" style="15" customWidth="1"/>
    <col min="10498" max="10498" width="78.85546875" style="15" customWidth="1"/>
    <col min="10499" max="10499" width="6" style="15" customWidth="1"/>
    <col min="10500" max="10752" width="9.140625" style="15"/>
    <col min="10753" max="10753" width="6.42578125" style="15" customWidth="1"/>
    <col min="10754" max="10754" width="78.85546875" style="15" customWidth="1"/>
    <col min="10755" max="10755" width="6" style="15" customWidth="1"/>
    <col min="10756" max="11008" width="9.140625" style="15"/>
    <col min="11009" max="11009" width="6.42578125" style="15" customWidth="1"/>
    <col min="11010" max="11010" width="78.85546875" style="15" customWidth="1"/>
    <col min="11011" max="11011" width="6" style="15" customWidth="1"/>
    <col min="11012" max="11264" width="9.140625" style="15"/>
    <col min="11265" max="11265" width="6.42578125" style="15" customWidth="1"/>
    <col min="11266" max="11266" width="78.85546875" style="15" customWidth="1"/>
    <col min="11267" max="11267" width="6" style="15" customWidth="1"/>
    <col min="11268" max="11520" width="9.140625" style="15"/>
    <col min="11521" max="11521" width="6.42578125" style="15" customWidth="1"/>
    <col min="11522" max="11522" width="78.85546875" style="15" customWidth="1"/>
    <col min="11523" max="11523" width="6" style="15" customWidth="1"/>
    <col min="11524" max="11776" width="9.140625" style="15"/>
    <col min="11777" max="11777" width="6.42578125" style="15" customWidth="1"/>
    <col min="11778" max="11778" width="78.85546875" style="15" customWidth="1"/>
    <col min="11779" max="11779" width="6" style="15" customWidth="1"/>
    <col min="11780" max="12032" width="9.140625" style="15"/>
    <col min="12033" max="12033" width="6.42578125" style="15" customWidth="1"/>
    <col min="12034" max="12034" width="78.85546875" style="15" customWidth="1"/>
    <col min="12035" max="12035" width="6" style="15" customWidth="1"/>
    <col min="12036" max="12288" width="9.140625" style="15"/>
    <col min="12289" max="12289" width="6.42578125" style="15" customWidth="1"/>
    <col min="12290" max="12290" width="78.85546875" style="15" customWidth="1"/>
    <col min="12291" max="12291" width="6" style="15" customWidth="1"/>
    <col min="12292" max="12544" width="9.140625" style="15"/>
    <col min="12545" max="12545" width="6.42578125" style="15" customWidth="1"/>
    <col min="12546" max="12546" width="78.85546875" style="15" customWidth="1"/>
    <col min="12547" max="12547" width="6" style="15" customWidth="1"/>
    <col min="12548" max="12800" width="9.140625" style="15"/>
    <col min="12801" max="12801" width="6.42578125" style="15" customWidth="1"/>
    <col min="12802" max="12802" width="78.85546875" style="15" customWidth="1"/>
    <col min="12803" max="12803" width="6" style="15" customWidth="1"/>
    <col min="12804" max="13056" width="9.140625" style="15"/>
    <col min="13057" max="13057" width="6.42578125" style="15" customWidth="1"/>
    <col min="13058" max="13058" width="78.85546875" style="15" customWidth="1"/>
    <col min="13059" max="13059" width="6" style="15" customWidth="1"/>
    <col min="13060" max="13312" width="9.140625" style="15"/>
    <col min="13313" max="13313" width="6.42578125" style="15" customWidth="1"/>
    <col min="13314" max="13314" width="78.85546875" style="15" customWidth="1"/>
    <col min="13315" max="13315" width="6" style="15" customWidth="1"/>
    <col min="13316" max="13568" width="9.140625" style="15"/>
    <col min="13569" max="13569" width="6.42578125" style="15" customWidth="1"/>
    <col min="13570" max="13570" width="78.85546875" style="15" customWidth="1"/>
    <col min="13571" max="13571" width="6" style="15" customWidth="1"/>
    <col min="13572" max="13824" width="9.140625" style="15"/>
    <col min="13825" max="13825" width="6.42578125" style="15" customWidth="1"/>
    <col min="13826" max="13826" width="78.85546875" style="15" customWidth="1"/>
    <col min="13827" max="13827" width="6" style="15" customWidth="1"/>
    <col min="13828" max="14080" width="9.140625" style="15"/>
    <col min="14081" max="14081" width="6.42578125" style="15" customWidth="1"/>
    <col min="14082" max="14082" width="78.85546875" style="15" customWidth="1"/>
    <col min="14083" max="14083" width="6" style="15" customWidth="1"/>
    <col min="14084" max="14336" width="9.140625" style="15"/>
    <col min="14337" max="14337" width="6.42578125" style="15" customWidth="1"/>
    <col min="14338" max="14338" width="78.85546875" style="15" customWidth="1"/>
    <col min="14339" max="14339" width="6" style="15" customWidth="1"/>
    <col min="14340" max="14592" width="9.140625" style="15"/>
    <col min="14593" max="14593" width="6.42578125" style="15" customWidth="1"/>
    <col min="14594" max="14594" width="78.85546875" style="15" customWidth="1"/>
    <col min="14595" max="14595" width="6" style="15" customWidth="1"/>
    <col min="14596" max="14848" width="9.140625" style="15"/>
    <col min="14849" max="14849" width="6.42578125" style="15" customWidth="1"/>
    <col min="14850" max="14850" width="78.85546875" style="15" customWidth="1"/>
    <col min="14851" max="14851" width="6" style="15" customWidth="1"/>
    <col min="14852" max="15104" width="9.140625" style="15"/>
    <col min="15105" max="15105" width="6.42578125" style="15" customWidth="1"/>
    <col min="15106" max="15106" width="78.85546875" style="15" customWidth="1"/>
    <col min="15107" max="15107" width="6" style="15" customWidth="1"/>
    <col min="15108" max="15360" width="9.140625" style="15"/>
    <col min="15361" max="15361" width="6.42578125" style="15" customWidth="1"/>
    <col min="15362" max="15362" width="78.85546875" style="15" customWidth="1"/>
    <col min="15363" max="15363" width="6" style="15" customWidth="1"/>
    <col min="15364" max="15616" width="9.140625" style="15"/>
    <col min="15617" max="15617" width="6.42578125" style="15" customWidth="1"/>
    <col min="15618" max="15618" width="78.85546875" style="15" customWidth="1"/>
    <col min="15619" max="15619" width="6" style="15" customWidth="1"/>
    <col min="15620" max="15872" width="9.140625" style="15"/>
    <col min="15873" max="15873" width="6.42578125" style="15" customWidth="1"/>
    <col min="15874" max="15874" width="78.85546875" style="15" customWidth="1"/>
    <col min="15875" max="15875" width="6" style="15" customWidth="1"/>
    <col min="15876" max="16128" width="9.140625" style="15"/>
    <col min="16129" max="16129" width="6.42578125" style="15" customWidth="1"/>
    <col min="16130" max="16130" width="78.85546875" style="15" customWidth="1"/>
    <col min="16131" max="16131" width="6" style="15" customWidth="1"/>
    <col min="16132" max="16384" width="9.140625" style="15"/>
  </cols>
  <sheetData>
    <row r="1" spans="1:3" ht="15.75">
      <c r="B1" s="14"/>
    </row>
    <row r="2" spans="1:3" ht="15.75">
      <c r="B2" s="14" t="s">
        <v>0</v>
      </c>
    </row>
    <row r="3" spans="1:3" ht="15.75">
      <c r="B3" s="14"/>
    </row>
    <row r="4" spans="1:3" ht="15.75">
      <c r="A4" s="119" t="s">
        <v>1</v>
      </c>
      <c r="B4" s="119"/>
      <c r="C4" s="16"/>
    </row>
    <row r="5" spans="1:3">
      <c r="A5" s="82">
        <v>1</v>
      </c>
      <c r="B5" s="79" t="s">
        <v>3</v>
      </c>
      <c r="C5" s="16"/>
    </row>
    <row r="6" spans="1:3">
      <c r="A6" s="82">
        <v>2</v>
      </c>
      <c r="B6" s="79" t="s">
        <v>4</v>
      </c>
      <c r="C6" s="16"/>
    </row>
    <row r="7" spans="1:3">
      <c r="A7" s="82">
        <v>3</v>
      </c>
      <c r="B7" s="79" t="s">
        <v>108</v>
      </c>
      <c r="C7" s="16"/>
    </row>
    <row r="8" spans="1:3">
      <c r="A8" s="82">
        <v>4</v>
      </c>
      <c r="B8" s="79" t="s">
        <v>5</v>
      </c>
      <c r="C8" s="16"/>
    </row>
    <row r="9" spans="1:3">
      <c r="A9" s="82">
        <v>5</v>
      </c>
      <c r="B9" s="79" t="s">
        <v>106</v>
      </c>
      <c r="C9" s="16"/>
    </row>
    <row r="10" spans="1:3">
      <c r="A10" s="82">
        <v>6</v>
      </c>
      <c r="B10" s="79" t="s">
        <v>6</v>
      </c>
    </row>
    <row r="11" spans="1:3">
      <c r="A11" s="82">
        <v>7</v>
      </c>
      <c r="B11" s="79" t="s">
        <v>150</v>
      </c>
    </row>
    <row r="12" spans="1:3">
      <c r="A12" s="82">
        <v>8</v>
      </c>
      <c r="B12" s="79" t="s">
        <v>151</v>
      </c>
    </row>
    <row r="13" spans="1:3">
      <c r="A13" s="82">
        <v>9</v>
      </c>
      <c r="B13" s="79" t="s">
        <v>200</v>
      </c>
    </row>
    <row r="14" spans="1:3">
      <c r="A14" s="82">
        <v>10</v>
      </c>
      <c r="B14" s="79" t="s">
        <v>201</v>
      </c>
    </row>
  </sheetData>
  <mergeCells count="1">
    <mergeCell ref="A4:B4"/>
  </mergeCells>
  <hyperlinks>
    <hyperlink ref="A5:B5" location="'1.'!A1" display="'1.'!A1"/>
    <hyperlink ref="A6:B6" location="'2.'!A1" display="'2.'!A1"/>
    <hyperlink ref="A7:B7" location="'3.'!A1" display="'3.'!A1"/>
    <hyperlink ref="A8:B8" location="'4.'!A1" display="'4.'!A1"/>
    <hyperlink ref="A9:B9" location="'5.'!A1" display="'5.'!A1"/>
    <hyperlink ref="B9" location="'5.'!Заголовки_для_печати" display=" Использование товаров и услуг в основных ценах"/>
    <hyperlink ref="B10" location="'6.'!Заголовки_для_печати" display="Использование товаров и услуг в основных ценах"/>
    <hyperlink ref="B11" location="'7.'!Заголовки_для_печати" display=" Использование импортной продукции (товаров и услуг)"/>
    <hyperlink ref="B12" location="'8.'!Заголовки_для_печати" display=" Использование отечественной продукции (товаров и услуг) "/>
    <hyperlink ref="A10" location="'6.'!Заголовки_для_печати" display="'6.'!Заголовки_для_печати"/>
    <hyperlink ref="A11" location="'7.'!Заголовки_для_печати" display="'7.'!Заголовки_для_печати"/>
    <hyperlink ref="A12" location="'8.'!Заголовки_для_печати" display="'8.'!Заголовки_для_печати"/>
    <hyperlink ref="A13" location="'9.'!Заголовки_для_печати" display="'9.'!Заголовки_для_печати"/>
    <hyperlink ref="A14" location="'10.'!Область_печати" display="'10.'!Область_печати"/>
    <hyperlink ref="B14" location="'10.'!Область_печати" display="   Коэффициенты полных затрат"/>
    <hyperlink ref="B13" location="'9.'!Заголовки_для_печати" display="   Коэффициенты прямых затрат"/>
  </hyperlinks>
  <pageMargins left="0.78740157480314965" right="0.39370078740157483" top="0.39370078740157483" bottom="0.39370078740157483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73"/>
  <sheetViews>
    <sheetView workbookViewId="0">
      <selection sqref="A1:XFD1"/>
    </sheetView>
  </sheetViews>
  <sheetFormatPr defaultRowHeight="12.75"/>
  <cols>
    <col min="1" max="1" width="3.7109375" style="17" customWidth="1"/>
    <col min="2" max="2" width="76.28515625" style="17" customWidth="1"/>
    <col min="3" max="3" width="4.85546875" style="17" customWidth="1"/>
    <col min="4" max="4" width="9.140625" style="17" customWidth="1"/>
    <col min="5" max="256" width="9.140625" style="17"/>
    <col min="257" max="257" width="3.7109375" style="17" customWidth="1"/>
    <col min="258" max="258" width="41.28515625" style="17" customWidth="1"/>
    <col min="259" max="259" width="4.85546875" style="17" customWidth="1"/>
    <col min="260" max="260" width="41.28515625" style="17" customWidth="1"/>
    <col min="261" max="512" width="9.140625" style="17"/>
    <col min="513" max="513" width="3.7109375" style="17" customWidth="1"/>
    <col min="514" max="514" width="41.28515625" style="17" customWidth="1"/>
    <col min="515" max="515" width="4.85546875" style="17" customWidth="1"/>
    <col min="516" max="516" width="41.28515625" style="17" customWidth="1"/>
    <col min="517" max="768" width="9.140625" style="17"/>
    <col min="769" max="769" width="3.7109375" style="17" customWidth="1"/>
    <col min="770" max="770" width="41.28515625" style="17" customWidth="1"/>
    <col min="771" max="771" width="4.85546875" style="17" customWidth="1"/>
    <col min="772" max="772" width="41.28515625" style="17" customWidth="1"/>
    <col min="773" max="1024" width="9.140625" style="17"/>
    <col min="1025" max="1025" width="3.7109375" style="17" customWidth="1"/>
    <col min="1026" max="1026" width="41.28515625" style="17" customWidth="1"/>
    <col min="1027" max="1027" width="4.85546875" style="17" customWidth="1"/>
    <col min="1028" max="1028" width="41.28515625" style="17" customWidth="1"/>
    <col min="1029" max="1280" width="9.140625" style="17"/>
    <col min="1281" max="1281" width="3.7109375" style="17" customWidth="1"/>
    <col min="1282" max="1282" width="41.28515625" style="17" customWidth="1"/>
    <col min="1283" max="1283" width="4.85546875" style="17" customWidth="1"/>
    <col min="1284" max="1284" width="41.28515625" style="17" customWidth="1"/>
    <col min="1285" max="1536" width="9.140625" style="17"/>
    <col min="1537" max="1537" width="3.7109375" style="17" customWidth="1"/>
    <col min="1538" max="1538" width="41.28515625" style="17" customWidth="1"/>
    <col min="1539" max="1539" width="4.85546875" style="17" customWidth="1"/>
    <col min="1540" max="1540" width="41.28515625" style="17" customWidth="1"/>
    <col min="1541" max="1792" width="9.140625" style="17"/>
    <col min="1793" max="1793" width="3.7109375" style="17" customWidth="1"/>
    <col min="1794" max="1794" width="41.28515625" style="17" customWidth="1"/>
    <col min="1795" max="1795" width="4.85546875" style="17" customWidth="1"/>
    <col min="1796" max="1796" width="41.28515625" style="17" customWidth="1"/>
    <col min="1797" max="2048" width="9.140625" style="17"/>
    <col min="2049" max="2049" width="3.7109375" style="17" customWidth="1"/>
    <col min="2050" max="2050" width="41.28515625" style="17" customWidth="1"/>
    <col min="2051" max="2051" width="4.85546875" style="17" customWidth="1"/>
    <col min="2052" max="2052" width="41.28515625" style="17" customWidth="1"/>
    <col min="2053" max="2304" width="9.140625" style="17"/>
    <col min="2305" max="2305" width="3.7109375" style="17" customWidth="1"/>
    <col min="2306" max="2306" width="41.28515625" style="17" customWidth="1"/>
    <col min="2307" max="2307" width="4.85546875" style="17" customWidth="1"/>
    <col min="2308" max="2308" width="41.28515625" style="17" customWidth="1"/>
    <col min="2309" max="2560" width="9.140625" style="17"/>
    <col min="2561" max="2561" width="3.7109375" style="17" customWidth="1"/>
    <col min="2562" max="2562" width="41.28515625" style="17" customWidth="1"/>
    <col min="2563" max="2563" width="4.85546875" style="17" customWidth="1"/>
    <col min="2564" max="2564" width="41.28515625" style="17" customWidth="1"/>
    <col min="2565" max="2816" width="9.140625" style="17"/>
    <col min="2817" max="2817" width="3.7109375" style="17" customWidth="1"/>
    <col min="2818" max="2818" width="41.28515625" style="17" customWidth="1"/>
    <col min="2819" max="2819" width="4.85546875" style="17" customWidth="1"/>
    <col min="2820" max="2820" width="41.28515625" style="17" customWidth="1"/>
    <col min="2821" max="3072" width="9.140625" style="17"/>
    <col min="3073" max="3073" width="3.7109375" style="17" customWidth="1"/>
    <col min="3074" max="3074" width="41.28515625" style="17" customWidth="1"/>
    <col min="3075" max="3075" width="4.85546875" style="17" customWidth="1"/>
    <col min="3076" max="3076" width="41.28515625" style="17" customWidth="1"/>
    <col min="3077" max="3328" width="9.140625" style="17"/>
    <col min="3329" max="3329" width="3.7109375" style="17" customWidth="1"/>
    <col min="3330" max="3330" width="41.28515625" style="17" customWidth="1"/>
    <col min="3331" max="3331" width="4.85546875" style="17" customWidth="1"/>
    <col min="3332" max="3332" width="41.28515625" style="17" customWidth="1"/>
    <col min="3333" max="3584" width="9.140625" style="17"/>
    <col min="3585" max="3585" width="3.7109375" style="17" customWidth="1"/>
    <col min="3586" max="3586" width="41.28515625" style="17" customWidth="1"/>
    <col min="3587" max="3587" width="4.85546875" style="17" customWidth="1"/>
    <col min="3588" max="3588" width="41.28515625" style="17" customWidth="1"/>
    <col min="3589" max="3840" width="9.140625" style="17"/>
    <col min="3841" max="3841" width="3.7109375" style="17" customWidth="1"/>
    <col min="3842" max="3842" width="41.28515625" style="17" customWidth="1"/>
    <col min="3843" max="3843" width="4.85546875" style="17" customWidth="1"/>
    <col min="3844" max="3844" width="41.28515625" style="17" customWidth="1"/>
    <col min="3845" max="4096" width="9.140625" style="17"/>
    <col min="4097" max="4097" width="3.7109375" style="17" customWidth="1"/>
    <col min="4098" max="4098" width="41.28515625" style="17" customWidth="1"/>
    <col min="4099" max="4099" width="4.85546875" style="17" customWidth="1"/>
    <col min="4100" max="4100" width="41.28515625" style="17" customWidth="1"/>
    <col min="4101" max="4352" width="9.140625" style="17"/>
    <col min="4353" max="4353" width="3.7109375" style="17" customWidth="1"/>
    <col min="4354" max="4354" width="41.28515625" style="17" customWidth="1"/>
    <col min="4355" max="4355" width="4.85546875" style="17" customWidth="1"/>
    <col min="4356" max="4356" width="41.28515625" style="17" customWidth="1"/>
    <col min="4357" max="4608" width="9.140625" style="17"/>
    <col min="4609" max="4609" width="3.7109375" style="17" customWidth="1"/>
    <col min="4610" max="4610" width="41.28515625" style="17" customWidth="1"/>
    <col min="4611" max="4611" width="4.85546875" style="17" customWidth="1"/>
    <col min="4612" max="4612" width="41.28515625" style="17" customWidth="1"/>
    <col min="4613" max="4864" width="9.140625" style="17"/>
    <col min="4865" max="4865" width="3.7109375" style="17" customWidth="1"/>
    <col min="4866" max="4866" width="41.28515625" style="17" customWidth="1"/>
    <col min="4867" max="4867" width="4.85546875" style="17" customWidth="1"/>
    <col min="4868" max="4868" width="41.28515625" style="17" customWidth="1"/>
    <col min="4869" max="5120" width="9.140625" style="17"/>
    <col min="5121" max="5121" width="3.7109375" style="17" customWidth="1"/>
    <col min="5122" max="5122" width="41.28515625" style="17" customWidth="1"/>
    <col min="5123" max="5123" width="4.85546875" style="17" customWidth="1"/>
    <col min="5124" max="5124" width="41.28515625" style="17" customWidth="1"/>
    <col min="5125" max="5376" width="9.140625" style="17"/>
    <col min="5377" max="5377" width="3.7109375" style="17" customWidth="1"/>
    <col min="5378" max="5378" width="41.28515625" style="17" customWidth="1"/>
    <col min="5379" max="5379" width="4.85546875" style="17" customWidth="1"/>
    <col min="5380" max="5380" width="41.28515625" style="17" customWidth="1"/>
    <col min="5381" max="5632" width="9.140625" style="17"/>
    <col min="5633" max="5633" width="3.7109375" style="17" customWidth="1"/>
    <col min="5634" max="5634" width="41.28515625" style="17" customWidth="1"/>
    <col min="5635" max="5635" width="4.85546875" style="17" customWidth="1"/>
    <col min="5636" max="5636" width="41.28515625" style="17" customWidth="1"/>
    <col min="5637" max="5888" width="9.140625" style="17"/>
    <col min="5889" max="5889" width="3.7109375" style="17" customWidth="1"/>
    <col min="5890" max="5890" width="41.28515625" style="17" customWidth="1"/>
    <col min="5891" max="5891" width="4.85546875" style="17" customWidth="1"/>
    <col min="5892" max="5892" width="41.28515625" style="17" customWidth="1"/>
    <col min="5893" max="6144" width="9.140625" style="17"/>
    <col min="6145" max="6145" width="3.7109375" style="17" customWidth="1"/>
    <col min="6146" max="6146" width="41.28515625" style="17" customWidth="1"/>
    <col min="6147" max="6147" width="4.85546875" style="17" customWidth="1"/>
    <col min="6148" max="6148" width="41.28515625" style="17" customWidth="1"/>
    <col min="6149" max="6400" width="9.140625" style="17"/>
    <col min="6401" max="6401" width="3.7109375" style="17" customWidth="1"/>
    <col min="6402" max="6402" width="41.28515625" style="17" customWidth="1"/>
    <col min="6403" max="6403" width="4.85546875" style="17" customWidth="1"/>
    <col min="6404" max="6404" width="41.28515625" style="17" customWidth="1"/>
    <col min="6405" max="6656" width="9.140625" style="17"/>
    <col min="6657" max="6657" width="3.7109375" style="17" customWidth="1"/>
    <col min="6658" max="6658" width="41.28515625" style="17" customWidth="1"/>
    <col min="6659" max="6659" width="4.85546875" style="17" customWidth="1"/>
    <col min="6660" max="6660" width="41.28515625" style="17" customWidth="1"/>
    <col min="6661" max="6912" width="9.140625" style="17"/>
    <col min="6913" max="6913" width="3.7109375" style="17" customWidth="1"/>
    <col min="6914" max="6914" width="41.28515625" style="17" customWidth="1"/>
    <col min="6915" max="6915" width="4.85546875" style="17" customWidth="1"/>
    <col min="6916" max="6916" width="41.28515625" style="17" customWidth="1"/>
    <col min="6917" max="7168" width="9.140625" style="17"/>
    <col min="7169" max="7169" width="3.7109375" style="17" customWidth="1"/>
    <col min="7170" max="7170" width="41.28515625" style="17" customWidth="1"/>
    <col min="7171" max="7171" width="4.85546875" style="17" customWidth="1"/>
    <col min="7172" max="7172" width="41.28515625" style="17" customWidth="1"/>
    <col min="7173" max="7424" width="9.140625" style="17"/>
    <col min="7425" max="7425" width="3.7109375" style="17" customWidth="1"/>
    <col min="7426" max="7426" width="41.28515625" style="17" customWidth="1"/>
    <col min="7427" max="7427" width="4.85546875" style="17" customWidth="1"/>
    <col min="7428" max="7428" width="41.28515625" style="17" customWidth="1"/>
    <col min="7429" max="7680" width="9.140625" style="17"/>
    <col min="7681" max="7681" width="3.7109375" style="17" customWidth="1"/>
    <col min="7682" max="7682" width="41.28515625" style="17" customWidth="1"/>
    <col min="7683" max="7683" width="4.85546875" style="17" customWidth="1"/>
    <col min="7684" max="7684" width="41.28515625" style="17" customWidth="1"/>
    <col min="7685" max="7936" width="9.140625" style="17"/>
    <col min="7937" max="7937" width="3.7109375" style="17" customWidth="1"/>
    <col min="7938" max="7938" width="41.28515625" style="17" customWidth="1"/>
    <col min="7939" max="7939" width="4.85546875" style="17" customWidth="1"/>
    <col min="7940" max="7940" width="41.28515625" style="17" customWidth="1"/>
    <col min="7941" max="8192" width="9.140625" style="17"/>
    <col min="8193" max="8193" width="3.7109375" style="17" customWidth="1"/>
    <col min="8194" max="8194" width="41.28515625" style="17" customWidth="1"/>
    <col min="8195" max="8195" width="4.85546875" style="17" customWidth="1"/>
    <col min="8196" max="8196" width="41.28515625" style="17" customWidth="1"/>
    <col min="8197" max="8448" width="9.140625" style="17"/>
    <col min="8449" max="8449" width="3.7109375" style="17" customWidth="1"/>
    <col min="8450" max="8450" width="41.28515625" style="17" customWidth="1"/>
    <col min="8451" max="8451" width="4.85546875" style="17" customWidth="1"/>
    <col min="8452" max="8452" width="41.28515625" style="17" customWidth="1"/>
    <col min="8453" max="8704" width="9.140625" style="17"/>
    <col min="8705" max="8705" width="3.7109375" style="17" customWidth="1"/>
    <col min="8706" max="8706" width="41.28515625" style="17" customWidth="1"/>
    <col min="8707" max="8707" width="4.85546875" style="17" customWidth="1"/>
    <col min="8708" max="8708" width="41.28515625" style="17" customWidth="1"/>
    <col min="8709" max="8960" width="9.140625" style="17"/>
    <col min="8961" max="8961" width="3.7109375" style="17" customWidth="1"/>
    <col min="8962" max="8962" width="41.28515625" style="17" customWidth="1"/>
    <col min="8963" max="8963" width="4.85546875" style="17" customWidth="1"/>
    <col min="8964" max="8964" width="41.28515625" style="17" customWidth="1"/>
    <col min="8965" max="9216" width="9.140625" style="17"/>
    <col min="9217" max="9217" width="3.7109375" style="17" customWidth="1"/>
    <col min="9218" max="9218" width="41.28515625" style="17" customWidth="1"/>
    <col min="9219" max="9219" width="4.85546875" style="17" customWidth="1"/>
    <col min="9220" max="9220" width="41.28515625" style="17" customWidth="1"/>
    <col min="9221" max="9472" width="9.140625" style="17"/>
    <col min="9473" max="9473" width="3.7109375" style="17" customWidth="1"/>
    <col min="9474" max="9474" width="41.28515625" style="17" customWidth="1"/>
    <col min="9475" max="9475" width="4.85546875" style="17" customWidth="1"/>
    <col min="9476" max="9476" width="41.28515625" style="17" customWidth="1"/>
    <col min="9477" max="9728" width="9.140625" style="17"/>
    <col min="9729" max="9729" width="3.7109375" style="17" customWidth="1"/>
    <col min="9730" max="9730" width="41.28515625" style="17" customWidth="1"/>
    <col min="9731" max="9731" width="4.85546875" style="17" customWidth="1"/>
    <col min="9732" max="9732" width="41.28515625" style="17" customWidth="1"/>
    <col min="9733" max="9984" width="9.140625" style="17"/>
    <col min="9985" max="9985" width="3.7109375" style="17" customWidth="1"/>
    <col min="9986" max="9986" width="41.28515625" style="17" customWidth="1"/>
    <col min="9987" max="9987" width="4.85546875" style="17" customWidth="1"/>
    <col min="9988" max="9988" width="41.28515625" style="17" customWidth="1"/>
    <col min="9989" max="10240" width="9.140625" style="17"/>
    <col min="10241" max="10241" width="3.7109375" style="17" customWidth="1"/>
    <col min="10242" max="10242" width="41.28515625" style="17" customWidth="1"/>
    <col min="10243" max="10243" width="4.85546875" style="17" customWidth="1"/>
    <col min="10244" max="10244" width="41.28515625" style="17" customWidth="1"/>
    <col min="10245" max="10496" width="9.140625" style="17"/>
    <col min="10497" max="10497" width="3.7109375" style="17" customWidth="1"/>
    <col min="10498" max="10498" width="41.28515625" style="17" customWidth="1"/>
    <col min="10499" max="10499" width="4.85546875" style="17" customWidth="1"/>
    <col min="10500" max="10500" width="41.28515625" style="17" customWidth="1"/>
    <col min="10501" max="10752" width="9.140625" style="17"/>
    <col min="10753" max="10753" width="3.7109375" style="17" customWidth="1"/>
    <col min="10754" max="10754" width="41.28515625" style="17" customWidth="1"/>
    <col min="10755" max="10755" width="4.85546875" style="17" customWidth="1"/>
    <col min="10756" max="10756" width="41.28515625" style="17" customWidth="1"/>
    <col min="10757" max="11008" width="9.140625" style="17"/>
    <col min="11009" max="11009" width="3.7109375" style="17" customWidth="1"/>
    <col min="11010" max="11010" width="41.28515625" style="17" customWidth="1"/>
    <col min="11011" max="11011" width="4.85546875" style="17" customWidth="1"/>
    <col min="11012" max="11012" width="41.28515625" style="17" customWidth="1"/>
    <col min="11013" max="11264" width="9.140625" style="17"/>
    <col min="11265" max="11265" width="3.7109375" style="17" customWidth="1"/>
    <col min="11266" max="11266" width="41.28515625" style="17" customWidth="1"/>
    <col min="11267" max="11267" width="4.85546875" style="17" customWidth="1"/>
    <col min="11268" max="11268" width="41.28515625" style="17" customWidth="1"/>
    <col min="11269" max="11520" width="9.140625" style="17"/>
    <col min="11521" max="11521" width="3.7109375" style="17" customWidth="1"/>
    <col min="11522" max="11522" width="41.28515625" style="17" customWidth="1"/>
    <col min="11523" max="11523" width="4.85546875" style="17" customWidth="1"/>
    <col min="11524" max="11524" width="41.28515625" style="17" customWidth="1"/>
    <col min="11525" max="11776" width="9.140625" style="17"/>
    <col min="11777" max="11777" width="3.7109375" style="17" customWidth="1"/>
    <col min="11778" max="11778" width="41.28515625" style="17" customWidth="1"/>
    <col min="11779" max="11779" width="4.85546875" style="17" customWidth="1"/>
    <col min="11780" max="11780" width="41.28515625" style="17" customWidth="1"/>
    <col min="11781" max="12032" width="9.140625" style="17"/>
    <col min="12033" max="12033" width="3.7109375" style="17" customWidth="1"/>
    <col min="12034" max="12034" width="41.28515625" style="17" customWidth="1"/>
    <col min="12035" max="12035" width="4.85546875" style="17" customWidth="1"/>
    <col min="12036" max="12036" width="41.28515625" style="17" customWidth="1"/>
    <col min="12037" max="12288" width="9.140625" style="17"/>
    <col min="12289" max="12289" width="3.7109375" style="17" customWidth="1"/>
    <col min="12290" max="12290" width="41.28515625" style="17" customWidth="1"/>
    <col min="12291" max="12291" width="4.85546875" style="17" customWidth="1"/>
    <col min="12292" max="12292" width="41.28515625" style="17" customWidth="1"/>
    <col min="12293" max="12544" width="9.140625" style="17"/>
    <col min="12545" max="12545" width="3.7109375" style="17" customWidth="1"/>
    <col min="12546" max="12546" width="41.28515625" style="17" customWidth="1"/>
    <col min="12547" max="12547" width="4.85546875" style="17" customWidth="1"/>
    <col min="12548" max="12548" width="41.28515625" style="17" customWidth="1"/>
    <col min="12549" max="12800" width="9.140625" style="17"/>
    <col min="12801" max="12801" width="3.7109375" style="17" customWidth="1"/>
    <col min="12802" max="12802" width="41.28515625" style="17" customWidth="1"/>
    <col min="12803" max="12803" width="4.85546875" style="17" customWidth="1"/>
    <col min="12804" max="12804" width="41.28515625" style="17" customWidth="1"/>
    <col min="12805" max="13056" width="9.140625" style="17"/>
    <col min="13057" max="13057" width="3.7109375" style="17" customWidth="1"/>
    <col min="13058" max="13058" width="41.28515625" style="17" customWidth="1"/>
    <col min="13059" max="13059" width="4.85546875" style="17" customWidth="1"/>
    <col min="13060" max="13060" width="41.28515625" style="17" customWidth="1"/>
    <col min="13061" max="13312" width="9.140625" style="17"/>
    <col min="13313" max="13313" width="3.7109375" style="17" customWidth="1"/>
    <col min="13314" max="13314" width="41.28515625" style="17" customWidth="1"/>
    <col min="13315" max="13315" width="4.85546875" style="17" customWidth="1"/>
    <col min="13316" max="13316" width="41.28515625" style="17" customWidth="1"/>
    <col min="13317" max="13568" width="9.140625" style="17"/>
    <col min="13569" max="13569" width="3.7109375" style="17" customWidth="1"/>
    <col min="13570" max="13570" width="41.28515625" style="17" customWidth="1"/>
    <col min="13571" max="13571" width="4.85546875" style="17" customWidth="1"/>
    <col min="13572" max="13572" width="41.28515625" style="17" customWidth="1"/>
    <col min="13573" max="13824" width="9.140625" style="17"/>
    <col min="13825" max="13825" width="3.7109375" style="17" customWidth="1"/>
    <col min="13826" max="13826" width="41.28515625" style="17" customWidth="1"/>
    <col min="13827" max="13827" width="4.85546875" style="17" customWidth="1"/>
    <col min="13828" max="13828" width="41.28515625" style="17" customWidth="1"/>
    <col min="13829" max="14080" width="9.140625" style="17"/>
    <col min="14081" max="14081" width="3.7109375" style="17" customWidth="1"/>
    <col min="14082" max="14082" width="41.28515625" style="17" customWidth="1"/>
    <col min="14083" max="14083" width="4.85546875" style="17" customWidth="1"/>
    <col min="14084" max="14084" width="41.28515625" style="17" customWidth="1"/>
    <col min="14085" max="14336" width="9.140625" style="17"/>
    <col min="14337" max="14337" width="3.7109375" style="17" customWidth="1"/>
    <col min="14338" max="14338" width="41.28515625" style="17" customWidth="1"/>
    <col min="14339" max="14339" width="4.85546875" style="17" customWidth="1"/>
    <col min="14340" max="14340" width="41.28515625" style="17" customWidth="1"/>
    <col min="14341" max="14592" width="9.140625" style="17"/>
    <col min="14593" max="14593" width="3.7109375" style="17" customWidth="1"/>
    <col min="14594" max="14594" width="41.28515625" style="17" customWidth="1"/>
    <col min="14595" max="14595" width="4.85546875" style="17" customWidth="1"/>
    <col min="14596" max="14596" width="41.28515625" style="17" customWidth="1"/>
    <col min="14597" max="14848" width="9.140625" style="17"/>
    <col min="14849" max="14849" width="3.7109375" style="17" customWidth="1"/>
    <col min="14850" max="14850" width="41.28515625" style="17" customWidth="1"/>
    <col min="14851" max="14851" width="4.85546875" style="17" customWidth="1"/>
    <col min="14852" max="14852" width="41.28515625" style="17" customWidth="1"/>
    <col min="14853" max="15104" width="9.140625" style="17"/>
    <col min="15105" max="15105" width="3.7109375" style="17" customWidth="1"/>
    <col min="15106" max="15106" width="41.28515625" style="17" customWidth="1"/>
    <col min="15107" max="15107" width="4.85546875" style="17" customWidth="1"/>
    <col min="15108" max="15108" width="41.28515625" style="17" customWidth="1"/>
    <col min="15109" max="15360" width="9.140625" style="17"/>
    <col min="15361" max="15361" width="3.7109375" style="17" customWidth="1"/>
    <col min="15362" max="15362" width="41.28515625" style="17" customWidth="1"/>
    <col min="15363" max="15363" width="4.85546875" style="17" customWidth="1"/>
    <col min="15364" max="15364" width="41.28515625" style="17" customWidth="1"/>
    <col min="15365" max="15616" width="9.140625" style="17"/>
    <col min="15617" max="15617" width="3.7109375" style="17" customWidth="1"/>
    <col min="15618" max="15618" width="41.28515625" style="17" customWidth="1"/>
    <col min="15619" max="15619" width="4.85546875" style="17" customWidth="1"/>
    <col min="15620" max="15620" width="41.28515625" style="17" customWidth="1"/>
    <col min="15621" max="15872" width="9.140625" style="17"/>
    <col min="15873" max="15873" width="3.7109375" style="17" customWidth="1"/>
    <col min="15874" max="15874" width="41.28515625" style="17" customWidth="1"/>
    <col min="15875" max="15875" width="4.85546875" style="17" customWidth="1"/>
    <col min="15876" max="15876" width="41.28515625" style="17" customWidth="1"/>
    <col min="15877" max="16128" width="9.140625" style="17"/>
    <col min="16129" max="16129" width="3.7109375" style="17" customWidth="1"/>
    <col min="16130" max="16130" width="41.28515625" style="17" customWidth="1"/>
    <col min="16131" max="16131" width="4.85546875" style="17" customWidth="1"/>
    <col min="16132" max="16132" width="41.28515625" style="17" customWidth="1"/>
    <col min="16133" max="16384" width="9.140625" style="17"/>
  </cols>
  <sheetData>
    <row r="1" spans="2:4">
      <c r="B1" s="83"/>
      <c r="C1" s="80"/>
      <c r="D1" s="80"/>
    </row>
    <row r="2" spans="2:4">
      <c r="B2" s="18" t="s">
        <v>1</v>
      </c>
      <c r="C2" s="19"/>
      <c r="D2" s="19"/>
    </row>
    <row r="3" spans="2:4">
      <c r="B3" s="18"/>
      <c r="C3" s="19"/>
      <c r="D3" s="19"/>
    </row>
    <row r="4" spans="2:4" ht="46.5" customHeight="1">
      <c r="B4" s="120" t="s">
        <v>202</v>
      </c>
      <c r="D4" s="20"/>
    </row>
    <row r="5" spans="2:4" ht="46.5" customHeight="1">
      <c r="B5" s="121"/>
      <c r="D5" s="20"/>
    </row>
    <row r="6" spans="2:4" ht="46.5" customHeight="1">
      <c r="B6" s="121"/>
      <c r="D6" s="20"/>
    </row>
    <row r="7" spans="2:4" ht="46.5" customHeight="1">
      <c r="B7" s="121"/>
      <c r="D7" s="20"/>
    </row>
    <row r="8" spans="2:4" ht="46.5" customHeight="1">
      <c r="B8" s="121"/>
      <c r="D8" s="20"/>
    </row>
    <row r="9" spans="2:4" ht="46.5" customHeight="1">
      <c r="B9" s="121"/>
      <c r="D9" s="20"/>
    </row>
    <row r="10" spans="2:4" ht="46.5" customHeight="1">
      <c r="B10" s="121"/>
      <c r="D10" s="20"/>
    </row>
    <row r="11" spans="2:4" ht="46.5" customHeight="1">
      <c r="B11" s="121"/>
      <c r="C11" s="21"/>
      <c r="D11" s="22"/>
    </row>
    <row r="12" spans="2:4" ht="46.5" customHeight="1">
      <c r="B12" s="121"/>
    </row>
    <row r="13" spans="2:4" ht="47.25" customHeight="1">
      <c r="B13" s="120" t="s">
        <v>152</v>
      </c>
    </row>
    <row r="14" spans="2:4" ht="47.25" customHeight="1">
      <c r="B14" s="121"/>
    </row>
    <row r="15" spans="2:4" ht="47.25" customHeight="1">
      <c r="B15" s="121"/>
    </row>
    <row r="16" spans="2:4" ht="47.25" customHeight="1">
      <c r="B16" s="121"/>
    </row>
    <row r="17" spans="2:2" ht="47.25" customHeight="1">
      <c r="B17" s="121"/>
    </row>
    <row r="18" spans="2:2" ht="47.25" customHeight="1">
      <c r="B18" s="121"/>
    </row>
    <row r="19" spans="2:2" ht="47.25" customHeight="1">
      <c r="B19" s="121"/>
    </row>
    <row r="20" spans="2:2" ht="47.25" customHeight="1">
      <c r="B20" s="121"/>
    </row>
    <row r="21" spans="2:2" ht="47.25" customHeight="1">
      <c r="B21" s="121"/>
    </row>
    <row r="22" spans="2:2">
      <c r="B22" s="23"/>
    </row>
    <row r="23" spans="2:2">
      <c r="B23" s="23"/>
    </row>
    <row r="24" spans="2:2">
      <c r="B24" s="23"/>
    </row>
    <row r="25" spans="2:2">
      <c r="B25" s="23"/>
    </row>
    <row r="26" spans="2:2">
      <c r="B26" s="23"/>
    </row>
    <row r="27" spans="2:2">
      <c r="B27" s="23"/>
    </row>
    <row r="28" spans="2:2">
      <c r="B28" s="23"/>
    </row>
    <row r="29" spans="2:2">
      <c r="B29" s="23"/>
    </row>
    <row r="30" spans="2:2">
      <c r="B30" s="23"/>
    </row>
    <row r="31" spans="2:2">
      <c r="B31" s="23"/>
    </row>
    <row r="32" spans="2:2">
      <c r="B32" s="23"/>
    </row>
    <row r="33" spans="2:2">
      <c r="B33" s="23"/>
    </row>
    <row r="34" spans="2:2">
      <c r="B34" s="23"/>
    </row>
    <row r="35" spans="2:2">
      <c r="B35" s="23"/>
    </row>
    <row r="36" spans="2:2">
      <c r="B36" s="23"/>
    </row>
    <row r="37" spans="2:2">
      <c r="B37" s="23"/>
    </row>
    <row r="38" spans="2:2">
      <c r="B38" s="23"/>
    </row>
    <row r="39" spans="2:2">
      <c r="B39" s="23"/>
    </row>
    <row r="40" spans="2:2">
      <c r="B40" s="23"/>
    </row>
    <row r="41" spans="2:2">
      <c r="B41" s="23"/>
    </row>
    <row r="42" spans="2:2">
      <c r="B42" s="23"/>
    </row>
    <row r="43" spans="2:2">
      <c r="B43" s="23"/>
    </row>
    <row r="44" spans="2:2">
      <c r="B44" s="23"/>
    </row>
    <row r="45" spans="2:2">
      <c r="B45" s="23"/>
    </row>
    <row r="46" spans="2:2">
      <c r="B46" s="23"/>
    </row>
    <row r="47" spans="2:2">
      <c r="B47" s="23"/>
    </row>
    <row r="48" spans="2:2">
      <c r="B48" s="23"/>
    </row>
    <row r="49" spans="2:2">
      <c r="B49" s="23"/>
    </row>
    <row r="50" spans="2:2">
      <c r="B50" s="23"/>
    </row>
    <row r="51" spans="2:2">
      <c r="B51" s="23"/>
    </row>
    <row r="52" spans="2:2">
      <c r="B52" s="23"/>
    </row>
    <row r="53" spans="2:2">
      <c r="B53" s="23"/>
    </row>
    <row r="54" spans="2:2">
      <c r="B54" s="23"/>
    </row>
    <row r="55" spans="2:2">
      <c r="B55" s="23"/>
    </row>
    <row r="56" spans="2:2">
      <c r="B56" s="23"/>
    </row>
    <row r="57" spans="2:2">
      <c r="B57" s="23"/>
    </row>
    <row r="58" spans="2:2">
      <c r="B58" s="23"/>
    </row>
    <row r="59" spans="2:2">
      <c r="B59" s="23"/>
    </row>
    <row r="60" spans="2:2">
      <c r="B60" s="23"/>
    </row>
    <row r="61" spans="2:2">
      <c r="B61" s="23"/>
    </row>
    <row r="62" spans="2:2">
      <c r="B62" s="23"/>
    </row>
    <row r="63" spans="2:2">
      <c r="B63" s="23"/>
    </row>
    <row r="64" spans="2:2">
      <c r="B64" s="23"/>
    </row>
    <row r="65" spans="2:2">
      <c r="B65" s="23"/>
    </row>
    <row r="66" spans="2:2">
      <c r="B66" s="23"/>
    </row>
    <row r="67" spans="2:2">
      <c r="B67" s="23"/>
    </row>
    <row r="68" spans="2:2">
      <c r="B68" s="23"/>
    </row>
    <row r="69" spans="2:2">
      <c r="B69" s="23"/>
    </row>
    <row r="70" spans="2:2">
      <c r="B70" s="23"/>
    </row>
    <row r="71" spans="2:2">
      <c r="B71" s="23"/>
    </row>
    <row r="72" spans="2:2">
      <c r="B72" s="23"/>
    </row>
    <row r="73" spans="2:2">
      <c r="B73" s="23"/>
    </row>
    <row r="74" spans="2:2">
      <c r="B74" s="23"/>
    </row>
    <row r="75" spans="2:2">
      <c r="B75" s="23"/>
    </row>
    <row r="76" spans="2:2">
      <c r="B76" s="23"/>
    </row>
    <row r="77" spans="2:2">
      <c r="B77" s="23"/>
    </row>
    <row r="78" spans="2:2">
      <c r="B78" s="23"/>
    </row>
    <row r="79" spans="2:2">
      <c r="B79" s="23"/>
    </row>
    <row r="80" spans="2:2">
      <c r="B80" s="23"/>
    </row>
    <row r="81" spans="2:2">
      <c r="B81" s="23"/>
    </row>
    <row r="82" spans="2:2">
      <c r="B82" s="23"/>
    </row>
    <row r="83" spans="2:2">
      <c r="B83" s="23"/>
    </row>
    <row r="84" spans="2:2">
      <c r="B84" s="23"/>
    </row>
    <row r="85" spans="2:2">
      <c r="B85" s="23"/>
    </row>
    <row r="86" spans="2:2">
      <c r="B86" s="23"/>
    </row>
    <row r="87" spans="2:2">
      <c r="B87" s="23"/>
    </row>
    <row r="88" spans="2:2">
      <c r="B88" s="23"/>
    </row>
    <row r="89" spans="2:2">
      <c r="B89" s="23"/>
    </row>
    <row r="90" spans="2:2">
      <c r="B90" s="23"/>
    </row>
    <row r="91" spans="2:2">
      <c r="B91" s="23"/>
    </row>
    <row r="92" spans="2:2">
      <c r="B92" s="23"/>
    </row>
    <row r="93" spans="2:2">
      <c r="B93" s="23"/>
    </row>
    <row r="94" spans="2:2">
      <c r="B94" s="23"/>
    </row>
    <row r="95" spans="2:2">
      <c r="B95" s="23"/>
    </row>
    <row r="96" spans="2:2">
      <c r="B96" s="23"/>
    </row>
    <row r="97" spans="2:2">
      <c r="B97" s="23"/>
    </row>
    <row r="98" spans="2:2">
      <c r="B98" s="23"/>
    </row>
    <row r="99" spans="2:2">
      <c r="B99" s="23"/>
    </row>
    <row r="100" spans="2:2">
      <c r="B100" s="23"/>
    </row>
    <row r="101" spans="2:2">
      <c r="B101" s="23"/>
    </row>
    <row r="102" spans="2:2">
      <c r="B102" s="23"/>
    </row>
    <row r="103" spans="2:2">
      <c r="B103" s="23"/>
    </row>
    <row r="104" spans="2:2">
      <c r="B104" s="23"/>
    </row>
    <row r="105" spans="2:2">
      <c r="B105" s="23"/>
    </row>
    <row r="106" spans="2:2">
      <c r="B106" s="23"/>
    </row>
    <row r="107" spans="2:2">
      <c r="B107" s="23"/>
    </row>
    <row r="108" spans="2:2">
      <c r="B108" s="23"/>
    </row>
    <row r="109" spans="2:2">
      <c r="B109" s="23"/>
    </row>
    <row r="110" spans="2:2">
      <c r="B110" s="23"/>
    </row>
    <row r="111" spans="2:2">
      <c r="B111" s="23"/>
    </row>
    <row r="112" spans="2:2">
      <c r="B112" s="23"/>
    </row>
    <row r="113" spans="2:2">
      <c r="B113" s="23"/>
    </row>
    <row r="114" spans="2:2">
      <c r="B114" s="23"/>
    </row>
    <row r="115" spans="2:2">
      <c r="B115" s="23"/>
    </row>
    <row r="116" spans="2:2">
      <c r="B116" s="23"/>
    </row>
    <row r="117" spans="2:2">
      <c r="B117" s="23"/>
    </row>
    <row r="118" spans="2:2">
      <c r="B118" s="23"/>
    </row>
    <row r="119" spans="2:2">
      <c r="B119" s="23"/>
    </row>
    <row r="120" spans="2:2">
      <c r="B120" s="23"/>
    </row>
    <row r="121" spans="2:2">
      <c r="B121" s="23"/>
    </row>
    <row r="122" spans="2:2">
      <c r="B122" s="23"/>
    </row>
    <row r="123" spans="2:2">
      <c r="B123" s="23"/>
    </row>
    <row r="124" spans="2:2">
      <c r="B124" s="23"/>
    </row>
    <row r="125" spans="2:2">
      <c r="B125" s="23"/>
    </row>
    <row r="126" spans="2:2">
      <c r="B126" s="23"/>
    </row>
    <row r="127" spans="2:2">
      <c r="B127" s="23"/>
    </row>
    <row r="128" spans="2:2">
      <c r="B128" s="23"/>
    </row>
    <row r="129" spans="2:2">
      <c r="B129" s="23"/>
    </row>
    <row r="130" spans="2:2">
      <c r="B130" s="23"/>
    </row>
    <row r="131" spans="2:2">
      <c r="B131" s="23"/>
    </row>
    <row r="132" spans="2:2">
      <c r="B132" s="23"/>
    </row>
    <row r="133" spans="2:2">
      <c r="B133" s="23"/>
    </row>
    <row r="134" spans="2:2">
      <c r="B134" s="23"/>
    </row>
    <row r="135" spans="2:2">
      <c r="B135" s="23"/>
    </row>
    <row r="136" spans="2:2">
      <c r="B136" s="23"/>
    </row>
    <row r="137" spans="2:2">
      <c r="B137" s="23"/>
    </row>
    <row r="138" spans="2:2">
      <c r="B138" s="23"/>
    </row>
    <row r="139" spans="2:2">
      <c r="B139" s="23"/>
    </row>
    <row r="140" spans="2:2">
      <c r="B140" s="23"/>
    </row>
    <row r="141" spans="2:2">
      <c r="B141" s="23"/>
    </row>
    <row r="142" spans="2:2">
      <c r="B142" s="23"/>
    </row>
    <row r="143" spans="2:2">
      <c r="B143" s="23"/>
    </row>
    <row r="144" spans="2:2">
      <c r="B144" s="23"/>
    </row>
    <row r="145" spans="2:2">
      <c r="B145" s="23"/>
    </row>
    <row r="146" spans="2:2">
      <c r="B146" s="23"/>
    </row>
    <row r="147" spans="2:2">
      <c r="B147" s="23"/>
    </row>
    <row r="148" spans="2:2">
      <c r="B148" s="23"/>
    </row>
    <row r="149" spans="2:2">
      <c r="B149" s="23"/>
    </row>
    <row r="150" spans="2:2">
      <c r="B150" s="23"/>
    </row>
    <row r="151" spans="2:2">
      <c r="B151" s="23"/>
    </row>
    <row r="152" spans="2:2">
      <c r="B152" s="23"/>
    </row>
    <row r="153" spans="2:2">
      <c r="B153" s="23"/>
    </row>
    <row r="154" spans="2:2">
      <c r="B154" s="23"/>
    </row>
    <row r="155" spans="2:2">
      <c r="B155" s="23"/>
    </row>
    <row r="156" spans="2:2">
      <c r="B156" s="23"/>
    </row>
    <row r="157" spans="2:2">
      <c r="B157" s="23"/>
    </row>
    <row r="158" spans="2:2">
      <c r="B158" s="23"/>
    </row>
    <row r="159" spans="2:2">
      <c r="B159" s="23"/>
    </row>
    <row r="160" spans="2:2">
      <c r="B160" s="23"/>
    </row>
    <row r="161" spans="2:2">
      <c r="B161" s="23"/>
    </row>
    <row r="162" spans="2:2">
      <c r="B162" s="23"/>
    </row>
    <row r="163" spans="2:2">
      <c r="B163" s="23"/>
    </row>
    <row r="164" spans="2:2">
      <c r="B164" s="23"/>
    </row>
    <row r="165" spans="2:2">
      <c r="B165" s="23"/>
    </row>
    <row r="166" spans="2:2">
      <c r="B166" s="23"/>
    </row>
    <row r="167" spans="2:2">
      <c r="B167" s="23"/>
    </row>
    <row r="168" spans="2:2">
      <c r="B168" s="23"/>
    </row>
    <row r="169" spans="2:2">
      <c r="B169" s="23"/>
    </row>
    <row r="170" spans="2:2">
      <c r="B170" s="23"/>
    </row>
    <row r="171" spans="2:2">
      <c r="B171" s="23"/>
    </row>
    <row r="172" spans="2:2">
      <c r="B172" s="23"/>
    </row>
    <row r="173" spans="2:2">
      <c r="B173" s="23"/>
    </row>
    <row r="174" spans="2:2">
      <c r="B174" s="23"/>
    </row>
    <row r="175" spans="2:2">
      <c r="B175" s="23"/>
    </row>
    <row r="176" spans="2:2">
      <c r="B176" s="23"/>
    </row>
    <row r="177" spans="2:2">
      <c r="B177" s="23"/>
    </row>
    <row r="178" spans="2:2">
      <c r="B178" s="23"/>
    </row>
    <row r="179" spans="2:2">
      <c r="B179" s="23"/>
    </row>
    <row r="180" spans="2:2">
      <c r="B180" s="23"/>
    </row>
    <row r="181" spans="2:2">
      <c r="B181" s="23"/>
    </row>
    <row r="182" spans="2:2">
      <c r="B182" s="23"/>
    </row>
    <row r="183" spans="2:2">
      <c r="B183" s="23"/>
    </row>
    <row r="184" spans="2:2">
      <c r="B184" s="23"/>
    </row>
    <row r="185" spans="2:2">
      <c r="B185" s="23"/>
    </row>
    <row r="186" spans="2:2">
      <c r="B186" s="23"/>
    </row>
    <row r="187" spans="2:2">
      <c r="B187" s="23"/>
    </row>
    <row r="188" spans="2:2">
      <c r="B188" s="23"/>
    </row>
    <row r="189" spans="2:2">
      <c r="B189" s="23"/>
    </row>
    <row r="190" spans="2:2">
      <c r="B190" s="23"/>
    </row>
    <row r="191" spans="2:2">
      <c r="B191" s="23"/>
    </row>
    <row r="192" spans="2:2">
      <c r="B192" s="23"/>
    </row>
    <row r="193" spans="2:2">
      <c r="B193" s="23"/>
    </row>
    <row r="194" spans="2:2">
      <c r="B194" s="23"/>
    </row>
    <row r="195" spans="2:2">
      <c r="B195" s="23"/>
    </row>
    <row r="196" spans="2:2">
      <c r="B196" s="23"/>
    </row>
    <row r="197" spans="2:2">
      <c r="B197" s="23"/>
    </row>
    <row r="198" spans="2:2">
      <c r="B198" s="23"/>
    </row>
    <row r="199" spans="2:2">
      <c r="B199" s="23"/>
    </row>
    <row r="200" spans="2:2">
      <c r="B200" s="23"/>
    </row>
    <row r="201" spans="2:2">
      <c r="B201" s="23"/>
    </row>
    <row r="202" spans="2:2">
      <c r="B202" s="23"/>
    </row>
    <row r="203" spans="2:2">
      <c r="B203" s="23"/>
    </row>
    <row r="204" spans="2:2">
      <c r="B204" s="23"/>
    </row>
    <row r="205" spans="2:2">
      <c r="B205" s="23"/>
    </row>
    <row r="206" spans="2:2">
      <c r="B206" s="23"/>
    </row>
    <row r="207" spans="2:2">
      <c r="B207" s="23"/>
    </row>
    <row r="208" spans="2:2">
      <c r="B208" s="23"/>
    </row>
    <row r="209" spans="2:2">
      <c r="B209" s="23"/>
    </row>
    <row r="210" spans="2:2">
      <c r="B210" s="23"/>
    </row>
    <row r="211" spans="2:2">
      <c r="B211" s="23"/>
    </row>
    <row r="212" spans="2:2">
      <c r="B212" s="23"/>
    </row>
    <row r="213" spans="2:2">
      <c r="B213" s="23"/>
    </row>
    <row r="214" spans="2:2">
      <c r="B214" s="23"/>
    </row>
    <row r="215" spans="2:2">
      <c r="B215" s="23"/>
    </row>
    <row r="216" spans="2:2">
      <c r="B216" s="23"/>
    </row>
    <row r="217" spans="2:2">
      <c r="B217" s="23"/>
    </row>
    <row r="218" spans="2:2">
      <c r="B218" s="23"/>
    </row>
    <row r="219" spans="2:2">
      <c r="B219" s="23"/>
    </row>
    <row r="220" spans="2:2">
      <c r="B220" s="23"/>
    </row>
    <row r="221" spans="2:2">
      <c r="B221" s="23"/>
    </row>
    <row r="222" spans="2:2">
      <c r="B222" s="23"/>
    </row>
    <row r="223" spans="2:2">
      <c r="B223" s="23"/>
    </row>
    <row r="224" spans="2:2">
      <c r="B224" s="23"/>
    </row>
    <row r="225" spans="2:2">
      <c r="B225" s="23"/>
    </row>
    <row r="226" spans="2:2">
      <c r="B226" s="23"/>
    </row>
    <row r="227" spans="2:2">
      <c r="B227" s="23"/>
    </row>
    <row r="228" spans="2:2">
      <c r="B228" s="23"/>
    </row>
    <row r="229" spans="2:2">
      <c r="B229" s="23"/>
    </row>
    <row r="230" spans="2:2">
      <c r="B230" s="23"/>
    </row>
    <row r="231" spans="2:2">
      <c r="B231" s="23"/>
    </row>
    <row r="232" spans="2:2">
      <c r="B232" s="23"/>
    </row>
    <row r="233" spans="2:2">
      <c r="B233" s="23"/>
    </row>
    <row r="234" spans="2:2">
      <c r="B234" s="23"/>
    </row>
    <row r="235" spans="2:2">
      <c r="B235" s="23"/>
    </row>
    <row r="236" spans="2:2">
      <c r="B236" s="23"/>
    </row>
    <row r="237" spans="2:2">
      <c r="B237" s="23"/>
    </row>
    <row r="238" spans="2:2">
      <c r="B238" s="23"/>
    </row>
    <row r="239" spans="2:2">
      <c r="B239" s="23"/>
    </row>
    <row r="240" spans="2:2">
      <c r="B240" s="23"/>
    </row>
    <row r="241" spans="2:2">
      <c r="B241" s="23"/>
    </row>
    <row r="242" spans="2:2">
      <c r="B242" s="23"/>
    </row>
    <row r="243" spans="2:2">
      <c r="B243" s="23"/>
    </row>
    <row r="244" spans="2:2">
      <c r="B244" s="23"/>
    </row>
    <row r="245" spans="2:2">
      <c r="B245" s="23"/>
    </row>
    <row r="246" spans="2:2">
      <c r="B246" s="23"/>
    </row>
    <row r="247" spans="2:2">
      <c r="B247" s="23"/>
    </row>
    <row r="248" spans="2:2">
      <c r="B248" s="23"/>
    </row>
    <row r="249" spans="2:2">
      <c r="B249" s="23"/>
    </row>
    <row r="250" spans="2:2">
      <c r="B250" s="23"/>
    </row>
    <row r="251" spans="2:2">
      <c r="B251" s="23"/>
    </row>
    <row r="252" spans="2:2">
      <c r="B252" s="23"/>
    </row>
    <row r="253" spans="2:2">
      <c r="B253" s="23"/>
    </row>
    <row r="254" spans="2:2">
      <c r="B254" s="23"/>
    </row>
    <row r="255" spans="2:2">
      <c r="B255" s="23"/>
    </row>
    <row r="256" spans="2:2">
      <c r="B256" s="23"/>
    </row>
    <row r="257" spans="2:2">
      <c r="B257" s="23"/>
    </row>
    <row r="258" spans="2:2">
      <c r="B258" s="23"/>
    </row>
    <row r="259" spans="2:2">
      <c r="B259" s="23"/>
    </row>
    <row r="260" spans="2:2">
      <c r="B260" s="23"/>
    </row>
    <row r="261" spans="2:2">
      <c r="B261" s="23"/>
    </row>
    <row r="262" spans="2:2">
      <c r="B262" s="23"/>
    </row>
    <row r="263" spans="2:2">
      <c r="B263" s="23"/>
    </row>
    <row r="264" spans="2:2">
      <c r="B264" s="23"/>
    </row>
    <row r="265" spans="2:2">
      <c r="B265" s="23"/>
    </row>
    <row r="266" spans="2:2">
      <c r="B266" s="23"/>
    </row>
    <row r="267" spans="2:2">
      <c r="B267" s="23"/>
    </row>
    <row r="268" spans="2:2">
      <c r="B268" s="23"/>
    </row>
    <row r="269" spans="2:2">
      <c r="B269" s="23"/>
    </row>
    <row r="270" spans="2:2">
      <c r="B270" s="23"/>
    </row>
    <row r="271" spans="2:2">
      <c r="B271" s="23"/>
    </row>
    <row r="272" spans="2:2">
      <c r="B272" s="23"/>
    </row>
    <row r="273" spans="2:2">
      <c r="B273" s="23"/>
    </row>
  </sheetData>
  <mergeCells count="2">
    <mergeCell ref="B4:B12"/>
    <mergeCell ref="B13:B21"/>
  </mergeCells>
  <pageMargins left="0.78740157480314965" right="0.39370078740157483" top="0.39370078740157483" bottom="0.39370078740157483" header="0" footer="0"/>
  <pageSetup paperSize="9" firstPageNumber="4" orientation="portrait" useFirstPageNumber="1" r:id="rId1"/>
  <headerFooter>
    <oddFooter>&amp;R&amp;"-,обычный"&amp;8&amp;P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H80"/>
  <sheetViews>
    <sheetView zoomScaleNormal="100" workbookViewId="0">
      <pane xSplit="4" ySplit="7" topLeftCell="E65" activePane="bottomRight" state="frozen"/>
      <selection pane="topRight" activeCell="E1" sqref="E1"/>
      <selection pane="bottomLeft" activeCell="A9" sqref="A9"/>
      <selection pane="bottomRight" activeCell="E91" sqref="E91"/>
    </sheetView>
  </sheetViews>
  <sheetFormatPr defaultColWidth="8" defaultRowHeight="11.25"/>
  <cols>
    <col min="1" max="1" width="3.28515625" style="24" customWidth="1"/>
    <col min="2" max="2" width="8.7109375" style="62" customWidth="1"/>
    <col min="3" max="3" width="33.85546875" style="27" customWidth="1"/>
    <col min="4" max="4" width="13.85546875" style="24" customWidth="1"/>
    <col min="5" max="5" width="12" style="24" bestFit="1" customWidth="1"/>
    <col min="6" max="6" width="11.28515625" style="24" bestFit="1" customWidth="1"/>
    <col min="7" max="7" width="11" style="24" bestFit="1" customWidth="1"/>
    <col min="8" max="8" width="14" style="24" customWidth="1"/>
    <col min="9" max="9" width="11.7109375" style="24" bestFit="1" customWidth="1"/>
    <col min="10" max="11" width="14.140625" style="24" bestFit="1" customWidth="1"/>
    <col min="12" max="12" width="11.85546875" style="24" bestFit="1" customWidth="1"/>
    <col min="13" max="13" width="11" style="24" bestFit="1" customWidth="1"/>
    <col min="14" max="14" width="11.7109375" style="24" customWidth="1"/>
    <col min="15" max="15" width="10.85546875" style="24" bestFit="1" customWidth="1"/>
    <col min="16" max="16" width="12.140625" style="24" customWidth="1"/>
    <col min="17" max="17" width="12.85546875" style="24" customWidth="1"/>
    <col min="18" max="18" width="16.42578125" style="24" customWidth="1"/>
    <col min="19" max="19" width="14.140625" style="24" customWidth="1"/>
    <col min="20" max="24" width="14.28515625" style="24" customWidth="1"/>
    <col min="25" max="25" width="13.7109375" style="24" customWidth="1"/>
    <col min="26" max="26" width="14.28515625" style="24" customWidth="1"/>
    <col min="27" max="27" width="14" style="24" customWidth="1"/>
    <col min="28" max="28" width="12.5703125" style="24" bestFit="1" customWidth="1"/>
    <col min="29" max="29" width="11.28515625" style="24" bestFit="1" customWidth="1"/>
    <col min="30" max="30" width="12.5703125" style="24" customWidth="1"/>
    <col min="31" max="31" width="12.5703125" style="24" bestFit="1" customWidth="1"/>
    <col min="32" max="32" width="14.5703125" style="24" bestFit="1" customWidth="1"/>
    <col min="33" max="33" width="10.85546875" style="24" bestFit="1" customWidth="1"/>
    <col min="34" max="34" width="11.7109375" style="24" customWidth="1"/>
    <col min="35" max="35" width="14" style="24" customWidth="1"/>
    <col min="36" max="36" width="13.5703125" style="24" customWidth="1"/>
    <col min="37" max="37" width="15.5703125" style="24" bestFit="1" customWidth="1"/>
    <col min="38" max="38" width="14.28515625" style="24" customWidth="1"/>
    <col min="39" max="39" width="13.5703125" style="24" customWidth="1"/>
    <col min="40" max="40" width="14.28515625" style="24" customWidth="1"/>
    <col min="41" max="41" width="13.7109375" style="24" customWidth="1"/>
    <col min="42" max="42" width="12.5703125" style="24" bestFit="1" customWidth="1"/>
    <col min="43" max="43" width="15.28515625" style="24" bestFit="1" customWidth="1"/>
    <col min="44" max="44" width="12.7109375" style="24" customWidth="1"/>
    <col min="45" max="45" width="11" style="24" bestFit="1" customWidth="1"/>
    <col min="46" max="46" width="14.28515625" style="24" bestFit="1" customWidth="1"/>
    <col min="47" max="47" width="13.42578125" style="24" customWidth="1"/>
    <col min="48" max="48" width="13.85546875" style="24" customWidth="1"/>
    <col min="49" max="49" width="13.5703125" style="24" customWidth="1"/>
    <col min="50" max="50" width="12.42578125" style="24" customWidth="1"/>
    <col min="51" max="51" width="11.28515625" style="24" customWidth="1"/>
    <col min="52" max="52" width="11.5703125" style="24" customWidth="1"/>
    <col min="53" max="53" width="15.140625" style="24" customWidth="1"/>
    <col min="54" max="54" width="13.42578125" style="24" customWidth="1"/>
    <col min="55" max="55" width="11.28515625" style="24" bestFit="1" customWidth="1"/>
    <col min="56" max="56" width="12.5703125" style="24" bestFit="1" customWidth="1"/>
    <col min="57" max="57" width="13.85546875" style="24" customWidth="1"/>
    <col min="58" max="58" width="17" style="24" bestFit="1" customWidth="1"/>
    <col min="59" max="64" width="13.7109375" style="24" customWidth="1"/>
    <col min="65" max="65" width="16.42578125" style="24" bestFit="1" customWidth="1"/>
    <col min="66" max="66" width="12.5703125" style="24" customWidth="1"/>
    <col min="67" max="67" width="15.42578125" style="24" customWidth="1"/>
    <col min="68" max="68" width="14.28515625" style="24" customWidth="1"/>
    <col min="69" max="69" width="14" style="24" customWidth="1"/>
    <col min="70" max="70" width="13" style="24" customWidth="1"/>
    <col min="71" max="71" width="15.28515625" style="24" customWidth="1"/>
    <col min="72" max="72" width="14.28515625" style="24" customWidth="1"/>
    <col min="73" max="73" width="13.5703125" style="24" customWidth="1"/>
    <col min="74" max="74" width="14" style="24" customWidth="1"/>
    <col min="75" max="75" width="13.140625" style="24" customWidth="1"/>
    <col min="76" max="76" width="13.85546875" style="25" customWidth="1"/>
    <col min="77" max="77" width="13.42578125" style="24" customWidth="1"/>
    <col min="78" max="78" width="14.42578125" style="25" customWidth="1"/>
    <col min="79" max="79" width="13.5703125" style="24" customWidth="1"/>
    <col min="80" max="80" width="14.28515625" style="24" customWidth="1"/>
    <col min="81" max="81" width="8" style="24"/>
    <col min="82" max="82" width="9.5703125" style="24" bestFit="1" customWidth="1"/>
    <col min="83" max="85" width="8" style="24"/>
    <col min="86" max="86" width="9.28515625" style="24" bestFit="1" customWidth="1"/>
    <col min="87" max="16384" width="8" style="24"/>
  </cols>
  <sheetData>
    <row r="2" spans="1:86" ht="12.75">
      <c r="A2" s="122" t="s">
        <v>126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</row>
    <row r="3" spans="1:86">
      <c r="A3" s="24" t="s">
        <v>112</v>
      </c>
      <c r="D3" s="28"/>
      <c r="E3" s="28"/>
      <c r="F3" s="28"/>
      <c r="G3" s="28"/>
      <c r="H3" s="28"/>
      <c r="I3" s="28"/>
      <c r="J3" s="28"/>
      <c r="L3" s="28"/>
      <c r="M3" s="28"/>
      <c r="N3" s="28"/>
      <c r="O3" s="28"/>
      <c r="P3" s="28"/>
      <c r="Q3" s="28"/>
      <c r="R3" s="28"/>
      <c r="S3" s="29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9"/>
      <c r="BN3" s="28"/>
      <c r="BO3" s="28"/>
      <c r="BP3" s="28"/>
      <c r="BQ3" s="28"/>
      <c r="BR3" s="28"/>
      <c r="BS3" s="28"/>
      <c r="BT3" s="28"/>
      <c r="BU3" s="29"/>
      <c r="BV3" s="28"/>
      <c r="BW3" s="28"/>
      <c r="BX3" s="28"/>
      <c r="BY3" s="29"/>
      <c r="BZ3" s="28"/>
      <c r="CA3" s="28"/>
      <c r="CB3" s="28"/>
      <c r="CD3" s="25"/>
    </row>
    <row r="4" spans="1:86" ht="93" customHeight="1">
      <c r="A4" s="30"/>
      <c r="B4" s="63"/>
      <c r="C4" s="31"/>
      <c r="D4" s="32" t="s">
        <v>189</v>
      </c>
      <c r="E4" s="33" t="s">
        <v>134</v>
      </c>
      <c r="F4" s="33" t="s">
        <v>89</v>
      </c>
      <c r="G4" s="33" t="s">
        <v>87</v>
      </c>
      <c r="H4" s="33" t="s">
        <v>187</v>
      </c>
      <c r="I4" s="33" t="s">
        <v>185</v>
      </c>
      <c r="J4" s="33" t="s">
        <v>183</v>
      </c>
      <c r="K4" s="33" t="s">
        <v>181</v>
      </c>
      <c r="L4" s="33" t="s">
        <v>180</v>
      </c>
      <c r="M4" s="33" t="s">
        <v>85</v>
      </c>
      <c r="N4" s="33" t="s">
        <v>178</v>
      </c>
      <c r="O4" s="33" t="s">
        <v>83</v>
      </c>
      <c r="P4" s="33" t="s">
        <v>177</v>
      </c>
      <c r="Q4" s="33" t="s">
        <v>82</v>
      </c>
      <c r="R4" s="33" t="s">
        <v>80</v>
      </c>
      <c r="S4" s="33" t="s">
        <v>78</v>
      </c>
      <c r="T4" s="33" t="s">
        <v>76</v>
      </c>
      <c r="U4" s="33" t="s">
        <v>74</v>
      </c>
      <c r="V4" s="33" t="s">
        <v>72</v>
      </c>
      <c r="W4" s="33" t="s">
        <v>70</v>
      </c>
      <c r="X4" s="33" t="s">
        <v>176</v>
      </c>
      <c r="Y4" s="33" t="s">
        <v>68</v>
      </c>
      <c r="Z4" s="33" t="s">
        <v>175</v>
      </c>
      <c r="AA4" s="33" t="s">
        <v>67</v>
      </c>
      <c r="AB4" s="33" t="s">
        <v>173</v>
      </c>
      <c r="AC4" s="33" t="s">
        <v>171</v>
      </c>
      <c r="AD4" s="33" t="s">
        <v>169</v>
      </c>
      <c r="AE4" s="33" t="s">
        <v>167</v>
      </c>
      <c r="AF4" s="33" t="s">
        <v>165</v>
      </c>
      <c r="AG4" s="33" t="s">
        <v>65</v>
      </c>
      <c r="AH4" s="33" t="s">
        <v>135</v>
      </c>
      <c r="AI4" s="33" t="s">
        <v>164</v>
      </c>
      <c r="AJ4" s="33" t="s">
        <v>163</v>
      </c>
      <c r="AK4" s="33" t="s">
        <v>62</v>
      </c>
      <c r="AL4" s="33" t="s">
        <v>60</v>
      </c>
      <c r="AM4" s="33" t="s">
        <v>58</v>
      </c>
      <c r="AN4" s="33" t="s">
        <v>56</v>
      </c>
      <c r="AO4" s="33" t="s">
        <v>136</v>
      </c>
      <c r="AP4" s="33" t="s">
        <v>53</v>
      </c>
      <c r="AQ4" s="33" t="s">
        <v>51</v>
      </c>
      <c r="AR4" s="33" t="s">
        <v>49</v>
      </c>
      <c r="AS4" s="33" t="s">
        <v>162</v>
      </c>
      <c r="AT4" s="33" t="s">
        <v>47</v>
      </c>
      <c r="AU4" s="33" t="s">
        <v>137</v>
      </c>
      <c r="AV4" s="33" t="s">
        <v>44</v>
      </c>
      <c r="AW4" s="33" t="s">
        <v>42</v>
      </c>
      <c r="AX4" s="33" t="s">
        <v>40</v>
      </c>
      <c r="AY4" s="33" t="s">
        <v>38</v>
      </c>
      <c r="AZ4" s="33" t="s">
        <v>36</v>
      </c>
      <c r="BA4" s="33" t="s">
        <v>34</v>
      </c>
      <c r="BB4" s="33" t="s">
        <v>32</v>
      </c>
      <c r="BC4" s="33" t="s">
        <v>30</v>
      </c>
      <c r="BD4" s="33" t="s">
        <v>28</v>
      </c>
      <c r="BE4" s="33" t="s">
        <v>161</v>
      </c>
      <c r="BF4" s="33" t="s">
        <v>26</v>
      </c>
      <c r="BG4" s="33" t="s">
        <v>24</v>
      </c>
      <c r="BH4" s="33" t="s">
        <v>138</v>
      </c>
      <c r="BI4" s="33" t="s">
        <v>139</v>
      </c>
      <c r="BJ4" s="33" t="s">
        <v>20</v>
      </c>
      <c r="BK4" s="33" t="s">
        <v>159</v>
      </c>
      <c r="BL4" s="33" t="s">
        <v>157</v>
      </c>
      <c r="BM4" s="33" t="s">
        <v>18</v>
      </c>
      <c r="BN4" s="33" t="s">
        <v>16</v>
      </c>
      <c r="BO4" s="33" t="s">
        <v>14</v>
      </c>
      <c r="BP4" s="33" t="s">
        <v>12</v>
      </c>
      <c r="BQ4" s="33" t="s">
        <v>156</v>
      </c>
      <c r="BR4" s="33" t="s">
        <v>155</v>
      </c>
      <c r="BS4" s="33" t="s">
        <v>10</v>
      </c>
      <c r="BT4" s="33" t="s">
        <v>111</v>
      </c>
      <c r="BU4" s="33" t="s">
        <v>110</v>
      </c>
      <c r="BV4" s="33" t="s">
        <v>109</v>
      </c>
      <c r="BW4" s="33" t="s">
        <v>108</v>
      </c>
      <c r="BX4" s="34" t="s">
        <v>107</v>
      </c>
      <c r="BY4" s="33" t="s">
        <v>106</v>
      </c>
      <c r="BZ4" s="35" t="s">
        <v>105</v>
      </c>
      <c r="CA4" s="35" t="s">
        <v>215</v>
      </c>
      <c r="CB4" s="35" t="s">
        <v>104</v>
      </c>
    </row>
    <row r="5" spans="1:86" s="25" customFormat="1" ht="18.75" customHeight="1">
      <c r="A5" s="36"/>
      <c r="B5" s="64" t="s">
        <v>148</v>
      </c>
      <c r="C5" s="37"/>
      <c r="D5" s="32" t="s">
        <v>103</v>
      </c>
      <c r="E5" s="33" t="s">
        <v>91</v>
      </c>
      <c r="F5" s="33" t="s">
        <v>90</v>
      </c>
      <c r="G5" s="33" t="s">
        <v>88</v>
      </c>
      <c r="H5" s="33" t="s">
        <v>188</v>
      </c>
      <c r="I5" s="33" t="s">
        <v>186</v>
      </c>
      <c r="J5" s="33" t="s">
        <v>184</v>
      </c>
      <c r="K5" s="33" t="s">
        <v>182</v>
      </c>
      <c r="L5" s="33" t="s">
        <v>102</v>
      </c>
      <c r="M5" s="33" t="s">
        <v>86</v>
      </c>
      <c r="N5" s="33" t="s">
        <v>179</v>
      </c>
      <c r="O5" s="33" t="s">
        <v>84</v>
      </c>
      <c r="P5" s="33" t="s">
        <v>101</v>
      </c>
      <c r="Q5" s="33" t="s">
        <v>100</v>
      </c>
      <c r="R5" s="33" t="s">
        <v>81</v>
      </c>
      <c r="S5" s="33" t="s">
        <v>79</v>
      </c>
      <c r="T5" s="33" t="s">
        <v>77</v>
      </c>
      <c r="U5" s="33" t="s">
        <v>75</v>
      </c>
      <c r="V5" s="33" t="s">
        <v>73</v>
      </c>
      <c r="W5" s="33" t="s">
        <v>71</v>
      </c>
      <c r="X5" s="33" t="s">
        <v>99</v>
      </c>
      <c r="Y5" s="33" t="s">
        <v>69</v>
      </c>
      <c r="Z5" s="33" t="s">
        <v>98</v>
      </c>
      <c r="AA5" s="33" t="s">
        <v>97</v>
      </c>
      <c r="AB5" s="33">
        <v>241</v>
      </c>
      <c r="AC5" s="33">
        <v>242</v>
      </c>
      <c r="AD5" s="33">
        <v>243</v>
      </c>
      <c r="AE5" s="33">
        <v>244</v>
      </c>
      <c r="AF5" s="33">
        <v>245</v>
      </c>
      <c r="AG5" s="33" t="s">
        <v>66</v>
      </c>
      <c r="AH5" s="33" t="s">
        <v>64</v>
      </c>
      <c r="AI5" s="33" t="s">
        <v>96</v>
      </c>
      <c r="AJ5" s="33" t="s">
        <v>95</v>
      </c>
      <c r="AK5" s="33" t="s">
        <v>63</v>
      </c>
      <c r="AL5" s="33" t="s">
        <v>61</v>
      </c>
      <c r="AM5" s="33" t="s">
        <v>59</v>
      </c>
      <c r="AN5" s="33" t="s">
        <v>57</v>
      </c>
      <c r="AO5" s="33" t="s">
        <v>55</v>
      </c>
      <c r="AP5" s="33">
        <v>351</v>
      </c>
      <c r="AQ5" s="33">
        <v>352</v>
      </c>
      <c r="AR5" s="33">
        <v>353</v>
      </c>
      <c r="AS5" s="33" t="s">
        <v>94</v>
      </c>
      <c r="AT5" s="33" t="s">
        <v>48</v>
      </c>
      <c r="AU5" s="33" t="s">
        <v>46</v>
      </c>
      <c r="AV5" s="33" t="s">
        <v>45</v>
      </c>
      <c r="AW5" s="33" t="s">
        <v>43</v>
      </c>
      <c r="AX5" s="33" t="s">
        <v>41</v>
      </c>
      <c r="AY5" s="33" t="s">
        <v>39</v>
      </c>
      <c r="AZ5" s="33" t="s">
        <v>37</v>
      </c>
      <c r="BA5" s="33" t="s">
        <v>35</v>
      </c>
      <c r="BB5" s="33" t="s">
        <v>33</v>
      </c>
      <c r="BC5" s="33" t="s">
        <v>31</v>
      </c>
      <c r="BD5" s="33" t="s">
        <v>29</v>
      </c>
      <c r="BE5" s="33" t="s">
        <v>199</v>
      </c>
      <c r="BF5" s="33" t="s">
        <v>27</v>
      </c>
      <c r="BG5" s="33" t="s">
        <v>25</v>
      </c>
      <c r="BH5" s="33" t="s">
        <v>23</v>
      </c>
      <c r="BI5" s="33" t="s">
        <v>22</v>
      </c>
      <c r="BJ5" s="33" t="s">
        <v>21</v>
      </c>
      <c r="BK5" s="33" t="s">
        <v>160</v>
      </c>
      <c r="BL5" s="33" t="s">
        <v>158</v>
      </c>
      <c r="BM5" s="33" t="s">
        <v>19</v>
      </c>
      <c r="BN5" s="33" t="s">
        <v>17</v>
      </c>
      <c r="BO5" s="33" t="s">
        <v>15</v>
      </c>
      <c r="BP5" s="33" t="s">
        <v>13</v>
      </c>
      <c r="BQ5" s="33" t="s">
        <v>93</v>
      </c>
      <c r="BR5" s="33" t="s">
        <v>92</v>
      </c>
      <c r="BS5" s="33" t="s">
        <v>11</v>
      </c>
      <c r="BT5" s="33"/>
      <c r="BU5" s="33"/>
      <c r="BV5" s="33"/>
      <c r="BW5" s="33"/>
      <c r="BX5" s="34"/>
      <c r="BY5" s="33"/>
      <c r="BZ5" s="35"/>
      <c r="CA5" s="35"/>
      <c r="CB5" s="35"/>
    </row>
    <row r="6" spans="1:86" ht="11.25" customHeight="1">
      <c r="A6" s="30" t="s">
        <v>147</v>
      </c>
      <c r="B6" s="63"/>
      <c r="C6" s="30"/>
      <c r="D6" s="35">
        <v>1</v>
      </c>
      <c r="E6" s="35">
        <v>2</v>
      </c>
      <c r="F6" s="35">
        <v>3</v>
      </c>
      <c r="G6" s="35">
        <v>4</v>
      </c>
      <c r="H6" s="35">
        <v>5</v>
      </c>
      <c r="I6" s="35">
        <v>6</v>
      </c>
      <c r="J6" s="35">
        <v>7</v>
      </c>
      <c r="K6" s="35">
        <v>8</v>
      </c>
      <c r="L6" s="35">
        <v>9</v>
      </c>
      <c r="M6" s="35">
        <v>10</v>
      </c>
      <c r="N6" s="35">
        <v>11</v>
      </c>
      <c r="O6" s="35">
        <v>12</v>
      </c>
      <c r="P6" s="35">
        <v>13</v>
      </c>
      <c r="Q6" s="35">
        <v>14</v>
      </c>
      <c r="R6" s="35">
        <v>15</v>
      </c>
      <c r="S6" s="35">
        <v>16</v>
      </c>
      <c r="T6" s="35">
        <v>17</v>
      </c>
      <c r="U6" s="35">
        <v>18</v>
      </c>
      <c r="V6" s="35">
        <v>19</v>
      </c>
      <c r="W6" s="35">
        <v>20</v>
      </c>
      <c r="X6" s="35">
        <v>21</v>
      </c>
      <c r="Y6" s="35">
        <v>22</v>
      </c>
      <c r="Z6" s="35">
        <v>23</v>
      </c>
      <c r="AA6" s="35">
        <v>24</v>
      </c>
      <c r="AB6" s="35">
        <v>25</v>
      </c>
      <c r="AC6" s="35">
        <v>26</v>
      </c>
      <c r="AD6" s="35">
        <v>27</v>
      </c>
      <c r="AE6" s="35">
        <v>28</v>
      </c>
      <c r="AF6" s="35">
        <v>29</v>
      </c>
      <c r="AG6" s="35">
        <v>30</v>
      </c>
      <c r="AH6" s="35">
        <v>31</v>
      </c>
      <c r="AI6" s="35">
        <v>32</v>
      </c>
      <c r="AJ6" s="35">
        <v>33</v>
      </c>
      <c r="AK6" s="35">
        <v>34</v>
      </c>
      <c r="AL6" s="35">
        <v>35</v>
      </c>
      <c r="AM6" s="35">
        <v>36</v>
      </c>
      <c r="AN6" s="35">
        <v>37</v>
      </c>
      <c r="AO6" s="35">
        <v>38</v>
      </c>
      <c r="AP6" s="35">
        <v>39</v>
      </c>
      <c r="AQ6" s="35">
        <v>40</v>
      </c>
      <c r="AR6" s="35">
        <v>41</v>
      </c>
      <c r="AS6" s="35">
        <v>42</v>
      </c>
      <c r="AT6" s="35">
        <v>43</v>
      </c>
      <c r="AU6" s="35">
        <v>44</v>
      </c>
      <c r="AV6" s="35">
        <v>45</v>
      </c>
      <c r="AW6" s="35">
        <v>46</v>
      </c>
      <c r="AX6" s="35">
        <v>47</v>
      </c>
      <c r="AY6" s="35">
        <v>48</v>
      </c>
      <c r="AZ6" s="35">
        <v>49</v>
      </c>
      <c r="BA6" s="35">
        <v>50</v>
      </c>
      <c r="BB6" s="35">
        <v>51</v>
      </c>
      <c r="BC6" s="35">
        <v>52</v>
      </c>
      <c r="BD6" s="35">
        <v>53</v>
      </c>
      <c r="BE6" s="35">
        <v>54</v>
      </c>
      <c r="BF6" s="35">
        <v>55</v>
      </c>
      <c r="BG6" s="35">
        <v>56</v>
      </c>
      <c r="BH6" s="35">
        <v>57</v>
      </c>
      <c r="BI6" s="35">
        <v>58</v>
      </c>
      <c r="BJ6" s="35">
        <v>59</v>
      </c>
      <c r="BK6" s="35">
        <v>60</v>
      </c>
      <c r="BL6" s="35">
        <v>61</v>
      </c>
      <c r="BM6" s="35">
        <v>62</v>
      </c>
      <c r="BN6" s="35">
        <v>63</v>
      </c>
      <c r="BO6" s="35">
        <v>64</v>
      </c>
      <c r="BP6" s="35">
        <v>65</v>
      </c>
      <c r="BQ6" s="35">
        <v>66</v>
      </c>
      <c r="BR6" s="35">
        <v>67</v>
      </c>
      <c r="BS6" s="35">
        <v>68</v>
      </c>
      <c r="BT6" s="35">
        <v>69</v>
      </c>
      <c r="BU6" s="35">
        <v>70</v>
      </c>
      <c r="BV6" s="35">
        <v>71</v>
      </c>
      <c r="BW6" s="35">
        <v>72</v>
      </c>
      <c r="BX6" s="35">
        <v>73</v>
      </c>
      <c r="BY6" s="35">
        <v>74</v>
      </c>
      <c r="BZ6" s="35">
        <v>75</v>
      </c>
      <c r="CA6" s="35">
        <v>76</v>
      </c>
      <c r="CB6" s="35">
        <v>77</v>
      </c>
    </row>
    <row r="7" spans="1:86" ht="11.25" customHeight="1">
      <c r="A7" s="38">
        <v>1</v>
      </c>
      <c r="B7" s="65" t="s">
        <v>103</v>
      </c>
      <c r="C7" s="39" t="s">
        <v>189</v>
      </c>
      <c r="D7" s="40">
        <v>8812606384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0</v>
      </c>
      <c r="AP7" s="40">
        <v>0</v>
      </c>
      <c r="AQ7" s="40">
        <v>0</v>
      </c>
      <c r="AR7" s="40">
        <v>0</v>
      </c>
      <c r="AS7" s="40">
        <v>0</v>
      </c>
      <c r="AT7" s="40">
        <v>0</v>
      </c>
      <c r="AU7" s="40">
        <v>0</v>
      </c>
      <c r="AV7" s="40">
        <v>0</v>
      </c>
      <c r="AW7" s="40">
        <v>0</v>
      </c>
      <c r="AX7" s="40">
        <v>0</v>
      </c>
      <c r="AY7" s="40">
        <v>0</v>
      </c>
      <c r="AZ7" s="40">
        <v>0</v>
      </c>
      <c r="BA7" s="40">
        <v>0</v>
      </c>
      <c r="BB7" s="40">
        <v>0</v>
      </c>
      <c r="BC7" s="40">
        <v>0</v>
      </c>
      <c r="BD7" s="40">
        <v>0</v>
      </c>
      <c r="BE7" s="40">
        <v>0</v>
      </c>
      <c r="BF7" s="40">
        <v>0</v>
      </c>
      <c r="BG7" s="40">
        <v>0</v>
      </c>
      <c r="BH7" s="40">
        <v>0</v>
      </c>
      <c r="BI7" s="40">
        <v>0</v>
      </c>
      <c r="BJ7" s="40">
        <v>0</v>
      </c>
      <c r="BK7" s="40">
        <v>0</v>
      </c>
      <c r="BL7" s="40">
        <v>0</v>
      </c>
      <c r="BM7" s="40">
        <v>0</v>
      </c>
      <c r="BN7" s="40">
        <v>0</v>
      </c>
      <c r="BO7" s="40">
        <v>0</v>
      </c>
      <c r="BP7" s="40">
        <v>0</v>
      </c>
      <c r="BQ7" s="40">
        <v>0</v>
      </c>
      <c r="BR7" s="40">
        <v>0</v>
      </c>
      <c r="BS7" s="40">
        <v>0</v>
      </c>
      <c r="BT7" s="40">
        <v>8812606384</v>
      </c>
      <c r="BU7" s="40">
        <v>840427056</v>
      </c>
      <c r="BV7" s="40">
        <v>9653033440</v>
      </c>
      <c r="BW7" s="40">
        <v>1948748118</v>
      </c>
      <c r="BX7" s="40">
        <v>151311555</v>
      </c>
      <c r="BY7" s="40">
        <v>289395102</v>
      </c>
      <c r="BZ7" s="40">
        <v>301946446</v>
      </c>
      <c r="CA7" s="40">
        <v>12551344</v>
      </c>
      <c r="CB7" s="40">
        <v>12042488215</v>
      </c>
      <c r="CC7" s="41"/>
      <c r="CD7" s="41"/>
      <c r="CE7" s="42"/>
      <c r="CF7" s="42"/>
      <c r="CG7" s="42"/>
      <c r="CH7" s="42"/>
    </row>
    <row r="8" spans="1:86" ht="22.5">
      <c r="A8" s="38">
        <v>2</v>
      </c>
      <c r="B8" s="65" t="s">
        <v>91</v>
      </c>
      <c r="C8" s="39" t="s">
        <v>134</v>
      </c>
      <c r="D8" s="40">
        <v>0</v>
      </c>
      <c r="E8" s="40">
        <v>26707201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0</v>
      </c>
      <c r="AP8" s="40">
        <v>0</v>
      </c>
      <c r="AQ8" s="40">
        <v>0</v>
      </c>
      <c r="AR8" s="40">
        <v>0</v>
      </c>
      <c r="AS8" s="40">
        <v>0</v>
      </c>
      <c r="AT8" s="40">
        <v>0</v>
      </c>
      <c r="AU8" s="40">
        <v>0</v>
      </c>
      <c r="AV8" s="40">
        <v>0</v>
      </c>
      <c r="AW8" s="40">
        <v>0</v>
      </c>
      <c r="AX8" s="40">
        <v>0</v>
      </c>
      <c r="AY8" s="40">
        <v>0</v>
      </c>
      <c r="AZ8" s="40">
        <v>0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40">
        <v>0</v>
      </c>
      <c r="BG8" s="40">
        <v>0</v>
      </c>
      <c r="BH8" s="40">
        <v>0</v>
      </c>
      <c r="BI8" s="40">
        <v>0</v>
      </c>
      <c r="BJ8" s="40">
        <v>0</v>
      </c>
      <c r="BK8" s="40">
        <v>0</v>
      </c>
      <c r="BL8" s="40">
        <v>0</v>
      </c>
      <c r="BM8" s="40">
        <v>0</v>
      </c>
      <c r="BN8" s="40">
        <v>0</v>
      </c>
      <c r="BO8" s="40">
        <v>0</v>
      </c>
      <c r="BP8" s="40">
        <v>0</v>
      </c>
      <c r="BQ8" s="40">
        <v>0</v>
      </c>
      <c r="BR8" s="40">
        <v>0</v>
      </c>
      <c r="BS8" s="40">
        <v>0</v>
      </c>
      <c r="BT8" s="40">
        <v>26707201</v>
      </c>
      <c r="BU8" s="40">
        <v>2460929</v>
      </c>
      <c r="BV8" s="40">
        <v>29168130</v>
      </c>
      <c r="BW8" s="40">
        <v>1973128</v>
      </c>
      <c r="BX8" s="40">
        <v>226735</v>
      </c>
      <c r="BY8" s="40">
        <v>368115</v>
      </c>
      <c r="BZ8" s="40">
        <v>368115</v>
      </c>
      <c r="CA8" s="40">
        <v>0</v>
      </c>
      <c r="CB8" s="40">
        <v>31736108</v>
      </c>
      <c r="CC8" s="41"/>
      <c r="CD8" s="41"/>
      <c r="CE8" s="42"/>
      <c r="CF8" s="42"/>
      <c r="CG8" s="42"/>
      <c r="CH8" s="42"/>
    </row>
    <row r="9" spans="1:86" ht="33.75">
      <c r="A9" s="38">
        <v>3</v>
      </c>
      <c r="B9" s="65" t="s">
        <v>90</v>
      </c>
      <c r="C9" s="39" t="s">
        <v>89</v>
      </c>
      <c r="D9" s="40">
        <v>0</v>
      </c>
      <c r="E9" s="40">
        <v>0</v>
      </c>
      <c r="F9" s="40">
        <v>228125400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  <c r="O9" s="40">
        <v>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0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0</v>
      </c>
      <c r="AV9" s="40">
        <v>0</v>
      </c>
      <c r="AW9" s="40">
        <v>0</v>
      </c>
      <c r="AX9" s="40">
        <v>0</v>
      </c>
      <c r="AY9" s="40">
        <v>0</v>
      </c>
      <c r="AZ9" s="40">
        <v>0</v>
      </c>
      <c r="BA9" s="40">
        <v>0</v>
      </c>
      <c r="BB9" s="40">
        <v>0</v>
      </c>
      <c r="BC9" s="40">
        <v>0</v>
      </c>
      <c r="BD9" s="40">
        <v>0</v>
      </c>
      <c r="BE9" s="40">
        <v>0</v>
      </c>
      <c r="BF9" s="40">
        <v>0</v>
      </c>
      <c r="BG9" s="40">
        <v>0</v>
      </c>
      <c r="BH9" s="40">
        <v>0</v>
      </c>
      <c r="BI9" s="40">
        <v>0</v>
      </c>
      <c r="BJ9" s="40">
        <v>0</v>
      </c>
      <c r="BK9" s="40">
        <v>0</v>
      </c>
      <c r="BL9" s="40">
        <v>0</v>
      </c>
      <c r="BM9" s="40">
        <v>0</v>
      </c>
      <c r="BN9" s="40">
        <v>0</v>
      </c>
      <c r="BO9" s="40">
        <v>0</v>
      </c>
      <c r="BP9" s="40">
        <v>0</v>
      </c>
      <c r="BQ9" s="40">
        <v>0</v>
      </c>
      <c r="BR9" s="40">
        <v>0</v>
      </c>
      <c r="BS9" s="40">
        <v>0</v>
      </c>
      <c r="BT9" s="40">
        <v>228125400</v>
      </c>
      <c r="BU9" s="40">
        <v>10160594</v>
      </c>
      <c r="BV9" s="40">
        <v>238285994</v>
      </c>
      <c r="BW9" s="40">
        <v>34581438</v>
      </c>
      <c r="BX9" s="40">
        <v>1178368</v>
      </c>
      <c r="BY9" s="40">
        <v>1521800</v>
      </c>
      <c r="BZ9" s="40">
        <v>1521800</v>
      </c>
      <c r="CA9" s="40">
        <v>0</v>
      </c>
      <c r="CB9" s="40">
        <v>275567600</v>
      </c>
      <c r="CC9" s="41"/>
      <c r="CD9" s="41"/>
      <c r="CE9" s="42"/>
      <c r="CF9" s="42"/>
      <c r="CG9" s="42"/>
      <c r="CH9" s="42"/>
    </row>
    <row r="10" spans="1:86">
      <c r="A10" s="38">
        <v>4</v>
      </c>
      <c r="B10" s="65" t="s">
        <v>88</v>
      </c>
      <c r="C10" s="39" t="s">
        <v>87</v>
      </c>
      <c r="D10" s="40">
        <v>0</v>
      </c>
      <c r="E10" s="40">
        <v>0</v>
      </c>
      <c r="F10" s="40">
        <v>0</v>
      </c>
      <c r="G10" s="40">
        <v>843722600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  <c r="AA10" s="40">
        <v>0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  <c r="AI10" s="40">
        <v>0</v>
      </c>
      <c r="AJ10" s="40">
        <v>0</v>
      </c>
      <c r="AK10" s="40">
        <v>0</v>
      </c>
      <c r="AL10" s="40">
        <v>0</v>
      </c>
      <c r="AM10" s="40">
        <v>0</v>
      </c>
      <c r="AN10" s="40">
        <v>0</v>
      </c>
      <c r="AO10" s="40">
        <v>0</v>
      </c>
      <c r="AP10" s="40">
        <v>0</v>
      </c>
      <c r="AQ10" s="40">
        <v>0</v>
      </c>
      <c r="AR10" s="40">
        <v>0</v>
      </c>
      <c r="AS10" s="40">
        <v>0</v>
      </c>
      <c r="AT10" s="40">
        <v>0</v>
      </c>
      <c r="AU10" s="40">
        <v>0</v>
      </c>
      <c r="AV10" s="40">
        <v>0</v>
      </c>
      <c r="AW10" s="40">
        <v>0</v>
      </c>
      <c r="AX10" s="40">
        <v>0</v>
      </c>
      <c r="AY10" s="40">
        <v>0</v>
      </c>
      <c r="AZ10" s="40">
        <v>0</v>
      </c>
      <c r="BA10" s="40">
        <v>0</v>
      </c>
      <c r="BB10" s="40">
        <v>0</v>
      </c>
      <c r="BC10" s="40">
        <v>0</v>
      </c>
      <c r="BD10" s="40">
        <v>0</v>
      </c>
      <c r="BE10" s="40">
        <v>0</v>
      </c>
      <c r="BF10" s="40">
        <v>0</v>
      </c>
      <c r="BG10" s="40">
        <v>0</v>
      </c>
      <c r="BH10" s="40">
        <v>0</v>
      </c>
      <c r="BI10" s="40">
        <v>0</v>
      </c>
      <c r="BJ10" s="40">
        <v>0</v>
      </c>
      <c r="BK10" s="40">
        <v>0</v>
      </c>
      <c r="BL10" s="40">
        <v>0</v>
      </c>
      <c r="BM10" s="40">
        <v>0</v>
      </c>
      <c r="BN10" s="40">
        <v>0</v>
      </c>
      <c r="BO10" s="40">
        <v>0</v>
      </c>
      <c r="BP10" s="40">
        <v>0</v>
      </c>
      <c r="BQ10" s="40">
        <v>0</v>
      </c>
      <c r="BR10" s="40">
        <v>0</v>
      </c>
      <c r="BS10" s="40">
        <v>0</v>
      </c>
      <c r="BT10" s="40">
        <v>843722600</v>
      </c>
      <c r="BU10" s="40">
        <v>66921856</v>
      </c>
      <c r="BV10" s="40">
        <v>910644456</v>
      </c>
      <c r="BW10" s="40">
        <v>67967720</v>
      </c>
      <c r="BX10" s="40">
        <v>19145543</v>
      </c>
      <c r="BY10" s="40">
        <v>81293993</v>
      </c>
      <c r="BZ10" s="40">
        <v>81293993</v>
      </c>
      <c r="CA10" s="40">
        <v>0</v>
      </c>
      <c r="CB10" s="40">
        <v>1079051712</v>
      </c>
      <c r="CC10" s="41"/>
      <c r="CD10" s="41"/>
      <c r="CE10" s="42"/>
      <c r="CF10" s="42"/>
      <c r="CG10" s="42"/>
      <c r="CH10" s="42"/>
    </row>
    <row r="11" spans="1:86">
      <c r="A11" s="38">
        <v>5</v>
      </c>
      <c r="B11" s="65" t="s">
        <v>188</v>
      </c>
      <c r="C11" s="39" t="s">
        <v>187</v>
      </c>
      <c r="D11" s="40">
        <v>0</v>
      </c>
      <c r="E11" s="40">
        <v>0</v>
      </c>
      <c r="F11" s="40">
        <v>0</v>
      </c>
      <c r="G11" s="40">
        <v>0</v>
      </c>
      <c r="H11" s="40">
        <v>16382767200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40">
        <v>0</v>
      </c>
      <c r="AN11" s="40">
        <v>0</v>
      </c>
      <c r="AO11" s="40">
        <v>0</v>
      </c>
      <c r="AP11" s="40">
        <v>0</v>
      </c>
      <c r="AQ11" s="40">
        <v>0</v>
      </c>
      <c r="AR11" s="40">
        <v>0</v>
      </c>
      <c r="AS11" s="40">
        <v>0</v>
      </c>
      <c r="AT11" s="40">
        <v>0</v>
      </c>
      <c r="AU11" s="40">
        <v>0</v>
      </c>
      <c r="AV11" s="40">
        <v>0</v>
      </c>
      <c r="AW11" s="40">
        <v>0</v>
      </c>
      <c r="AX11" s="40">
        <v>0</v>
      </c>
      <c r="AY11" s="40">
        <v>0</v>
      </c>
      <c r="AZ11" s="40">
        <v>0</v>
      </c>
      <c r="BA11" s="40">
        <v>0</v>
      </c>
      <c r="BB11" s="40">
        <v>0</v>
      </c>
      <c r="BC11" s="40">
        <v>0</v>
      </c>
      <c r="BD11" s="40">
        <v>0</v>
      </c>
      <c r="BE11" s="40">
        <v>0</v>
      </c>
      <c r="BF11" s="40">
        <v>0</v>
      </c>
      <c r="BG11" s="40">
        <v>0</v>
      </c>
      <c r="BH11" s="40">
        <v>0</v>
      </c>
      <c r="BI11" s="40">
        <v>0</v>
      </c>
      <c r="BJ11" s="40">
        <v>0</v>
      </c>
      <c r="BK11" s="40">
        <v>0</v>
      </c>
      <c r="BL11" s="40">
        <v>0</v>
      </c>
      <c r="BM11" s="40">
        <v>0</v>
      </c>
      <c r="BN11" s="40">
        <v>0</v>
      </c>
      <c r="BO11" s="40">
        <v>0</v>
      </c>
      <c r="BP11" s="40">
        <v>0</v>
      </c>
      <c r="BQ11" s="40">
        <v>0</v>
      </c>
      <c r="BR11" s="40">
        <v>0</v>
      </c>
      <c r="BS11" s="40">
        <v>0</v>
      </c>
      <c r="BT11" s="40">
        <v>16382767200</v>
      </c>
      <c r="BU11" s="40">
        <v>1934</v>
      </c>
      <c r="BV11" s="40">
        <v>16382769134</v>
      </c>
      <c r="BW11" s="40">
        <v>505700302</v>
      </c>
      <c r="BX11" s="40">
        <v>86134887</v>
      </c>
      <c r="BY11" s="40">
        <v>2173467178</v>
      </c>
      <c r="BZ11" s="40">
        <v>2173467178</v>
      </c>
      <c r="CA11" s="40">
        <v>0</v>
      </c>
      <c r="CB11" s="40">
        <v>19148071501</v>
      </c>
      <c r="CC11" s="41"/>
      <c r="CD11" s="41"/>
      <c r="CE11" s="42"/>
      <c r="CF11" s="42"/>
      <c r="CG11" s="42"/>
      <c r="CH11" s="42"/>
    </row>
    <row r="12" spans="1:86" ht="22.5">
      <c r="A12" s="38">
        <v>6</v>
      </c>
      <c r="B12" s="65" t="s">
        <v>186</v>
      </c>
      <c r="C12" s="39" t="s">
        <v>185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0">
        <v>455455400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  <c r="AI12" s="40">
        <v>0</v>
      </c>
      <c r="AJ12" s="40">
        <v>0</v>
      </c>
      <c r="AK12" s="40">
        <v>0</v>
      </c>
      <c r="AL12" s="40">
        <v>0</v>
      </c>
      <c r="AM12" s="40">
        <v>0</v>
      </c>
      <c r="AN12" s="40">
        <v>0</v>
      </c>
      <c r="AO12" s="40">
        <v>0</v>
      </c>
      <c r="AP12" s="40">
        <v>0</v>
      </c>
      <c r="AQ12" s="40">
        <v>0</v>
      </c>
      <c r="AR12" s="40">
        <v>0</v>
      </c>
      <c r="AS12" s="40">
        <v>0</v>
      </c>
      <c r="AT12" s="40">
        <v>0</v>
      </c>
      <c r="AU12" s="40">
        <v>0</v>
      </c>
      <c r="AV12" s="40">
        <v>0</v>
      </c>
      <c r="AW12" s="40">
        <v>0</v>
      </c>
      <c r="AX12" s="40">
        <v>0</v>
      </c>
      <c r="AY12" s="40">
        <v>0</v>
      </c>
      <c r="AZ12" s="40">
        <v>0</v>
      </c>
      <c r="BA12" s="40">
        <v>0</v>
      </c>
      <c r="BB12" s="40">
        <v>0</v>
      </c>
      <c r="BC12" s="40">
        <v>0</v>
      </c>
      <c r="BD12" s="40">
        <v>0</v>
      </c>
      <c r="BE12" s="40">
        <v>0</v>
      </c>
      <c r="BF12" s="40">
        <v>0</v>
      </c>
      <c r="BG12" s="40">
        <v>0</v>
      </c>
      <c r="BH12" s="40">
        <v>0</v>
      </c>
      <c r="BI12" s="40">
        <v>0</v>
      </c>
      <c r="BJ12" s="40">
        <v>0</v>
      </c>
      <c r="BK12" s="40">
        <v>0</v>
      </c>
      <c r="BL12" s="40">
        <v>0</v>
      </c>
      <c r="BM12" s="40">
        <v>0</v>
      </c>
      <c r="BN12" s="40">
        <v>0</v>
      </c>
      <c r="BO12" s="40">
        <v>0</v>
      </c>
      <c r="BP12" s="40">
        <v>0</v>
      </c>
      <c r="BQ12" s="40">
        <v>0</v>
      </c>
      <c r="BR12" s="40">
        <v>0</v>
      </c>
      <c r="BS12" s="40">
        <v>0</v>
      </c>
      <c r="BT12" s="40">
        <v>455455400</v>
      </c>
      <c r="BU12" s="40">
        <v>369969453</v>
      </c>
      <c r="BV12" s="40">
        <v>825424853</v>
      </c>
      <c r="BW12" s="40">
        <v>41</v>
      </c>
      <c r="BX12" s="40">
        <v>11377827</v>
      </c>
      <c r="BY12" s="40">
        <v>8822405</v>
      </c>
      <c r="BZ12" s="40">
        <v>8822405</v>
      </c>
      <c r="CA12" s="40">
        <v>0</v>
      </c>
      <c r="CB12" s="40">
        <v>845625126</v>
      </c>
      <c r="CC12" s="41"/>
      <c r="CD12" s="41"/>
      <c r="CE12" s="42"/>
      <c r="CF12" s="42"/>
      <c r="CG12" s="42"/>
      <c r="CH12" s="42"/>
    </row>
    <row r="13" spans="1:86">
      <c r="A13" s="38">
        <v>7</v>
      </c>
      <c r="B13" s="65" t="s">
        <v>184</v>
      </c>
      <c r="C13" s="39" t="s">
        <v>183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933666800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>
        <v>0</v>
      </c>
      <c r="AL13" s="40">
        <v>0</v>
      </c>
      <c r="AM13" s="40">
        <v>0</v>
      </c>
      <c r="AN13" s="40">
        <v>0</v>
      </c>
      <c r="AO13" s="40">
        <v>0</v>
      </c>
      <c r="AP13" s="40">
        <v>0</v>
      </c>
      <c r="AQ13" s="40">
        <v>0</v>
      </c>
      <c r="AR13" s="40">
        <v>0</v>
      </c>
      <c r="AS13" s="40">
        <v>0</v>
      </c>
      <c r="AT13" s="40">
        <v>0</v>
      </c>
      <c r="AU13" s="40">
        <v>0</v>
      </c>
      <c r="AV13" s="40">
        <v>0</v>
      </c>
      <c r="AW13" s="40">
        <v>0</v>
      </c>
      <c r="AX13" s="40">
        <v>0</v>
      </c>
      <c r="AY13" s="40">
        <v>0</v>
      </c>
      <c r="AZ13" s="40">
        <v>0</v>
      </c>
      <c r="BA13" s="40">
        <v>0</v>
      </c>
      <c r="BB13" s="40">
        <v>0</v>
      </c>
      <c r="BC13" s="40">
        <v>0</v>
      </c>
      <c r="BD13" s="40">
        <v>0</v>
      </c>
      <c r="BE13" s="40">
        <v>0</v>
      </c>
      <c r="BF13" s="40">
        <v>0</v>
      </c>
      <c r="BG13" s="40">
        <v>0</v>
      </c>
      <c r="BH13" s="40">
        <v>0</v>
      </c>
      <c r="BI13" s="40">
        <v>0</v>
      </c>
      <c r="BJ13" s="40">
        <v>0</v>
      </c>
      <c r="BK13" s="40">
        <v>0</v>
      </c>
      <c r="BL13" s="40">
        <v>0</v>
      </c>
      <c r="BM13" s="40">
        <v>0</v>
      </c>
      <c r="BN13" s="40">
        <v>0</v>
      </c>
      <c r="BO13" s="40">
        <v>0</v>
      </c>
      <c r="BP13" s="40">
        <v>0</v>
      </c>
      <c r="BQ13" s="40">
        <v>0</v>
      </c>
      <c r="BR13" s="40">
        <v>0</v>
      </c>
      <c r="BS13" s="40">
        <v>0</v>
      </c>
      <c r="BT13" s="40">
        <v>933666800</v>
      </c>
      <c r="BU13" s="40">
        <v>9984</v>
      </c>
      <c r="BV13" s="40">
        <v>933676784</v>
      </c>
      <c r="BW13" s="40">
        <v>0</v>
      </c>
      <c r="BX13" s="40">
        <v>37977796</v>
      </c>
      <c r="BY13" s="40">
        <v>2438580</v>
      </c>
      <c r="BZ13" s="40">
        <v>2438580</v>
      </c>
      <c r="CA13" s="40">
        <v>0</v>
      </c>
      <c r="CB13" s="40">
        <v>974093160</v>
      </c>
      <c r="CC13" s="41"/>
      <c r="CD13" s="41"/>
      <c r="CE13" s="42"/>
      <c r="CF13" s="42"/>
      <c r="CG13" s="42"/>
      <c r="CH13" s="42"/>
    </row>
    <row r="14" spans="1:86">
      <c r="A14" s="38">
        <v>8</v>
      </c>
      <c r="B14" s="65" t="s">
        <v>182</v>
      </c>
      <c r="C14" s="39" t="s">
        <v>181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8082618300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  <c r="AI14" s="40">
        <v>0</v>
      </c>
      <c r="AJ14" s="40">
        <v>0</v>
      </c>
      <c r="AK14" s="40">
        <v>0</v>
      </c>
      <c r="AL14" s="40">
        <v>0</v>
      </c>
      <c r="AM14" s="40">
        <v>0</v>
      </c>
      <c r="AN14" s="40">
        <v>0</v>
      </c>
      <c r="AO14" s="40">
        <v>0</v>
      </c>
      <c r="AP14" s="40">
        <v>0</v>
      </c>
      <c r="AQ14" s="40">
        <v>0</v>
      </c>
      <c r="AR14" s="40">
        <v>0</v>
      </c>
      <c r="AS14" s="40">
        <v>0</v>
      </c>
      <c r="AT14" s="40">
        <v>0</v>
      </c>
      <c r="AU14" s="40">
        <v>0</v>
      </c>
      <c r="AV14" s="40">
        <v>0</v>
      </c>
      <c r="AW14" s="40">
        <v>0</v>
      </c>
      <c r="AX14" s="40">
        <v>0</v>
      </c>
      <c r="AY14" s="40">
        <v>0</v>
      </c>
      <c r="AZ14" s="40">
        <v>0</v>
      </c>
      <c r="BA14" s="40">
        <v>0</v>
      </c>
      <c r="BB14" s="40">
        <v>0</v>
      </c>
      <c r="BC14" s="40">
        <v>0</v>
      </c>
      <c r="BD14" s="40">
        <v>0</v>
      </c>
      <c r="BE14" s="40">
        <v>0</v>
      </c>
      <c r="BF14" s="40">
        <v>0</v>
      </c>
      <c r="BG14" s="40">
        <v>0</v>
      </c>
      <c r="BH14" s="40">
        <v>0</v>
      </c>
      <c r="BI14" s="40">
        <v>0</v>
      </c>
      <c r="BJ14" s="40">
        <v>0</v>
      </c>
      <c r="BK14" s="40">
        <v>0</v>
      </c>
      <c r="BL14" s="40">
        <v>0</v>
      </c>
      <c r="BM14" s="40">
        <v>0</v>
      </c>
      <c r="BN14" s="40">
        <v>0</v>
      </c>
      <c r="BO14" s="40">
        <v>0</v>
      </c>
      <c r="BP14" s="40">
        <v>0</v>
      </c>
      <c r="BQ14" s="40">
        <v>0</v>
      </c>
      <c r="BR14" s="40">
        <v>0</v>
      </c>
      <c r="BS14" s="40">
        <v>0</v>
      </c>
      <c r="BT14" s="40">
        <v>8082618300</v>
      </c>
      <c r="BU14" s="40">
        <v>320059699</v>
      </c>
      <c r="BV14" s="40">
        <v>8402677999</v>
      </c>
      <c r="BW14" s="40">
        <v>0</v>
      </c>
      <c r="BX14" s="40">
        <v>334753222</v>
      </c>
      <c r="BY14" s="40">
        <v>16006089</v>
      </c>
      <c r="BZ14" s="40">
        <v>16006089</v>
      </c>
      <c r="CA14" s="40">
        <v>0</v>
      </c>
      <c r="CB14" s="40">
        <v>8753437310</v>
      </c>
      <c r="CC14" s="41"/>
      <c r="CD14" s="41"/>
      <c r="CE14" s="42"/>
      <c r="CF14" s="42"/>
      <c r="CG14" s="42"/>
      <c r="CH14" s="42"/>
    </row>
    <row r="15" spans="1:86" ht="22.5">
      <c r="A15" s="38">
        <v>9</v>
      </c>
      <c r="B15" s="65" t="s">
        <v>102</v>
      </c>
      <c r="C15" s="39" t="s">
        <v>180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481705202</v>
      </c>
      <c r="M15" s="40">
        <v>0</v>
      </c>
      <c r="N15" s="40">
        <v>0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0</v>
      </c>
      <c r="Z15" s="40">
        <v>0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  <c r="AI15" s="40">
        <v>0</v>
      </c>
      <c r="AJ15" s="40">
        <v>0</v>
      </c>
      <c r="AK15" s="40">
        <v>0</v>
      </c>
      <c r="AL15" s="40">
        <v>0</v>
      </c>
      <c r="AM15" s="40">
        <v>0</v>
      </c>
      <c r="AN15" s="40">
        <v>0</v>
      </c>
      <c r="AO15" s="40">
        <v>0</v>
      </c>
      <c r="AP15" s="40">
        <v>0</v>
      </c>
      <c r="AQ15" s="40">
        <v>0</v>
      </c>
      <c r="AR15" s="40">
        <v>0</v>
      </c>
      <c r="AS15" s="40">
        <v>0</v>
      </c>
      <c r="AT15" s="40">
        <v>0</v>
      </c>
      <c r="AU15" s="40">
        <v>0</v>
      </c>
      <c r="AV15" s="40">
        <v>0</v>
      </c>
      <c r="AW15" s="40">
        <v>0</v>
      </c>
      <c r="AX15" s="40">
        <v>0</v>
      </c>
      <c r="AY15" s="40">
        <v>0</v>
      </c>
      <c r="AZ15" s="40">
        <v>0</v>
      </c>
      <c r="BA15" s="40">
        <v>0</v>
      </c>
      <c r="BB15" s="40">
        <v>0</v>
      </c>
      <c r="BC15" s="40">
        <v>0</v>
      </c>
      <c r="BD15" s="40">
        <v>0</v>
      </c>
      <c r="BE15" s="40">
        <v>0</v>
      </c>
      <c r="BF15" s="40">
        <v>0</v>
      </c>
      <c r="BG15" s="40">
        <v>0</v>
      </c>
      <c r="BH15" s="40">
        <v>0</v>
      </c>
      <c r="BI15" s="40">
        <v>0</v>
      </c>
      <c r="BJ15" s="40">
        <v>0</v>
      </c>
      <c r="BK15" s="40">
        <v>0</v>
      </c>
      <c r="BL15" s="40">
        <v>0</v>
      </c>
      <c r="BM15" s="40">
        <v>0</v>
      </c>
      <c r="BN15" s="40">
        <v>0</v>
      </c>
      <c r="BO15" s="40">
        <v>0</v>
      </c>
      <c r="BP15" s="40">
        <v>0</v>
      </c>
      <c r="BQ15" s="40">
        <v>0</v>
      </c>
      <c r="BR15" s="40">
        <v>0</v>
      </c>
      <c r="BS15" s="40">
        <v>0</v>
      </c>
      <c r="BT15" s="40">
        <v>481705202</v>
      </c>
      <c r="BU15" s="40">
        <v>34177565</v>
      </c>
      <c r="BV15" s="40">
        <v>515882767</v>
      </c>
      <c r="BW15" s="40">
        <v>142193694</v>
      </c>
      <c r="BX15" s="40">
        <v>20960070</v>
      </c>
      <c r="BY15" s="40">
        <v>9171222</v>
      </c>
      <c r="BZ15" s="40">
        <v>9171222</v>
      </c>
      <c r="CA15" s="40">
        <v>0</v>
      </c>
      <c r="CB15" s="40">
        <v>688207753</v>
      </c>
      <c r="CC15" s="41"/>
      <c r="CD15" s="41"/>
      <c r="CE15" s="42"/>
      <c r="CF15" s="42"/>
      <c r="CG15" s="42"/>
      <c r="CH15" s="42"/>
    </row>
    <row r="16" spans="1:86" ht="22.5">
      <c r="A16" s="38">
        <v>10</v>
      </c>
      <c r="B16" s="65" t="s">
        <v>86</v>
      </c>
      <c r="C16" s="39" t="s">
        <v>85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1051670400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40">
        <v>0</v>
      </c>
      <c r="AR16" s="40">
        <v>0</v>
      </c>
      <c r="AS16" s="40">
        <v>0</v>
      </c>
      <c r="AT16" s="40">
        <v>0</v>
      </c>
      <c r="AU16" s="40">
        <v>0</v>
      </c>
      <c r="AV16" s="40">
        <v>0</v>
      </c>
      <c r="AW16" s="40">
        <v>0</v>
      </c>
      <c r="AX16" s="40">
        <v>0</v>
      </c>
      <c r="AY16" s="40">
        <v>0</v>
      </c>
      <c r="AZ16" s="40">
        <v>0</v>
      </c>
      <c r="BA16" s="40">
        <v>0</v>
      </c>
      <c r="BB16" s="40">
        <v>0</v>
      </c>
      <c r="BC16" s="40">
        <v>0</v>
      </c>
      <c r="BD16" s="40">
        <v>0</v>
      </c>
      <c r="BE16" s="40">
        <v>0</v>
      </c>
      <c r="BF16" s="40">
        <v>0</v>
      </c>
      <c r="BG16" s="40">
        <v>0</v>
      </c>
      <c r="BH16" s="40">
        <v>0</v>
      </c>
      <c r="BI16" s="40">
        <v>0</v>
      </c>
      <c r="BJ16" s="40">
        <v>0</v>
      </c>
      <c r="BK16" s="40">
        <v>0</v>
      </c>
      <c r="BL16" s="40">
        <v>0</v>
      </c>
      <c r="BM16" s="40">
        <v>0</v>
      </c>
      <c r="BN16" s="40">
        <v>0</v>
      </c>
      <c r="BO16" s="40">
        <v>0</v>
      </c>
      <c r="BP16" s="40">
        <v>0</v>
      </c>
      <c r="BQ16" s="40">
        <v>0</v>
      </c>
      <c r="BR16" s="40">
        <v>0</v>
      </c>
      <c r="BS16" s="40">
        <v>0</v>
      </c>
      <c r="BT16" s="40">
        <v>1051670400</v>
      </c>
      <c r="BU16" s="40">
        <v>1105907</v>
      </c>
      <c r="BV16" s="40">
        <v>1052776307</v>
      </c>
      <c r="BW16" s="40">
        <v>0</v>
      </c>
      <c r="BX16" s="40">
        <v>0</v>
      </c>
      <c r="BY16" s="40">
        <v>1090561</v>
      </c>
      <c r="BZ16" s="40">
        <v>1090561</v>
      </c>
      <c r="CA16" s="40">
        <v>0</v>
      </c>
      <c r="CB16" s="40">
        <v>1053866868</v>
      </c>
      <c r="CC16" s="41"/>
      <c r="CD16" s="41"/>
      <c r="CE16" s="42"/>
      <c r="CF16" s="42"/>
      <c r="CG16" s="42"/>
      <c r="CH16" s="42"/>
    </row>
    <row r="17" spans="1:86">
      <c r="A17" s="38">
        <v>11</v>
      </c>
      <c r="B17" s="65" t="s">
        <v>179</v>
      </c>
      <c r="C17" s="39" t="s">
        <v>178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0</v>
      </c>
      <c r="N17" s="40">
        <v>5435878989</v>
      </c>
      <c r="O17" s="40">
        <v>0</v>
      </c>
      <c r="P17" s="40">
        <v>0</v>
      </c>
      <c r="Q17" s="40">
        <v>0</v>
      </c>
      <c r="R17" s="40">
        <v>0</v>
      </c>
      <c r="S17" s="40">
        <v>0</v>
      </c>
      <c r="T17" s="40">
        <v>0</v>
      </c>
      <c r="U17" s="40">
        <v>0</v>
      </c>
      <c r="V17" s="40">
        <v>0</v>
      </c>
      <c r="W17" s="40">
        <v>0</v>
      </c>
      <c r="X17" s="40">
        <v>0</v>
      </c>
      <c r="Y17" s="40">
        <v>0</v>
      </c>
      <c r="Z17" s="40">
        <v>0</v>
      </c>
      <c r="AA17" s="40">
        <v>0</v>
      </c>
      <c r="AB17" s="40">
        <v>0</v>
      </c>
      <c r="AC17" s="40">
        <v>0</v>
      </c>
      <c r="AD17" s="40">
        <v>0</v>
      </c>
      <c r="AE17" s="40">
        <v>0</v>
      </c>
      <c r="AF17" s="40">
        <v>0</v>
      </c>
      <c r="AG17" s="40">
        <v>0</v>
      </c>
      <c r="AH17" s="40">
        <v>0</v>
      </c>
      <c r="AI17" s="40">
        <v>0</v>
      </c>
      <c r="AJ17" s="40">
        <v>0</v>
      </c>
      <c r="AK17" s="40">
        <v>0</v>
      </c>
      <c r="AL17" s="40">
        <v>0</v>
      </c>
      <c r="AM17" s="40">
        <v>0</v>
      </c>
      <c r="AN17" s="40">
        <v>0</v>
      </c>
      <c r="AO17" s="40">
        <v>0</v>
      </c>
      <c r="AP17" s="40">
        <v>0</v>
      </c>
      <c r="AQ17" s="40">
        <v>0</v>
      </c>
      <c r="AR17" s="40">
        <v>0</v>
      </c>
      <c r="AS17" s="40">
        <v>0</v>
      </c>
      <c r="AT17" s="40">
        <v>0</v>
      </c>
      <c r="AU17" s="40">
        <v>0</v>
      </c>
      <c r="AV17" s="40">
        <v>0</v>
      </c>
      <c r="AW17" s="40">
        <v>0</v>
      </c>
      <c r="AX17" s="40">
        <v>0</v>
      </c>
      <c r="AY17" s="40">
        <v>0</v>
      </c>
      <c r="AZ17" s="40">
        <v>0</v>
      </c>
      <c r="BA17" s="40">
        <v>0</v>
      </c>
      <c r="BB17" s="40">
        <v>0</v>
      </c>
      <c r="BC17" s="40">
        <v>0</v>
      </c>
      <c r="BD17" s="40">
        <v>0</v>
      </c>
      <c r="BE17" s="40">
        <v>0</v>
      </c>
      <c r="BF17" s="40">
        <v>0</v>
      </c>
      <c r="BG17" s="40">
        <v>0</v>
      </c>
      <c r="BH17" s="40">
        <v>0</v>
      </c>
      <c r="BI17" s="40">
        <v>0</v>
      </c>
      <c r="BJ17" s="40">
        <v>0</v>
      </c>
      <c r="BK17" s="40">
        <v>0</v>
      </c>
      <c r="BL17" s="40">
        <v>0</v>
      </c>
      <c r="BM17" s="40">
        <v>0</v>
      </c>
      <c r="BN17" s="40">
        <v>0</v>
      </c>
      <c r="BO17" s="40">
        <v>0</v>
      </c>
      <c r="BP17" s="40">
        <v>0</v>
      </c>
      <c r="BQ17" s="40">
        <v>0</v>
      </c>
      <c r="BR17" s="40">
        <v>0</v>
      </c>
      <c r="BS17" s="40">
        <v>0</v>
      </c>
      <c r="BT17" s="40">
        <v>5435878989</v>
      </c>
      <c r="BU17" s="40">
        <v>2776234826</v>
      </c>
      <c r="BV17" s="40">
        <v>8212113815</v>
      </c>
      <c r="BW17" s="40">
        <v>6258827019</v>
      </c>
      <c r="BX17" s="40">
        <v>175121137</v>
      </c>
      <c r="BY17" s="40">
        <v>1018734632</v>
      </c>
      <c r="BZ17" s="40">
        <v>1018734632</v>
      </c>
      <c r="CA17" s="40">
        <v>0</v>
      </c>
      <c r="CB17" s="40">
        <v>15664796603</v>
      </c>
      <c r="CC17" s="41"/>
      <c r="CD17" s="41"/>
      <c r="CE17" s="42"/>
      <c r="CF17" s="42"/>
      <c r="CG17" s="42"/>
      <c r="CH17" s="42"/>
    </row>
    <row r="18" spans="1:86">
      <c r="A18" s="38">
        <v>12</v>
      </c>
      <c r="B18" s="65" t="s">
        <v>84</v>
      </c>
      <c r="C18" s="39" t="s">
        <v>83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303763500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0</v>
      </c>
      <c r="AP18" s="40">
        <v>0</v>
      </c>
      <c r="AQ18" s="40">
        <v>0</v>
      </c>
      <c r="AR18" s="40">
        <v>0</v>
      </c>
      <c r="AS18" s="40">
        <v>0</v>
      </c>
      <c r="AT18" s="40">
        <v>0</v>
      </c>
      <c r="AU18" s="40">
        <v>0</v>
      </c>
      <c r="AV18" s="40">
        <v>0</v>
      </c>
      <c r="AW18" s="40">
        <v>0</v>
      </c>
      <c r="AX18" s="40">
        <v>0</v>
      </c>
      <c r="AY18" s="40">
        <v>0</v>
      </c>
      <c r="AZ18" s="40">
        <v>0</v>
      </c>
      <c r="BA18" s="40">
        <v>0</v>
      </c>
      <c r="BB18" s="40">
        <v>0</v>
      </c>
      <c r="BC18" s="40">
        <v>0</v>
      </c>
      <c r="BD18" s="40">
        <v>0</v>
      </c>
      <c r="BE18" s="40">
        <v>0</v>
      </c>
      <c r="BF18" s="40">
        <v>0</v>
      </c>
      <c r="BG18" s="40">
        <v>0</v>
      </c>
      <c r="BH18" s="40">
        <v>0</v>
      </c>
      <c r="BI18" s="40">
        <v>0</v>
      </c>
      <c r="BJ18" s="40">
        <v>0</v>
      </c>
      <c r="BK18" s="40">
        <v>0</v>
      </c>
      <c r="BL18" s="40">
        <v>0</v>
      </c>
      <c r="BM18" s="40">
        <v>0</v>
      </c>
      <c r="BN18" s="40">
        <v>0</v>
      </c>
      <c r="BO18" s="40">
        <v>0</v>
      </c>
      <c r="BP18" s="40">
        <v>0</v>
      </c>
      <c r="BQ18" s="40">
        <v>0</v>
      </c>
      <c r="BR18" s="40">
        <v>0</v>
      </c>
      <c r="BS18" s="40">
        <v>0</v>
      </c>
      <c r="BT18" s="40">
        <v>303763500</v>
      </c>
      <c r="BU18" s="40">
        <v>186306415</v>
      </c>
      <c r="BV18" s="40">
        <v>490069915</v>
      </c>
      <c r="BW18" s="40">
        <v>99978101</v>
      </c>
      <c r="BX18" s="40">
        <v>19014075</v>
      </c>
      <c r="BY18" s="40">
        <v>368286662</v>
      </c>
      <c r="BZ18" s="40">
        <v>368286662</v>
      </c>
      <c r="CA18" s="40">
        <v>0</v>
      </c>
      <c r="CB18" s="40">
        <v>977348753</v>
      </c>
      <c r="CC18" s="41"/>
      <c r="CD18" s="41"/>
      <c r="CE18" s="42"/>
      <c r="CF18" s="42"/>
      <c r="CG18" s="42"/>
      <c r="CH18" s="42"/>
    </row>
    <row r="19" spans="1:86">
      <c r="A19" s="38">
        <v>13</v>
      </c>
      <c r="B19" s="65" t="s">
        <v>101</v>
      </c>
      <c r="C19" s="39" t="s">
        <v>177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129499498</v>
      </c>
      <c r="Q19" s="40">
        <v>0</v>
      </c>
      <c r="R19" s="40">
        <v>0</v>
      </c>
      <c r="S19" s="40">
        <v>0</v>
      </c>
      <c r="T19" s="40">
        <v>0</v>
      </c>
      <c r="U19" s="40">
        <v>0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0</v>
      </c>
      <c r="AC19" s="40">
        <v>0</v>
      </c>
      <c r="AD19" s="40">
        <v>0</v>
      </c>
      <c r="AE19" s="40">
        <v>0</v>
      </c>
      <c r="AF19" s="40">
        <v>0</v>
      </c>
      <c r="AG19" s="40">
        <v>0</v>
      </c>
      <c r="AH19" s="40">
        <v>0</v>
      </c>
      <c r="AI19" s="40">
        <v>0</v>
      </c>
      <c r="AJ19" s="40">
        <v>0</v>
      </c>
      <c r="AK19" s="40">
        <v>0</v>
      </c>
      <c r="AL19" s="40">
        <v>0</v>
      </c>
      <c r="AM19" s="40">
        <v>0</v>
      </c>
      <c r="AN19" s="40">
        <v>0</v>
      </c>
      <c r="AO19" s="40">
        <v>0</v>
      </c>
      <c r="AP19" s="40">
        <v>0</v>
      </c>
      <c r="AQ19" s="40">
        <v>0</v>
      </c>
      <c r="AR19" s="40">
        <v>0</v>
      </c>
      <c r="AS19" s="40">
        <v>0</v>
      </c>
      <c r="AT19" s="40">
        <v>0</v>
      </c>
      <c r="AU19" s="40">
        <v>0</v>
      </c>
      <c r="AV19" s="40">
        <v>0</v>
      </c>
      <c r="AW19" s="40">
        <v>0</v>
      </c>
      <c r="AX19" s="40">
        <v>0</v>
      </c>
      <c r="AY19" s="40">
        <v>0</v>
      </c>
      <c r="AZ19" s="40">
        <v>0</v>
      </c>
      <c r="BA19" s="40">
        <v>0</v>
      </c>
      <c r="BB19" s="40">
        <v>0</v>
      </c>
      <c r="BC19" s="40">
        <v>0</v>
      </c>
      <c r="BD19" s="40">
        <v>0</v>
      </c>
      <c r="BE19" s="40">
        <v>0</v>
      </c>
      <c r="BF19" s="40">
        <v>0</v>
      </c>
      <c r="BG19" s="40">
        <v>0</v>
      </c>
      <c r="BH19" s="40">
        <v>0</v>
      </c>
      <c r="BI19" s="40">
        <v>0</v>
      </c>
      <c r="BJ19" s="40">
        <v>0</v>
      </c>
      <c r="BK19" s="40">
        <v>0</v>
      </c>
      <c r="BL19" s="40">
        <v>0</v>
      </c>
      <c r="BM19" s="40">
        <v>0</v>
      </c>
      <c r="BN19" s="40">
        <v>0</v>
      </c>
      <c r="BO19" s="40">
        <v>0</v>
      </c>
      <c r="BP19" s="40">
        <v>0</v>
      </c>
      <c r="BQ19" s="40">
        <v>0</v>
      </c>
      <c r="BR19" s="40">
        <v>0</v>
      </c>
      <c r="BS19" s="40">
        <v>0</v>
      </c>
      <c r="BT19" s="40">
        <v>129499498</v>
      </c>
      <c r="BU19" s="40">
        <v>680816820</v>
      </c>
      <c r="BV19" s="40">
        <v>810316318</v>
      </c>
      <c r="BW19" s="40">
        <v>313005985</v>
      </c>
      <c r="BX19" s="40">
        <v>17074682</v>
      </c>
      <c r="BY19" s="40">
        <v>78970287</v>
      </c>
      <c r="BZ19" s="40">
        <v>78970287</v>
      </c>
      <c r="CA19" s="40">
        <v>0</v>
      </c>
      <c r="CB19" s="40">
        <v>1219367272</v>
      </c>
      <c r="CC19" s="41"/>
      <c r="CD19" s="41"/>
      <c r="CE19" s="42"/>
      <c r="CF19" s="42"/>
      <c r="CG19" s="42"/>
      <c r="CH19" s="42"/>
    </row>
    <row r="20" spans="1:86">
      <c r="A20" s="38">
        <v>14</v>
      </c>
      <c r="B20" s="65" t="s">
        <v>100</v>
      </c>
      <c r="C20" s="39" t="s">
        <v>82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90285800</v>
      </c>
      <c r="R20" s="40">
        <v>0</v>
      </c>
      <c r="S20" s="40">
        <v>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>
        <v>0</v>
      </c>
      <c r="AH20" s="40">
        <v>0</v>
      </c>
      <c r="AI20" s="40">
        <v>0</v>
      </c>
      <c r="AJ20" s="40">
        <v>0</v>
      </c>
      <c r="AK20" s="40">
        <v>0</v>
      </c>
      <c r="AL20" s="40">
        <v>0</v>
      </c>
      <c r="AM20" s="40">
        <v>0</v>
      </c>
      <c r="AN20" s="40">
        <v>0</v>
      </c>
      <c r="AO20" s="40">
        <v>0</v>
      </c>
      <c r="AP20" s="40">
        <v>0</v>
      </c>
      <c r="AQ20" s="40">
        <v>0</v>
      </c>
      <c r="AR20" s="40">
        <v>0</v>
      </c>
      <c r="AS20" s="40">
        <v>0</v>
      </c>
      <c r="AT20" s="40">
        <v>0</v>
      </c>
      <c r="AU20" s="40">
        <v>0</v>
      </c>
      <c r="AV20" s="40">
        <v>0</v>
      </c>
      <c r="AW20" s="40">
        <v>0</v>
      </c>
      <c r="AX20" s="40">
        <v>0</v>
      </c>
      <c r="AY20" s="40">
        <v>0</v>
      </c>
      <c r="AZ20" s="40">
        <v>0</v>
      </c>
      <c r="BA20" s="40">
        <v>0</v>
      </c>
      <c r="BB20" s="40">
        <v>0</v>
      </c>
      <c r="BC20" s="40">
        <v>0</v>
      </c>
      <c r="BD20" s="40">
        <v>0</v>
      </c>
      <c r="BE20" s="40">
        <v>0</v>
      </c>
      <c r="BF20" s="40">
        <v>0</v>
      </c>
      <c r="BG20" s="40">
        <v>0</v>
      </c>
      <c r="BH20" s="40">
        <v>0</v>
      </c>
      <c r="BI20" s="40">
        <v>0</v>
      </c>
      <c r="BJ20" s="40">
        <v>0</v>
      </c>
      <c r="BK20" s="40">
        <v>0</v>
      </c>
      <c r="BL20" s="40">
        <v>0</v>
      </c>
      <c r="BM20" s="40">
        <v>0</v>
      </c>
      <c r="BN20" s="40">
        <v>0</v>
      </c>
      <c r="BO20" s="40">
        <v>0</v>
      </c>
      <c r="BP20" s="40">
        <v>0</v>
      </c>
      <c r="BQ20" s="40">
        <v>0</v>
      </c>
      <c r="BR20" s="40">
        <v>0</v>
      </c>
      <c r="BS20" s="40">
        <v>0</v>
      </c>
      <c r="BT20" s="40">
        <v>90285800</v>
      </c>
      <c r="BU20" s="40">
        <v>1621663107</v>
      </c>
      <c r="BV20" s="40">
        <v>1711948907</v>
      </c>
      <c r="BW20" s="40">
        <v>1255552966</v>
      </c>
      <c r="BX20" s="40">
        <v>42892348</v>
      </c>
      <c r="BY20" s="40">
        <v>277503178</v>
      </c>
      <c r="BZ20" s="40">
        <v>277503178</v>
      </c>
      <c r="CA20" s="40">
        <v>0</v>
      </c>
      <c r="CB20" s="40">
        <v>3287897399</v>
      </c>
      <c r="CC20" s="41"/>
      <c r="CD20" s="41"/>
      <c r="CE20" s="42"/>
      <c r="CF20" s="42"/>
      <c r="CG20" s="42"/>
      <c r="CH20" s="42"/>
    </row>
    <row r="21" spans="1:86">
      <c r="A21" s="38">
        <v>15</v>
      </c>
      <c r="B21" s="65" t="s">
        <v>81</v>
      </c>
      <c r="C21" s="39" t="s">
        <v>80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40">
        <v>0</v>
      </c>
      <c r="P21" s="40">
        <v>0</v>
      </c>
      <c r="Q21" s="40">
        <v>0</v>
      </c>
      <c r="R21" s="40">
        <v>15607100</v>
      </c>
      <c r="S21" s="40">
        <v>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40">
        <v>0</v>
      </c>
      <c r="AH21" s="40">
        <v>0</v>
      </c>
      <c r="AI21" s="40">
        <v>0</v>
      </c>
      <c r="AJ21" s="40">
        <v>0</v>
      </c>
      <c r="AK21" s="40">
        <v>0</v>
      </c>
      <c r="AL21" s="40">
        <v>0</v>
      </c>
      <c r="AM21" s="40">
        <v>0</v>
      </c>
      <c r="AN21" s="40">
        <v>0</v>
      </c>
      <c r="AO21" s="40">
        <v>0</v>
      </c>
      <c r="AP21" s="40">
        <v>0</v>
      </c>
      <c r="AQ21" s="40">
        <v>0</v>
      </c>
      <c r="AR21" s="40">
        <v>0</v>
      </c>
      <c r="AS21" s="40">
        <v>0</v>
      </c>
      <c r="AT21" s="40">
        <v>0</v>
      </c>
      <c r="AU21" s="40">
        <v>0</v>
      </c>
      <c r="AV21" s="40">
        <v>0</v>
      </c>
      <c r="AW21" s="40">
        <v>0</v>
      </c>
      <c r="AX21" s="40">
        <v>0</v>
      </c>
      <c r="AY21" s="40">
        <v>0</v>
      </c>
      <c r="AZ21" s="40">
        <v>0</v>
      </c>
      <c r="BA21" s="40">
        <v>0</v>
      </c>
      <c r="BB21" s="40">
        <v>0</v>
      </c>
      <c r="BC21" s="40">
        <v>0</v>
      </c>
      <c r="BD21" s="40">
        <v>0</v>
      </c>
      <c r="BE21" s="40">
        <v>0</v>
      </c>
      <c r="BF21" s="40">
        <v>0</v>
      </c>
      <c r="BG21" s="40">
        <v>0</v>
      </c>
      <c r="BH21" s="40">
        <v>0</v>
      </c>
      <c r="BI21" s="40">
        <v>0</v>
      </c>
      <c r="BJ21" s="40">
        <v>0</v>
      </c>
      <c r="BK21" s="40">
        <v>0</v>
      </c>
      <c r="BL21" s="40">
        <v>0</v>
      </c>
      <c r="BM21" s="40">
        <v>0</v>
      </c>
      <c r="BN21" s="40">
        <v>0</v>
      </c>
      <c r="BO21" s="40">
        <v>0</v>
      </c>
      <c r="BP21" s="40">
        <v>0</v>
      </c>
      <c r="BQ21" s="40">
        <v>0</v>
      </c>
      <c r="BR21" s="40">
        <v>0</v>
      </c>
      <c r="BS21" s="40">
        <v>0</v>
      </c>
      <c r="BT21" s="40">
        <v>15607100</v>
      </c>
      <c r="BU21" s="40">
        <v>468334705</v>
      </c>
      <c r="BV21" s="40">
        <v>483941805</v>
      </c>
      <c r="BW21" s="40">
        <v>297032736</v>
      </c>
      <c r="BX21" s="40">
        <v>12063682</v>
      </c>
      <c r="BY21" s="40">
        <v>76756907</v>
      </c>
      <c r="BZ21" s="40">
        <v>76756907</v>
      </c>
      <c r="CA21" s="40">
        <v>0</v>
      </c>
      <c r="CB21" s="40">
        <v>869795130</v>
      </c>
      <c r="CC21" s="41"/>
      <c r="CD21" s="41"/>
      <c r="CE21" s="42"/>
      <c r="CF21" s="42"/>
      <c r="CG21" s="42"/>
      <c r="CH21" s="42"/>
    </row>
    <row r="22" spans="1:86" ht="33.75">
      <c r="A22" s="38">
        <v>16</v>
      </c>
      <c r="B22" s="65" t="s">
        <v>79</v>
      </c>
      <c r="C22" s="39" t="s">
        <v>78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68761900</v>
      </c>
      <c r="T22" s="40">
        <v>0</v>
      </c>
      <c r="U22" s="40">
        <v>0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0</v>
      </c>
      <c r="AC22" s="40">
        <v>0</v>
      </c>
      <c r="AD22" s="40">
        <v>0</v>
      </c>
      <c r="AE22" s="40">
        <v>0</v>
      </c>
      <c r="AF22" s="40">
        <v>0</v>
      </c>
      <c r="AG22" s="40">
        <v>0</v>
      </c>
      <c r="AH22" s="40">
        <v>0</v>
      </c>
      <c r="AI22" s="40">
        <v>0</v>
      </c>
      <c r="AJ22" s="40">
        <v>0</v>
      </c>
      <c r="AK22" s="40">
        <v>0</v>
      </c>
      <c r="AL22" s="40">
        <v>0</v>
      </c>
      <c r="AM22" s="40">
        <v>0</v>
      </c>
      <c r="AN22" s="40">
        <v>0</v>
      </c>
      <c r="AO22" s="40">
        <v>0</v>
      </c>
      <c r="AP22" s="40">
        <v>0</v>
      </c>
      <c r="AQ22" s="40">
        <v>0</v>
      </c>
      <c r="AR22" s="40">
        <v>0</v>
      </c>
      <c r="AS22" s="40">
        <v>0</v>
      </c>
      <c r="AT22" s="40">
        <v>0</v>
      </c>
      <c r="AU22" s="40">
        <v>0</v>
      </c>
      <c r="AV22" s="40">
        <v>0</v>
      </c>
      <c r="AW22" s="40">
        <v>0</v>
      </c>
      <c r="AX22" s="40">
        <v>0</v>
      </c>
      <c r="AY22" s="40">
        <v>0</v>
      </c>
      <c r="AZ22" s="40">
        <v>0</v>
      </c>
      <c r="BA22" s="40">
        <v>0</v>
      </c>
      <c r="BB22" s="40">
        <v>0</v>
      </c>
      <c r="BC22" s="40">
        <v>0</v>
      </c>
      <c r="BD22" s="40">
        <v>0</v>
      </c>
      <c r="BE22" s="40">
        <v>0</v>
      </c>
      <c r="BF22" s="40">
        <v>0</v>
      </c>
      <c r="BG22" s="40">
        <v>0</v>
      </c>
      <c r="BH22" s="40">
        <v>0</v>
      </c>
      <c r="BI22" s="40">
        <v>0</v>
      </c>
      <c r="BJ22" s="40">
        <v>0</v>
      </c>
      <c r="BK22" s="40">
        <v>0</v>
      </c>
      <c r="BL22" s="40">
        <v>0</v>
      </c>
      <c r="BM22" s="40">
        <v>0</v>
      </c>
      <c r="BN22" s="40">
        <v>0</v>
      </c>
      <c r="BO22" s="40">
        <v>0</v>
      </c>
      <c r="BP22" s="40">
        <v>0</v>
      </c>
      <c r="BQ22" s="40">
        <v>0</v>
      </c>
      <c r="BR22" s="40">
        <v>0</v>
      </c>
      <c r="BS22" s="40">
        <v>0</v>
      </c>
      <c r="BT22" s="40">
        <v>68761900</v>
      </c>
      <c r="BU22" s="40">
        <v>297601190</v>
      </c>
      <c r="BV22" s="40">
        <v>366363090</v>
      </c>
      <c r="BW22" s="40">
        <v>240947948</v>
      </c>
      <c r="BX22" s="40">
        <v>8414135</v>
      </c>
      <c r="BY22" s="40">
        <v>16620437</v>
      </c>
      <c r="BZ22" s="40">
        <v>16620437</v>
      </c>
      <c r="CA22" s="40">
        <v>0</v>
      </c>
      <c r="CB22" s="40">
        <v>632345610</v>
      </c>
      <c r="CC22" s="41"/>
      <c r="CD22" s="41"/>
      <c r="CE22" s="42"/>
      <c r="CF22" s="42"/>
      <c r="CG22" s="42"/>
      <c r="CH22" s="42"/>
    </row>
    <row r="23" spans="1:86">
      <c r="A23" s="38">
        <v>17</v>
      </c>
      <c r="B23" s="65" t="s">
        <v>77</v>
      </c>
      <c r="C23" s="39" t="s">
        <v>76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0</v>
      </c>
      <c r="O23" s="40">
        <v>0</v>
      </c>
      <c r="P23" s="40">
        <v>0</v>
      </c>
      <c r="Q23" s="40">
        <v>0</v>
      </c>
      <c r="R23" s="40">
        <v>0</v>
      </c>
      <c r="S23" s="40">
        <v>0</v>
      </c>
      <c r="T23" s="40">
        <v>166954001</v>
      </c>
      <c r="U23" s="40">
        <v>0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0</v>
      </c>
      <c r="AB23" s="40">
        <v>0</v>
      </c>
      <c r="AC23" s="40">
        <v>0</v>
      </c>
      <c r="AD23" s="40">
        <v>0</v>
      </c>
      <c r="AE23" s="40">
        <v>0</v>
      </c>
      <c r="AF23" s="40">
        <v>0</v>
      </c>
      <c r="AG23" s="40">
        <v>0</v>
      </c>
      <c r="AH23" s="40">
        <v>0</v>
      </c>
      <c r="AI23" s="40">
        <v>0</v>
      </c>
      <c r="AJ23" s="40">
        <v>0</v>
      </c>
      <c r="AK23" s="40">
        <v>0</v>
      </c>
      <c r="AL23" s="40">
        <v>0</v>
      </c>
      <c r="AM23" s="40">
        <v>0</v>
      </c>
      <c r="AN23" s="40">
        <v>0</v>
      </c>
      <c r="AO23" s="40">
        <v>0</v>
      </c>
      <c r="AP23" s="40">
        <v>0</v>
      </c>
      <c r="AQ23" s="40">
        <v>0</v>
      </c>
      <c r="AR23" s="40">
        <v>0</v>
      </c>
      <c r="AS23" s="40">
        <v>0</v>
      </c>
      <c r="AT23" s="40">
        <v>0</v>
      </c>
      <c r="AU23" s="40">
        <v>0</v>
      </c>
      <c r="AV23" s="40">
        <v>0</v>
      </c>
      <c r="AW23" s="40">
        <v>0</v>
      </c>
      <c r="AX23" s="40">
        <v>0</v>
      </c>
      <c r="AY23" s="40">
        <v>0</v>
      </c>
      <c r="AZ23" s="40">
        <v>0</v>
      </c>
      <c r="BA23" s="40">
        <v>0</v>
      </c>
      <c r="BB23" s="40">
        <v>0</v>
      </c>
      <c r="BC23" s="40">
        <v>0</v>
      </c>
      <c r="BD23" s="40">
        <v>0</v>
      </c>
      <c r="BE23" s="40">
        <v>0</v>
      </c>
      <c r="BF23" s="40">
        <v>0</v>
      </c>
      <c r="BG23" s="40">
        <v>0</v>
      </c>
      <c r="BH23" s="40">
        <v>0</v>
      </c>
      <c r="BI23" s="40">
        <v>0</v>
      </c>
      <c r="BJ23" s="40">
        <v>0</v>
      </c>
      <c r="BK23" s="40">
        <v>0</v>
      </c>
      <c r="BL23" s="40">
        <v>0</v>
      </c>
      <c r="BM23" s="40">
        <v>0</v>
      </c>
      <c r="BN23" s="40">
        <v>0</v>
      </c>
      <c r="BO23" s="40">
        <v>0</v>
      </c>
      <c r="BP23" s="40">
        <v>0</v>
      </c>
      <c r="BQ23" s="40">
        <v>0</v>
      </c>
      <c r="BR23" s="40">
        <v>0</v>
      </c>
      <c r="BS23" s="40">
        <v>0</v>
      </c>
      <c r="BT23" s="40">
        <v>166954001</v>
      </c>
      <c r="BU23" s="40">
        <v>412048905</v>
      </c>
      <c r="BV23" s="40">
        <v>579002906</v>
      </c>
      <c r="BW23" s="40">
        <v>268775696</v>
      </c>
      <c r="BX23" s="40">
        <v>15197074</v>
      </c>
      <c r="BY23" s="40">
        <v>43642713</v>
      </c>
      <c r="BZ23" s="40">
        <v>43642713</v>
      </c>
      <c r="CA23" s="40">
        <v>0</v>
      </c>
      <c r="CB23" s="40">
        <v>906618389</v>
      </c>
      <c r="CC23" s="41"/>
      <c r="CD23" s="41"/>
      <c r="CE23" s="42"/>
      <c r="CF23" s="42"/>
      <c r="CG23" s="42"/>
      <c r="CH23" s="42"/>
    </row>
    <row r="24" spans="1:86">
      <c r="A24" s="38">
        <v>18</v>
      </c>
      <c r="B24" s="65" t="s">
        <v>75</v>
      </c>
      <c r="C24" s="39" t="s">
        <v>74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83594257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0</v>
      </c>
      <c r="AP24" s="40">
        <v>0</v>
      </c>
      <c r="AQ24" s="40">
        <v>0</v>
      </c>
      <c r="AR24" s="40">
        <v>0</v>
      </c>
      <c r="AS24" s="40">
        <v>0</v>
      </c>
      <c r="AT24" s="40">
        <v>0</v>
      </c>
      <c r="AU24" s="40">
        <v>0</v>
      </c>
      <c r="AV24" s="40">
        <v>0</v>
      </c>
      <c r="AW24" s="40">
        <v>0</v>
      </c>
      <c r="AX24" s="40">
        <v>0</v>
      </c>
      <c r="AY24" s="40">
        <v>0</v>
      </c>
      <c r="AZ24" s="40">
        <v>0</v>
      </c>
      <c r="BA24" s="40">
        <v>0</v>
      </c>
      <c r="BB24" s="40">
        <v>0</v>
      </c>
      <c r="BC24" s="40">
        <v>0</v>
      </c>
      <c r="BD24" s="40">
        <v>0</v>
      </c>
      <c r="BE24" s="40">
        <v>0</v>
      </c>
      <c r="BF24" s="40">
        <v>0</v>
      </c>
      <c r="BG24" s="40">
        <v>0</v>
      </c>
      <c r="BH24" s="40">
        <v>0</v>
      </c>
      <c r="BI24" s="40">
        <v>0</v>
      </c>
      <c r="BJ24" s="40">
        <v>0</v>
      </c>
      <c r="BK24" s="40">
        <v>0</v>
      </c>
      <c r="BL24" s="40">
        <v>0</v>
      </c>
      <c r="BM24" s="40">
        <v>0</v>
      </c>
      <c r="BN24" s="40">
        <v>0</v>
      </c>
      <c r="BO24" s="40">
        <v>0</v>
      </c>
      <c r="BP24" s="40">
        <v>0</v>
      </c>
      <c r="BQ24" s="40">
        <v>0</v>
      </c>
      <c r="BR24" s="40">
        <v>0</v>
      </c>
      <c r="BS24" s="40">
        <v>0</v>
      </c>
      <c r="BT24" s="40">
        <v>83594257</v>
      </c>
      <c r="BU24" s="40">
        <v>1878338</v>
      </c>
      <c r="BV24" s="40">
        <v>85472595</v>
      </c>
      <c r="BW24" s="40">
        <v>446643</v>
      </c>
      <c r="BX24" s="40">
        <v>238445</v>
      </c>
      <c r="BY24" s="40">
        <v>4030482</v>
      </c>
      <c r="BZ24" s="40">
        <v>4030482</v>
      </c>
      <c r="CA24" s="40">
        <v>0</v>
      </c>
      <c r="CB24" s="40">
        <v>90188165</v>
      </c>
      <c r="CC24" s="41"/>
      <c r="CD24" s="41"/>
      <c r="CE24" s="42"/>
      <c r="CF24" s="42"/>
      <c r="CG24" s="42"/>
      <c r="CH24" s="42"/>
    </row>
    <row r="25" spans="1:86">
      <c r="A25" s="38">
        <v>19</v>
      </c>
      <c r="B25" s="65" t="s">
        <v>73</v>
      </c>
      <c r="C25" s="39" t="s">
        <v>72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233642300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0</v>
      </c>
      <c r="AP25" s="40">
        <v>0</v>
      </c>
      <c r="AQ25" s="40">
        <v>0</v>
      </c>
      <c r="AR25" s="40">
        <v>0</v>
      </c>
      <c r="AS25" s="40">
        <v>0</v>
      </c>
      <c r="AT25" s="40">
        <v>0</v>
      </c>
      <c r="AU25" s="40">
        <v>0</v>
      </c>
      <c r="AV25" s="40">
        <v>0</v>
      </c>
      <c r="AW25" s="40">
        <v>0</v>
      </c>
      <c r="AX25" s="40">
        <v>0</v>
      </c>
      <c r="AY25" s="40">
        <v>0</v>
      </c>
      <c r="AZ25" s="40">
        <v>0</v>
      </c>
      <c r="BA25" s="40">
        <v>0</v>
      </c>
      <c r="BB25" s="40">
        <v>0</v>
      </c>
      <c r="BC25" s="40">
        <v>0</v>
      </c>
      <c r="BD25" s="40">
        <v>0</v>
      </c>
      <c r="BE25" s="40">
        <v>0</v>
      </c>
      <c r="BF25" s="40">
        <v>0</v>
      </c>
      <c r="BG25" s="40">
        <v>0</v>
      </c>
      <c r="BH25" s="40">
        <v>0</v>
      </c>
      <c r="BI25" s="40">
        <v>0</v>
      </c>
      <c r="BJ25" s="40">
        <v>0</v>
      </c>
      <c r="BK25" s="40">
        <v>0</v>
      </c>
      <c r="BL25" s="40">
        <v>0</v>
      </c>
      <c r="BM25" s="40">
        <v>0</v>
      </c>
      <c r="BN25" s="40">
        <v>0</v>
      </c>
      <c r="BO25" s="40">
        <v>0</v>
      </c>
      <c r="BP25" s="40">
        <v>0</v>
      </c>
      <c r="BQ25" s="40">
        <v>0</v>
      </c>
      <c r="BR25" s="40">
        <v>0</v>
      </c>
      <c r="BS25" s="40">
        <v>0</v>
      </c>
      <c r="BT25" s="40">
        <v>233642300</v>
      </c>
      <c r="BU25" s="40">
        <v>77271043</v>
      </c>
      <c r="BV25" s="40">
        <v>310913343</v>
      </c>
      <c r="BW25" s="40">
        <v>0</v>
      </c>
      <c r="BX25" s="40">
        <v>8024064</v>
      </c>
      <c r="BY25" s="40">
        <v>1299288</v>
      </c>
      <c r="BZ25" s="40">
        <v>1299288</v>
      </c>
      <c r="CA25" s="40">
        <v>0</v>
      </c>
      <c r="CB25" s="40">
        <v>320236695</v>
      </c>
      <c r="CC25" s="41"/>
      <c r="CD25" s="41"/>
      <c r="CE25" s="42"/>
      <c r="CF25" s="42"/>
      <c r="CG25" s="42"/>
      <c r="CH25" s="42"/>
    </row>
    <row r="26" spans="1:86">
      <c r="A26" s="38">
        <v>20</v>
      </c>
      <c r="B26" s="65" t="s">
        <v>71</v>
      </c>
      <c r="C26" s="39" t="s">
        <v>70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40">
        <v>1320817099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0</v>
      </c>
      <c r="AM26" s="40">
        <v>0</v>
      </c>
      <c r="AN26" s="40">
        <v>0</v>
      </c>
      <c r="AO26" s="40">
        <v>0</v>
      </c>
      <c r="AP26" s="40">
        <v>0</v>
      </c>
      <c r="AQ26" s="40">
        <v>0</v>
      </c>
      <c r="AR26" s="40">
        <v>0</v>
      </c>
      <c r="AS26" s="40">
        <v>0</v>
      </c>
      <c r="AT26" s="40">
        <v>0</v>
      </c>
      <c r="AU26" s="40">
        <v>0</v>
      </c>
      <c r="AV26" s="40">
        <v>0</v>
      </c>
      <c r="AW26" s="40">
        <v>0</v>
      </c>
      <c r="AX26" s="40">
        <v>0</v>
      </c>
      <c r="AY26" s="40">
        <v>0</v>
      </c>
      <c r="AZ26" s="40">
        <v>0</v>
      </c>
      <c r="BA26" s="40">
        <v>0</v>
      </c>
      <c r="BB26" s="40">
        <v>0</v>
      </c>
      <c r="BC26" s="40">
        <v>0</v>
      </c>
      <c r="BD26" s="40">
        <v>0</v>
      </c>
      <c r="BE26" s="40">
        <v>0</v>
      </c>
      <c r="BF26" s="40">
        <v>0</v>
      </c>
      <c r="BG26" s="40">
        <v>0</v>
      </c>
      <c r="BH26" s="40">
        <v>0</v>
      </c>
      <c r="BI26" s="40">
        <v>0</v>
      </c>
      <c r="BJ26" s="40">
        <v>0</v>
      </c>
      <c r="BK26" s="40">
        <v>0</v>
      </c>
      <c r="BL26" s="40">
        <v>0</v>
      </c>
      <c r="BM26" s="40">
        <v>0</v>
      </c>
      <c r="BN26" s="40">
        <v>0</v>
      </c>
      <c r="BO26" s="40">
        <v>0</v>
      </c>
      <c r="BP26" s="40">
        <v>0</v>
      </c>
      <c r="BQ26" s="40">
        <v>0</v>
      </c>
      <c r="BR26" s="40">
        <v>0</v>
      </c>
      <c r="BS26" s="40">
        <v>0</v>
      </c>
      <c r="BT26" s="40">
        <v>1320817099</v>
      </c>
      <c r="BU26" s="40">
        <v>501862187</v>
      </c>
      <c r="BV26" s="40">
        <v>1822679286</v>
      </c>
      <c r="BW26" s="40">
        <v>941599326</v>
      </c>
      <c r="BX26" s="40">
        <v>43241291</v>
      </c>
      <c r="BY26" s="40">
        <v>512497558</v>
      </c>
      <c r="BZ26" s="40">
        <v>512497558</v>
      </c>
      <c r="CA26" s="40">
        <v>0</v>
      </c>
      <c r="CB26" s="40">
        <v>3320017461</v>
      </c>
      <c r="CC26" s="41"/>
      <c r="CD26" s="41"/>
      <c r="CE26" s="42"/>
      <c r="CF26" s="42"/>
      <c r="CG26" s="42"/>
      <c r="CH26" s="42"/>
    </row>
    <row r="27" spans="1:86" ht="22.5">
      <c r="A27" s="38">
        <v>21</v>
      </c>
      <c r="B27" s="65" t="s">
        <v>99</v>
      </c>
      <c r="C27" s="39" t="s">
        <v>176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  <c r="O27" s="40">
        <v>0</v>
      </c>
      <c r="P27" s="40">
        <v>0</v>
      </c>
      <c r="Q27" s="40">
        <v>0</v>
      </c>
      <c r="R27" s="40">
        <v>0</v>
      </c>
      <c r="S27" s="40">
        <v>0</v>
      </c>
      <c r="T27" s="40">
        <v>0</v>
      </c>
      <c r="U27" s="40">
        <v>0</v>
      </c>
      <c r="V27" s="40">
        <v>0</v>
      </c>
      <c r="W27" s="40">
        <v>0</v>
      </c>
      <c r="X27" s="40">
        <v>1656043402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40">
        <v>0</v>
      </c>
      <c r="AI27" s="40">
        <v>0</v>
      </c>
      <c r="AJ27" s="40">
        <v>0</v>
      </c>
      <c r="AK27" s="40">
        <v>0</v>
      </c>
      <c r="AL27" s="40">
        <v>0</v>
      </c>
      <c r="AM27" s="40">
        <v>0</v>
      </c>
      <c r="AN27" s="40">
        <v>0</v>
      </c>
      <c r="AO27" s="40">
        <v>0</v>
      </c>
      <c r="AP27" s="40">
        <v>0</v>
      </c>
      <c r="AQ27" s="40">
        <v>0</v>
      </c>
      <c r="AR27" s="40">
        <v>0</v>
      </c>
      <c r="AS27" s="40">
        <v>0</v>
      </c>
      <c r="AT27" s="40">
        <v>0</v>
      </c>
      <c r="AU27" s="40">
        <v>0</v>
      </c>
      <c r="AV27" s="40">
        <v>0</v>
      </c>
      <c r="AW27" s="40">
        <v>0</v>
      </c>
      <c r="AX27" s="40">
        <v>0</v>
      </c>
      <c r="AY27" s="40">
        <v>0</v>
      </c>
      <c r="AZ27" s="40">
        <v>0</v>
      </c>
      <c r="BA27" s="40">
        <v>0</v>
      </c>
      <c r="BB27" s="40">
        <v>0</v>
      </c>
      <c r="BC27" s="40">
        <v>0</v>
      </c>
      <c r="BD27" s="40">
        <v>0</v>
      </c>
      <c r="BE27" s="40">
        <v>0</v>
      </c>
      <c r="BF27" s="40">
        <v>0</v>
      </c>
      <c r="BG27" s="40">
        <v>0</v>
      </c>
      <c r="BH27" s="40">
        <v>0</v>
      </c>
      <c r="BI27" s="40">
        <v>0</v>
      </c>
      <c r="BJ27" s="40">
        <v>0</v>
      </c>
      <c r="BK27" s="40">
        <v>0</v>
      </c>
      <c r="BL27" s="40">
        <v>0</v>
      </c>
      <c r="BM27" s="40">
        <v>0</v>
      </c>
      <c r="BN27" s="40">
        <v>0</v>
      </c>
      <c r="BO27" s="40">
        <v>0</v>
      </c>
      <c r="BP27" s="40">
        <v>0</v>
      </c>
      <c r="BQ27" s="40">
        <v>0</v>
      </c>
      <c r="BR27" s="40">
        <v>0</v>
      </c>
      <c r="BS27" s="40">
        <v>0</v>
      </c>
      <c r="BT27" s="40">
        <v>1656043402</v>
      </c>
      <c r="BU27" s="40">
        <v>2341989188</v>
      </c>
      <c r="BV27" s="40">
        <v>3998032590</v>
      </c>
      <c r="BW27" s="40">
        <v>1400101568</v>
      </c>
      <c r="BX27" s="40">
        <v>79842292</v>
      </c>
      <c r="BY27" s="40">
        <v>207007111</v>
      </c>
      <c r="BZ27" s="40">
        <v>207007111</v>
      </c>
      <c r="CA27" s="40">
        <v>0</v>
      </c>
      <c r="CB27" s="40">
        <v>5684983561</v>
      </c>
      <c r="CC27" s="41"/>
      <c r="CD27" s="41"/>
      <c r="CE27" s="42"/>
      <c r="CF27" s="42"/>
      <c r="CG27" s="42"/>
      <c r="CH27" s="42"/>
    </row>
    <row r="28" spans="1:86" ht="22.5">
      <c r="A28" s="38">
        <v>22</v>
      </c>
      <c r="B28" s="65" t="s">
        <v>69</v>
      </c>
      <c r="C28" s="39" t="s">
        <v>68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0</v>
      </c>
      <c r="X28" s="40">
        <v>0</v>
      </c>
      <c r="Y28" s="40">
        <v>467180100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40">
        <v>0</v>
      </c>
      <c r="AJ28" s="40">
        <v>0</v>
      </c>
      <c r="AK28" s="40">
        <v>0</v>
      </c>
      <c r="AL28" s="40">
        <v>0</v>
      </c>
      <c r="AM28" s="40">
        <v>0</v>
      </c>
      <c r="AN28" s="40">
        <v>0</v>
      </c>
      <c r="AO28" s="40">
        <v>0</v>
      </c>
      <c r="AP28" s="40">
        <v>0</v>
      </c>
      <c r="AQ28" s="40">
        <v>0</v>
      </c>
      <c r="AR28" s="40">
        <v>0</v>
      </c>
      <c r="AS28" s="40">
        <v>0</v>
      </c>
      <c r="AT28" s="40">
        <v>0</v>
      </c>
      <c r="AU28" s="40">
        <v>0</v>
      </c>
      <c r="AV28" s="40">
        <v>0</v>
      </c>
      <c r="AW28" s="40">
        <v>0</v>
      </c>
      <c r="AX28" s="40">
        <v>0</v>
      </c>
      <c r="AY28" s="40">
        <v>0</v>
      </c>
      <c r="AZ28" s="40">
        <v>0</v>
      </c>
      <c r="BA28" s="40">
        <v>0</v>
      </c>
      <c r="BB28" s="40">
        <v>0</v>
      </c>
      <c r="BC28" s="40">
        <v>0</v>
      </c>
      <c r="BD28" s="40">
        <v>0</v>
      </c>
      <c r="BE28" s="40">
        <v>0</v>
      </c>
      <c r="BF28" s="40">
        <v>0</v>
      </c>
      <c r="BG28" s="40">
        <v>0</v>
      </c>
      <c r="BH28" s="40">
        <v>0</v>
      </c>
      <c r="BI28" s="40">
        <v>0</v>
      </c>
      <c r="BJ28" s="40">
        <v>0</v>
      </c>
      <c r="BK28" s="40">
        <v>0</v>
      </c>
      <c r="BL28" s="40">
        <v>0</v>
      </c>
      <c r="BM28" s="40">
        <v>0</v>
      </c>
      <c r="BN28" s="40">
        <v>0</v>
      </c>
      <c r="BO28" s="40">
        <v>0</v>
      </c>
      <c r="BP28" s="40">
        <v>0</v>
      </c>
      <c r="BQ28" s="40">
        <v>0</v>
      </c>
      <c r="BR28" s="40">
        <v>0</v>
      </c>
      <c r="BS28" s="40">
        <v>0</v>
      </c>
      <c r="BT28" s="40">
        <v>467180100</v>
      </c>
      <c r="BU28" s="40">
        <v>1346804898</v>
      </c>
      <c r="BV28" s="40">
        <v>1813984998</v>
      </c>
      <c r="BW28" s="40">
        <v>2050443405</v>
      </c>
      <c r="BX28" s="40">
        <v>26168506</v>
      </c>
      <c r="BY28" s="40">
        <v>11728230</v>
      </c>
      <c r="BZ28" s="40">
        <v>11728230</v>
      </c>
      <c r="CA28" s="40">
        <v>0</v>
      </c>
      <c r="CB28" s="40">
        <v>3902325139</v>
      </c>
      <c r="CC28" s="41"/>
      <c r="CD28" s="41"/>
      <c r="CE28" s="42"/>
      <c r="CF28" s="42"/>
      <c r="CG28" s="42"/>
      <c r="CH28" s="42"/>
    </row>
    <row r="29" spans="1:86">
      <c r="A29" s="38">
        <v>23</v>
      </c>
      <c r="B29" s="65" t="s">
        <v>98</v>
      </c>
      <c r="C29" s="39" t="s">
        <v>175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484057900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40">
        <v>0</v>
      </c>
      <c r="AI29" s="40">
        <v>0</v>
      </c>
      <c r="AJ29" s="40">
        <v>0</v>
      </c>
      <c r="AK29" s="40">
        <v>0</v>
      </c>
      <c r="AL29" s="40">
        <v>0</v>
      </c>
      <c r="AM29" s="40">
        <v>0</v>
      </c>
      <c r="AN29" s="40">
        <v>0</v>
      </c>
      <c r="AO29" s="40">
        <v>0</v>
      </c>
      <c r="AP29" s="40">
        <v>0</v>
      </c>
      <c r="AQ29" s="40">
        <v>0</v>
      </c>
      <c r="AR29" s="40">
        <v>0</v>
      </c>
      <c r="AS29" s="40">
        <v>0</v>
      </c>
      <c r="AT29" s="40">
        <v>0</v>
      </c>
      <c r="AU29" s="40">
        <v>0</v>
      </c>
      <c r="AV29" s="40">
        <v>0</v>
      </c>
      <c r="AW29" s="40">
        <v>0</v>
      </c>
      <c r="AX29" s="40">
        <v>0</v>
      </c>
      <c r="AY29" s="40">
        <v>0</v>
      </c>
      <c r="AZ29" s="40">
        <v>0</v>
      </c>
      <c r="BA29" s="40">
        <v>0</v>
      </c>
      <c r="BB29" s="40">
        <v>0</v>
      </c>
      <c r="BC29" s="40">
        <v>0</v>
      </c>
      <c r="BD29" s="40">
        <v>0</v>
      </c>
      <c r="BE29" s="40">
        <v>0</v>
      </c>
      <c r="BF29" s="40">
        <v>0</v>
      </c>
      <c r="BG29" s="40">
        <v>0</v>
      </c>
      <c r="BH29" s="40">
        <v>0</v>
      </c>
      <c r="BI29" s="40">
        <v>0</v>
      </c>
      <c r="BJ29" s="40">
        <v>0</v>
      </c>
      <c r="BK29" s="40">
        <v>0</v>
      </c>
      <c r="BL29" s="40">
        <v>0</v>
      </c>
      <c r="BM29" s="40">
        <v>0</v>
      </c>
      <c r="BN29" s="40">
        <v>0</v>
      </c>
      <c r="BO29" s="40">
        <v>0</v>
      </c>
      <c r="BP29" s="40">
        <v>0</v>
      </c>
      <c r="BQ29" s="40">
        <v>0</v>
      </c>
      <c r="BR29" s="40">
        <v>0</v>
      </c>
      <c r="BS29" s="40">
        <v>0</v>
      </c>
      <c r="BT29" s="40">
        <v>484057900</v>
      </c>
      <c r="BU29" s="40">
        <v>1175347773</v>
      </c>
      <c r="BV29" s="40">
        <v>1659405673</v>
      </c>
      <c r="BW29" s="40">
        <v>807022612</v>
      </c>
      <c r="BX29" s="40">
        <v>41391941</v>
      </c>
      <c r="BY29" s="40">
        <v>93778321</v>
      </c>
      <c r="BZ29" s="40">
        <v>93778321</v>
      </c>
      <c r="CA29" s="40">
        <v>0</v>
      </c>
      <c r="CB29" s="40">
        <v>2601598547</v>
      </c>
      <c r="CC29" s="41"/>
      <c r="CD29" s="41"/>
      <c r="CE29" s="42"/>
      <c r="CF29" s="42"/>
      <c r="CG29" s="42"/>
      <c r="CH29" s="42"/>
    </row>
    <row r="30" spans="1:86" ht="22.5">
      <c r="A30" s="38">
        <v>24</v>
      </c>
      <c r="B30" s="65" t="s">
        <v>97</v>
      </c>
      <c r="C30" s="39" t="s">
        <v>67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1834746101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40">
        <v>0</v>
      </c>
      <c r="AJ30" s="40">
        <v>0</v>
      </c>
      <c r="AK30" s="40">
        <v>0</v>
      </c>
      <c r="AL30" s="40">
        <v>0</v>
      </c>
      <c r="AM30" s="40">
        <v>0</v>
      </c>
      <c r="AN30" s="40">
        <v>0</v>
      </c>
      <c r="AO30" s="40">
        <v>0</v>
      </c>
      <c r="AP30" s="40">
        <v>0</v>
      </c>
      <c r="AQ30" s="40">
        <v>0</v>
      </c>
      <c r="AR30" s="40">
        <v>0</v>
      </c>
      <c r="AS30" s="40">
        <v>0</v>
      </c>
      <c r="AT30" s="40">
        <v>0</v>
      </c>
      <c r="AU30" s="40">
        <v>0</v>
      </c>
      <c r="AV30" s="40">
        <v>0</v>
      </c>
      <c r="AW30" s="40">
        <v>0</v>
      </c>
      <c r="AX30" s="40">
        <v>0</v>
      </c>
      <c r="AY30" s="40">
        <v>0</v>
      </c>
      <c r="AZ30" s="40">
        <v>0</v>
      </c>
      <c r="BA30" s="40">
        <v>0</v>
      </c>
      <c r="BB30" s="40">
        <v>0</v>
      </c>
      <c r="BC30" s="40">
        <v>0</v>
      </c>
      <c r="BD30" s="40">
        <v>0</v>
      </c>
      <c r="BE30" s="40">
        <v>0</v>
      </c>
      <c r="BF30" s="40">
        <v>0</v>
      </c>
      <c r="BG30" s="40">
        <v>0</v>
      </c>
      <c r="BH30" s="40">
        <v>0</v>
      </c>
      <c r="BI30" s="40">
        <v>0</v>
      </c>
      <c r="BJ30" s="40">
        <v>0</v>
      </c>
      <c r="BK30" s="40">
        <v>0</v>
      </c>
      <c r="BL30" s="40">
        <v>0</v>
      </c>
      <c r="BM30" s="40">
        <v>0</v>
      </c>
      <c r="BN30" s="40">
        <v>0</v>
      </c>
      <c r="BO30" s="40">
        <v>0</v>
      </c>
      <c r="BP30" s="40">
        <v>0</v>
      </c>
      <c r="BQ30" s="40">
        <v>0</v>
      </c>
      <c r="BR30" s="40">
        <v>0</v>
      </c>
      <c r="BS30" s="40">
        <v>0</v>
      </c>
      <c r="BT30" s="40">
        <v>1834746101</v>
      </c>
      <c r="BU30" s="40">
        <v>614637911</v>
      </c>
      <c r="BV30" s="40">
        <v>2449384012</v>
      </c>
      <c r="BW30" s="40">
        <v>737202512</v>
      </c>
      <c r="BX30" s="40">
        <v>63052575</v>
      </c>
      <c r="BY30" s="40">
        <v>94721424</v>
      </c>
      <c r="BZ30" s="40">
        <v>94721424</v>
      </c>
      <c r="CA30" s="40">
        <v>0</v>
      </c>
      <c r="CB30" s="40">
        <v>3344360523</v>
      </c>
      <c r="CC30" s="41"/>
      <c r="CD30" s="41"/>
      <c r="CE30" s="42"/>
      <c r="CF30" s="42"/>
      <c r="CG30" s="42"/>
      <c r="CH30" s="42"/>
    </row>
    <row r="31" spans="1:86" ht="22.5">
      <c r="A31" s="38">
        <v>25</v>
      </c>
      <c r="B31" s="65" t="s">
        <v>174</v>
      </c>
      <c r="C31" s="39" t="s">
        <v>173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4002660602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40">
        <v>0</v>
      </c>
      <c r="AI31" s="40">
        <v>0</v>
      </c>
      <c r="AJ31" s="40">
        <v>0</v>
      </c>
      <c r="AK31" s="40">
        <v>0</v>
      </c>
      <c r="AL31" s="40">
        <v>0</v>
      </c>
      <c r="AM31" s="40">
        <v>0</v>
      </c>
      <c r="AN31" s="40">
        <v>0</v>
      </c>
      <c r="AO31" s="40">
        <v>0</v>
      </c>
      <c r="AP31" s="40">
        <v>0</v>
      </c>
      <c r="AQ31" s="40">
        <v>0</v>
      </c>
      <c r="AR31" s="40">
        <v>0</v>
      </c>
      <c r="AS31" s="40">
        <v>0</v>
      </c>
      <c r="AT31" s="40">
        <v>0</v>
      </c>
      <c r="AU31" s="40">
        <v>0</v>
      </c>
      <c r="AV31" s="40">
        <v>0</v>
      </c>
      <c r="AW31" s="40">
        <v>0</v>
      </c>
      <c r="AX31" s="40">
        <v>0</v>
      </c>
      <c r="AY31" s="40">
        <v>0</v>
      </c>
      <c r="AZ31" s="40">
        <v>0</v>
      </c>
      <c r="BA31" s="40">
        <v>0</v>
      </c>
      <c r="BB31" s="40">
        <v>0</v>
      </c>
      <c r="BC31" s="40">
        <v>0</v>
      </c>
      <c r="BD31" s="40">
        <v>0</v>
      </c>
      <c r="BE31" s="40">
        <v>0</v>
      </c>
      <c r="BF31" s="40">
        <v>0</v>
      </c>
      <c r="BG31" s="40">
        <v>0</v>
      </c>
      <c r="BH31" s="40">
        <v>0</v>
      </c>
      <c r="BI31" s="40">
        <v>0</v>
      </c>
      <c r="BJ31" s="40">
        <v>0</v>
      </c>
      <c r="BK31" s="40">
        <v>0</v>
      </c>
      <c r="BL31" s="40">
        <v>0</v>
      </c>
      <c r="BM31" s="40">
        <v>0</v>
      </c>
      <c r="BN31" s="40">
        <v>0</v>
      </c>
      <c r="BO31" s="40">
        <v>0</v>
      </c>
      <c r="BP31" s="40">
        <v>0</v>
      </c>
      <c r="BQ31" s="40">
        <v>0</v>
      </c>
      <c r="BR31" s="40">
        <v>0</v>
      </c>
      <c r="BS31" s="40">
        <v>0</v>
      </c>
      <c r="BT31" s="40">
        <v>4002660602</v>
      </c>
      <c r="BU31" s="40">
        <v>796195428</v>
      </c>
      <c r="BV31" s="40">
        <v>4798856030</v>
      </c>
      <c r="BW31" s="40">
        <v>2592751610</v>
      </c>
      <c r="BX31" s="40">
        <v>221972560</v>
      </c>
      <c r="BY31" s="40">
        <v>57319095</v>
      </c>
      <c r="BZ31" s="40">
        <v>57319095</v>
      </c>
      <c r="CA31" s="40">
        <v>0</v>
      </c>
      <c r="CB31" s="40">
        <v>7670899295</v>
      </c>
      <c r="CC31" s="41"/>
      <c r="CD31" s="41"/>
      <c r="CE31" s="42"/>
      <c r="CF31" s="42"/>
      <c r="CG31" s="42"/>
      <c r="CH31" s="42"/>
    </row>
    <row r="32" spans="1:86" ht="33.75">
      <c r="A32" s="38">
        <v>26</v>
      </c>
      <c r="B32" s="65" t="s">
        <v>172</v>
      </c>
      <c r="C32" s="39" t="s">
        <v>171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40">
        <v>163652700</v>
      </c>
      <c r="AD32" s="40">
        <v>0</v>
      </c>
      <c r="AE32" s="40">
        <v>0</v>
      </c>
      <c r="AF32" s="40">
        <v>0</v>
      </c>
      <c r="AG32" s="40">
        <v>0</v>
      </c>
      <c r="AH32" s="40">
        <v>0</v>
      </c>
      <c r="AI32" s="40">
        <v>0</v>
      </c>
      <c r="AJ32" s="40">
        <v>0</v>
      </c>
      <c r="AK32" s="40">
        <v>0</v>
      </c>
      <c r="AL32" s="40">
        <v>0</v>
      </c>
      <c r="AM32" s="40">
        <v>0</v>
      </c>
      <c r="AN32" s="40">
        <v>0</v>
      </c>
      <c r="AO32" s="40">
        <v>0</v>
      </c>
      <c r="AP32" s="40">
        <v>0</v>
      </c>
      <c r="AQ32" s="40">
        <v>0</v>
      </c>
      <c r="AR32" s="40">
        <v>0</v>
      </c>
      <c r="AS32" s="40">
        <v>0</v>
      </c>
      <c r="AT32" s="40">
        <v>0</v>
      </c>
      <c r="AU32" s="40">
        <v>0</v>
      </c>
      <c r="AV32" s="40">
        <v>0</v>
      </c>
      <c r="AW32" s="40">
        <v>0</v>
      </c>
      <c r="AX32" s="40">
        <v>0</v>
      </c>
      <c r="AY32" s="40">
        <v>0</v>
      </c>
      <c r="AZ32" s="40">
        <v>0</v>
      </c>
      <c r="BA32" s="40">
        <v>0</v>
      </c>
      <c r="BB32" s="40">
        <v>0</v>
      </c>
      <c r="BC32" s="40">
        <v>0</v>
      </c>
      <c r="BD32" s="40">
        <v>0</v>
      </c>
      <c r="BE32" s="40">
        <v>0</v>
      </c>
      <c r="BF32" s="40">
        <v>0</v>
      </c>
      <c r="BG32" s="40">
        <v>0</v>
      </c>
      <c r="BH32" s="40">
        <v>0</v>
      </c>
      <c r="BI32" s="40">
        <v>0</v>
      </c>
      <c r="BJ32" s="40">
        <v>0</v>
      </c>
      <c r="BK32" s="40">
        <v>0</v>
      </c>
      <c r="BL32" s="40">
        <v>0</v>
      </c>
      <c r="BM32" s="40">
        <v>0</v>
      </c>
      <c r="BN32" s="40">
        <v>0</v>
      </c>
      <c r="BO32" s="40">
        <v>0</v>
      </c>
      <c r="BP32" s="40">
        <v>0</v>
      </c>
      <c r="BQ32" s="40">
        <v>0</v>
      </c>
      <c r="BR32" s="40">
        <v>0</v>
      </c>
      <c r="BS32" s="40">
        <v>0</v>
      </c>
      <c r="BT32" s="40">
        <v>163652700</v>
      </c>
      <c r="BU32" s="40">
        <v>462035216</v>
      </c>
      <c r="BV32" s="40">
        <v>625687916</v>
      </c>
      <c r="BW32" s="40">
        <v>581201792</v>
      </c>
      <c r="BX32" s="40">
        <v>39896580</v>
      </c>
      <c r="BY32" s="40">
        <v>9885797</v>
      </c>
      <c r="BZ32" s="40">
        <v>9885797</v>
      </c>
      <c r="CA32" s="40">
        <v>0</v>
      </c>
      <c r="CB32" s="40">
        <v>1256672085</v>
      </c>
      <c r="CC32" s="41"/>
      <c r="CD32" s="41"/>
      <c r="CE32" s="42"/>
      <c r="CF32" s="42"/>
      <c r="CG32" s="42"/>
      <c r="CH32" s="42"/>
    </row>
    <row r="33" spans="1:86" ht="22.5">
      <c r="A33" s="38">
        <v>27</v>
      </c>
      <c r="B33" s="65" t="s">
        <v>170</v>
      </c>
      <c r="C33" s="39" t="s">
        <v>169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0">
        <v>0</v>
      </c>
      <c r="AC33" s="40">
        <v>0</v>
      </c>
      <c r="AD33" s="40">
        <v>168382500</v>
      </c>
      <c r="AE33" s="40">
        <v>0</v>
      </c>
      <c r="AF33" s="40">
        <v>0</v>
      </c>
      <c r="AG33" s="40">
        <v>0</v>
      </c>
      <c r="AH33" s="40">
        <v>0</v>
      </c>
      <c r="AI33" s="40">
        <v>0</v>
      </c>
      <c r="AJ33" s="40">
        <v>0</v>
      </c>
      <c r="AK33" s="40">
        <v>0</v>
      </c>
      <c r="AL33" s="40">
        <v>0</v>
      </c>
      <c r="AM33" s="40">
        <v>0</v>
      </c>
      <c r="AN33" s="40">
        <v>0</v>
      </c>
      <c r="AO33" s="40">
        <v>0</v>
      </c>
      <c r="AP33" s="40">
        <v>0</v>
      </c>
      <c r="AQ33" s="40">
        <v>0</v>
      </c>
      <c r="AR33" s="40">
        <v>0</v>
      </c>
      <c r="AS33" s="40">
        <v>0</v>
      </c>
      <c r="AT33" s="40">
        <v>0</v>
      </c>
      <c r="AU33" s="40">
        <v>0</v>
      </c>
      <c r="AV33" s="40">
        <v>0</v>
      </c>
      <c r="AW33" s="40">
        <v>0</v>
      </c>
      <c r="AX33" s="40">
        <v>0</v>
      </c>
      <c r="AY33" s="40">
        <v>0</v>
      </c>
      <c r="AZ33" s="40">
        <v>0</v>
      </c>
      <c r="BA33" s="40">
        <v>0</v>
      </c>
      <c r="BB33" s="40">
        <v>0</v>
      </c>
      <c r="BC33" s="40">
        <v>0</v>
      </c>
      <c r="BD33" s="40">
        <v>0</v>
      </c>
      <c r="BE33" s="40">
        <v>0</v>
      </c>
      <c r="BF33" s="40">
        <v>0</v>
      </c>
      <c r="BG33" s="40">
        <v>0</v>
      </c>
      <c r="BH33" s="40">
        <v>0</v>
      </c>
      <c r="BI33" s="40">
        <v>0</v>
      </c>
      <c r="BJ33" s="40">
        <v>0</v>
      </c>
      <c r="BK33" s="40">
        <v>0</v>
      </c>
      <c r="BL33" s="40">
        <v>0</v>
      </c>
      <c r="BM33" s="40">
        <v>0</v>
      </c>
      <c r="BN33" s="40">
        <v>0</v>
      </c>
      <c r="BO33" s="40">
        <v>0</v>
      </c>
      <c r="BP33" s="40">
        <v>0</v>
      </c>
      <c r="BQ33" s="40">
        <v>0</v>
      </c>
      <c r="BR33" s="40">
        <v>0</v>
      </c>
      <c r="BS33" s="40">
        <v>0</v>
      </c>
      <c r="BT33" s="40">
        <v>168382500</v>
      </c>
      <c r="BU33" s="40">
        <v>104355552</v>
      </c>
      <c r="BV33" s="40">
        <v>272738052</v>
      </c>
      <c r="BW33" s="40">
        <v>23870558</v>
      </c>
      <c r="BX33" s="40">
        <v>17723671</v>
      </c>
      <c r="BY33" s="40">
        <v>5833846</v>
      </c>
      <c r="BZ33" s="40">
        <v>5833846</v>
      </c>
      <c r="CA33" s="40">
        <v>0</v>
      </c>
      <c r="CB33" s="40">
        <v>320166127</v>
      </c>
      <c r="CC33" s="41"/>
      <c r="CD33" s="41"/>
      <c r="CE33" s="42"/>
      <c r="CF33" s="42"/>
      <c r="CG33" s="42"/>
      <c r="CH33" s="42"/>
    </row>
    <row r="34" spans="1:86" ht="22.5">
      <c r="A34" s="38">
        <v>28</v>
      </c>
      <c r="B34" s="65" t="s">
        <v>168</v>
      </c>
      <c r="C34" s="39" t="s">
        <v>167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0</v>
      </c>
      <c r="AE34" s="40">
        <v>8851751399</v>
      </c>
      <c r="AF34" s="40">
        <v>0</v>
      </c>
      <c r="AG34" s="40">
        <v>0</v>
      </c>
      <c r="AH34" s="40">
        <v>0</v>
      </c>
      <c r="AI34" s="40">
        <v>0</v>
      </c>
      <c r="AJ34" s="40">
        <v>0</v>
      </c>
      <c r="AK34" s="40">
        <v>0</v>
      </c>
      <c r="AL34" s="40">
        <v>0</v>
      </c>
      <c r="AM34" s="40">
        <v>0</v>
      </c>
      <c r="AN34" s="40">
        <v>0</v>
      </c>
      <c r="AO34" s="40">
        <v>0</v>
      </c>
      <c r="AP34" s="40">
        <v>0</v>
      </c>
      <c r="AQ34" s="40">
        <v>0</v>
      </c>
      <c r="AR34" s="40">
        <v>0</v>
      </c>
      <c r="AS34" s="40">
        <v>0</v>
      </c>
      <c r="AT34" s="40">
        <v>0</v>
      </c>
      <c r="AU34" s="40">
        <v>0</v>
      </c>
      <c r="AV34" s="40">
        <v>0</v>
      </c>
      <c r="AW34" s="40">
        <v>0</v>
      </c>
      <c r="AX34" s="40">
        <v>0</v>
      </c>
      <c r="AY34" s="40">
        <v>0</v>
      </c>
      <c r="AZ34" s="40">
        <v>0</v>
      </c>
      <c r="BA34" s="40">
        <v>0</v>
      </c>
      <c r="BB34" s="40">
        <v>0</v>
      </c>
      <c r="BC34" s="40">
        <v>0</v>
      </c>
      <c r="BD34" s="40">
        <v>0</v>
      </c>
      <c r="BE34" s="40">
        <v>0</v>
      </c>
      <c r="BF34" s="40">
        <v>0</v>
      </c>
      <c r="BG34" s="40">
        <v>0</v>
      </c>
      <c r="BH34" s="40">
        <v>0</v>
      </c>
      <c r="BI34" s="40">
        <v>0</v>
      </c>
      <c r="BJ34" s="40">
        <v>0</v>
      </c>
      <c r="BK34" s="40">
        <v>0</v>
      </c>
      <c r="BL34" s="40">
        <v>0</v>
      </c>
      <c r="BM34" s="40">
        <v>0</v>
      </c>
      <c r="BN34" s="40">
        <v>0</v>
      </c>
      <c r="BO34" s="40">
        <v>0</v>
      </c>
      <c r="BP34" s="40">
        <v>0</v>
      </c>
      <c r="BQ34" s="40">
        <v>0</v>
      </c>
      <c r="BR34" s="40">
        <v>0</v>
      </c>
      <c r="BS34" s="40">
        <v>0</v>
      </c>
      <c r="BT34" s="40">
        <v>8851751399</v>
      </c>
      <c r="BU34" s="40">
        <v>874973803</v>
      </c>
      <c r="BV34" s="40">
        <v>9726725202</v>
      </c>
      <c r="BW34" s="40">
        <v>5656050246</v>
      </c>
      <c r="BX34" s="40">
        <v>277979768</v>
      </c>
      <c r="BY34" s="40">
        <v>128304764</v>
      </c>
      <c r="BZ34" s="40">
        <v>128304764</v>
      </c>
      <c r="CA34" s="40">
        <v>0</v>
      </c>
      <c r="CB34" s="40">
        <v>15789059980</v>
      </c>
      <c r="CC34" s="41"/>
      <c r="CD34" s="41"/>
      <c r="CE34" s="42"/>
      <c r="CF34" s="42"/>
      <c r="CG34" s="42"/>
      <c r="CH34" s="42"/>
    </row>
    <row r="35" spans="1:86">
      <c r="A35" s="38">
        <v>29</v>
      </c>
      <c r="B35" s="65" t="s">
        <v>166</v>
      </c>
      <c r="C35" s="39" t="s">
        <v>165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45472800</v>
      </c>
      <c r="AG35" s="40">
        <v>0</v>
      </c>
      <c r="AH35" s="40">
        <v>0</v>
      </c>
      <c r="AI35" s="40">
        <v>0</v>
      </c>
      <c r="AJ35" s="40">
        <v>0</v>
      </c>
      <c r="AK35" s="40">
        <v>0</v>
      </c>
      <c r="AL35" s="40">
        <v>0</v>
      </c>
      <c r="AM35" s="40">
        <v>0</v>
      </c>
      <c r="AN35" s="40">
        <v>0</v>
      </c>
      <c r="AO35" s="40">
        <v>0</v>
      </c>
      <c r="AP35" s="40">
        <v>0</v>
      </c>
      <c r="AQ35" s="40">
        <v>0</v>
      </c>
      <c r="AR35" s="40">
        <v>0</v>
      </c>
      <c r="AS35" s="40">
        <v>0</v>
      </c>
      <c r="AT35" s="40">
        <v>0</v>
      </c>
      <c r="AU35" s="40">
        <v>0</v>
      </c>
      <c r="AV35" s="40">
        <v>0</v>
      </c>
      <c r="AW35" s="40">
        <v>0</v>
      </c>
      <c r="AX35" s="40">
        <v>0</v>
      </c>
      <c r="AY35" s="40">
        <v>0</v>
      </c>
      <c r="AZ35" s="40">
        <v>0</v>
      </c>
      <c r="BA35" s="40">
        <v>0</v>
      </c>
      <c r="BB35" s="40">
        <v>0</v>
      </c>
      <c r="BC35" s="40">
        <v>0</v>
      </c>
      <c r="BD35" s="40">
        <v>0</v>
      </c>
      <c r="BE35" s="40">
        <v>0</v>
      </c>
      <c r="BF35" s="40">
        <v>0</v>
      </c>
      <c r="BG35" s="40">
        <v>0</v>
      </c>
      <c r="BH35" s="40">
        <v>0</v>
      </c>
      <c r="BI35" s="40">
        <v>0</v>
      </c>
      <c r="BJ35" s="40">
        <v>0</v>
      </c>
      <c r="BK35" s="40">
        <v>0</v>
      </c>
      <c r="BL35" s="40">
        <v>0</v>
      </c>
      <c r="BM35" s="40">
        <v>0</v>
      </c>
      <c r="BN35" s="40">
        <v>0</v>
      </c>
      <c r="BO35" s="40">
        <v>0</v>
      </c>
      <c r="BP35" s="40">
        <v>0</v>
      </c>
      <c r="BQ35" s="40">
        <v>0</v>
      </c>
      <c r="BR35" s="40">
        <v>0</v>
      </c>
      <c r="BS35" s="40">
        <v>0</v>
      </c>
      <c r="BT35" s="40">
        <v>45472800</v>
      </c>
      <c r="BU35" s="40">
        <v>9326624</v>
      </c>
      <c r="BV35" s="40">
        <v>54799424</v>
      </c>
      <c r="BW35" s="40">
        <v>8063825</v>
      </c>
      <c r="BX35" s="40">
        <v>3254141</v>
      </c>
      <c r="BY35" s="40">
        <v>335997</v>
      </c>
      <c r="BZ35" s="40">
        <v>335997</v>
      </c>
      <c r="CA35" s="40">
        <v>0</v>
      </c>
      <c r="CB35" s="40">
        <v>66453387</v>
      </c>
      <c r="CC35" s="41"/>
      <c r="CD35" s="41"/>
      <c r="CE35" s="42"/>
      <c r="CF35" s="42"/>
      <c r="CG35" s="42"/>
      <c r="CH35" s="42"/>
    </row>
    <row r="36" spans="1:86" ht="22.5">
      <c r="A36" s="38">
        <v>30</v>
      </c>
      <c r="B36" s="65" t="s">
        <v>66</v>
      </c>
      <c r="C36" s="39" t="s">
        <v>65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642080898</v>
      </c>
      <c r="AH36" s="40">
        <v>0</v>
      </c>
      <c r="AI36" s="40">
        <v>0</v>
      </c>
      <c r="AJ36" s="40">
        <v>0</v>
      </c>
      <c r="AK36" s="40">
        <v>0</v>
      </c>
      <c r="AL36" s="40">
        <v>0</v>
      </c>
      <c r="AM36" s="40">
        <v>0</v>
      </c>
      <c r="AN36" s="40">
        <v>0</v>
      </c>
      <c r="AO36" s="40">
        <v>0</v>
      </c>
      <c r="AP36" s="40">
        <v>0</v>
      </c>
      <c r="AQ36" s="40">
        <v>0</v>
      </c>
      <c r="AR36" s="40">
        <v>0</v>
      </c>
      <c r="AS36" s="40">
        <v>0</v>
      </c>
      <c r="AT36" s="40">
        <v>0</v>
      </c>
      <c r="AU36" s="40">
        <v>0</v>
      </c>
      <c r="AV36" s="40">
        <v>0</v>
      </c>
      <c r="AW36" s="40">
        <v>0</v>
      </c>
      <c r="AX36" s="40">
        <v>0</v>
      </c>
      <c r="AY36" s="40">
        <v>0</v>
      </c>
      <c r="AZ36" s="40">
        <v>0</v>
      </c>
      <c r="BA36" s="40">
        <v>0</v>
      </c>
      <c r="BB36" s="40">
        <v>0</v>
      </c>
      <c r="BC36" s="40">
        <v>0</v>
      </c>
      <c r="BD36" s="40">
        <v>0</v>
      </c>
      <c r="BE36" s="40">
        <v>0</v>
      </c>
      <c r="BF36" s="40">
        <v>0</v>
      </c>
      <c r="BG36" s="40">
        <v>0</v>
      </c>
      <c r="BH36" s="40">
        <v>0</v>
      </c>
      <c r="BI36" s="40">
        <v>0</v>
      </c>
      <c r="BJ36" s="40">
        <v>0</v>
      </c>
      <c r="BK36" s="40">
        <v>0</v>
      </c>
      <c r="BL36" s="40">
        <v>0</v>
      </c>
      <c r="BM36" s="40">
        <v>0</v>
      </c>
      <c r="BN36" s="40">
        <v>0</v>
      </c>
      <c r="BO36" s="40">
        <v>0</v>
      </c>
      <c r="BP36" s="40">
        <v>0</v>
      </c>
      <c r="BQ36" s="40">
        <v>0</v>
      </c>
      <c r="BR36" s="40">
        <v>0</v>
      </c>
      <c r="BS36" s="40">
        <v>0</v>
      </c>
      <c r="BT36" s="40">
        <v>642080898</v>
      </c>
      <c r="BU36" s="40">
        <v>1085719376</v>
      </c>
      <c r="BV36" s="40">
        <v>1727800274</v>
      </c>
      <c r="BW36" s="40">
        <v>582250333</v>
      </c>
      <c r="BX36" s="40">
        <v>57951228</v>
      </c>
      <c r="BY36" s="40">
        <v>62556896</v>
      </c>
      <c r="BZ36" s="40">
        <v>62556896</v>
      </c>
      <c r="CA36" s="40">
        <v>0</v>
      </c>
      <c r="CB36" s="40">
        <v>2430558731</v>
      </c>
      <c r="CC36" s="41"/>
      <c r="CD36" s="41"/>
      <c r="CE36" s="42"/>
      <c r="CF36" s="42"/>
      <c r="CG36" s="42"/>
      <c r="CH36" s="42"/>
    </row>
    <row r="37" spans="1:86" ht="22.5">
      <c r="A37" s="38">
        <v>31</v>
      </c>
      <c r="B37" s="65" t="s">
        <v>64</v>
      </c>
      <c r="C37" s="39" t="s">
        <v>135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40">
        <v>0</v>
      </c>
      <c r="AD37" s="40">
        <v>0</v>
      </c>
      <c r="AE37" s="40">
        <v>0</v>
      </c>
      <c r="AF37" s="40">
        <v>0</v>
      </c>
      <c r="AG37" s="40">
        <v>0</v>
      </c>
      <c r="AH37" s="40">
        <v>86667996</v>
      </c>
      <c r="AI37" s="40">
        <v>0</v>
      </c>
      <c r="AJ37" s="40">
        <v>0</v>
      </c>
      <c r="AK37" s="40">
        <v>0</v>
      </c>
      <c r="AL37" s="40">
        <v>0</v>
      </c>
      <c r="AM37" s="40">
        <v>0</v>
      </c>
      <c r="AN37" s="40">
        <v>0</v>
      </c>
      <c r="AO37" s="40">
        <v>0</v>
      </c>
      <c r="AP37" s="40">
        <v>0</v>
      </c>
      <c r="AQ37" s="40">
        <v>0</v>
      </c>
      <c r="AR37" s="40">
        <v>0</v>
      </c>
      <c r="AS37" s="40">
        <v>0</v>
      </c>
      <c r="AT37" s="40">
        <v>0</v>
      </c>
      <c r="AU37" s="40">
        <v>0</v>
      </c>
      <c r="AV37" s="40">
        <v>0</v>
      </c>
      <c r="AW37" s="40">
        <v>0</v>
      </c>
      <c r="AX37" s="40">
        <v>0</v>
      </c>
      <c r="AY37" s="40">
        <v>0</v>
      </c>
      <c r="AZ37" s="40">
        <v>0</v>
      </c>
      <c r="BA37" s="40">
        <v>0</v>
      </c>
      <c r="BB37" s="40">
        <v>0</v>
      </c>
      <c r="BC37" s="40">
        <v>0</v>
      </c>
      <c r="BD37" s="40">
        <v>0</v>
      </c>
      <c r="BE37" s="40">
        <v>0</v>
      </c>
      <c r="BF37" s="40">
        <v>0</v>
      </c>
      <c r="BG37" s="40">
        <v>0</v>
      </c>
      <c r="BH37" s="40">
        <v>0</v>
      </c>
      <c r="BI37" s="40">
        <v>0</v>
      </c>
      <c r="BJ37" s="40">
        <v>0</v>
      </c>
      <c r="BK37" s="40">
        <v>0</v>
      </c>
      <c r="BL37" s="40">
        <v>0</v>
      </c>
      <c r="BM37" s="40">
        <v>0</v>
      </c>
      <c r="BN37" s="40">
        <v>0</v>
      </c>
      <c r="BO37" s="40">
        <v>0</v>
      </c>
      <c r="BP37" s="40">
        <v>0</v>
      </c>
      <c r="BQ37" s="40">
        <v>0</v>
      </c>
      <c r="BR37" s="40">
        <v>0</v>
      </c>
      <c r="BS37" s="40">
        <v>0</v>
      </c>
      <c r="BT37" s="40">
        <v>86667996</v>
      </c>
      <c r="BU37" s="40">
        <v>2468333009</v>
      </c>
      <c r="BV37" s="40">
        <v>2555001005</v>
      </c>
      <c r="BW37" s="40">
        <v>1930595978</v>
      </c>
      <c r="BX37" s="40">
        <v>25957688</v>
      </c>
      <c r="BY37" s="40">
        <v>267518072</v>
      </c>
      <c r="BZ37" s="40">
        <v>267518072</v>
      </c>
      <c r="CA37" s="40">
        <v>0</v>
      </c>
      <c r="CB37" s="40">
        <v>4779072743</v>
      </c>
      <c r="CC37" s="41"/>
      <c r="CD37" s="41"/>
      <c r="CE37" s="42"/>
      <c r="CF37" s="42"/>
      <c r="CG37" s="42"/>
      <c r="CH37" s="42"/>
    </row>
    <row r="38" spans="1:86">
      <c r="A38" s="38">
        <v>32</v>
      </c>
      <c r="B38" s="65" t="s">
        <v>96</v>
      </c>
      <c r="C38" s="39" t="s">
        <v>164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40">
        <v>0</v>
      </c>
      <c r="AD38" s="40">
        <v>0</v>
      </c>
      <c r="AE38" s="40">
        <v>0</v>
      </c>
      <c r="AF38" s="40">
        <v>0</v>
      </c>
      <c r="AG38" s="40">
        <v>0</v>
      </c>
      <c r="AH38" s="40">
        <v>0</v>
      </c>
      <c r="AI38" s="40">
        <v>443103202</v>
      </c>
      <c r="AJ38" s="40">
        <v>0</v>
      </c>
      <c r="AK38" s="40">
        <v>0</v>
      </c>
      <c r="AL38" s="40">
        <v>0</v>
      </c>
      <c r="AM38" s="40">
        <v>0</v>
      </c>
      <c r="AN38" s="40">
        <v>0</v>
      </c>
      <c r="AO38" s="40">
        <v>0</v>
      </c>
      <c r="AP38" s="40">
        <v>0</v>
      </c>
      <c r="AQ38" s="40">
        <v>0</v>
      </c>
      <c r="AR38" s="40">
        <v>0</v>
      </c>
      <c r="AS38" s="40">
        <v>0</v>
      </c>
      <c r="AT38" s="40">
        <v>0</v>
      </c>
      <c r="AU38" s="40">
        <v>0</v>
      </c>
      <c r="AV38" s="40">
        <v>0</v>
      </c>
      <c r="AW38" s="40">
        <v>0</v>
      </c>
      <c r="AX38" s="40">
        <v>0</v>
      </c>
      <c r="AY38" s="40">
        <v>0</v>
      </c>
      <c r="AZ38" s="40">
        <v>0</v>
      </c>
      <c r="BA38" s="40">
        <v>0</v>
      </c>
      <c r="BB38" s="40">
        <v>0</v>
      </c>
      <c r="BC38" s="40">
        <v>0</v>
      </c>
      <c r="BD38" s="40">
        <v>0</v>
      </c>
      <c r="BE38" s="40">
        <v>0</v>
      </c>
      <c r="BF38" s="40">
        <v>0</v>
      </c>
      <c r="BG38" s="40">
        <v>0</v>
      </c>
      <c r="BH38" s="40">
        <v>0</v>
      </c>
      <c r="BI38" s="40">
        <v>0</v>
      </c>
      <c r="BJ38" s="40">
        <v>0</v>
      </c>
      <c r="BK38" s="40">
        <v>0</v>
      </c>
      <c r="BL38" s="40">
        <v>0</v>
      </c>
      <c r="BM38" s="40">
        <v>0</v>
      </c>
      <c r="BN38" s="40">
        <v>0</v>
      </c>
      <c r="BO38" s="40">
        <v>0</v>
      </c>
      <c r="BP38" s="40">
        <v>0</v>
      </c>
      <c r="BQ38" s="40">
        <v>0</v>
      </c>
      <c r="BR38" s="40">
        <v>0</v>
      </c>
      <c r="BS38" s="40">
        <v>0</v>
      </c>
      <c r="BT38" s="40">
        <v>443103202</v>
      </c>
      <c r="BU38" s="40">
        <v>1600607092</v>
      </c>
      <c r="BV38" s="40">
        <v>2043710294</v>
      </c>
      <c r="BW38" s="40">
        <v>1394885198</v>
      </c>
      <c r="BX38" s="40">
        <v>18301715</v>
      </c>
      <c r="BY38" s="40">
        <v>124691207</v>
      </c>
      <c r="BZ38" s="40">
        <v>124691207</v>
      </c>
      <c r="CA38" s="40">
        <v>0</v>
      </c>
      <c r="CB38" s="40">
        <v>3581588414</v>
      </c>
      <c r="CC38" s="41"/>
      <c r="CD38" s="41"/>
      <c r="CE38" s="42"/>
      <c r="CF38" s="42"/>
      <c r="CG38" s="42"/>
      <c r="CH38" s="42"/>
    </row>
    <row r="39" spans="1:86" ht="22.5">
      <c r="A39" s="38">
        <v>33</v>
      </c>
      <c r="B39" s="65" t="s">
        <v>95</v>
      </c>
      <c r="C39" s="39" t="s">
        <v>163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40">
        <v>0</v>
      </c>
      <c r="AH39" s="40">
        <v>0</v>
      </c>
      <c r="AI39" s="40">
        <v>0</v>
      </c>
      <c r="AJ39" s="40">
        <v>558132599</v>
      </c>
      <c r="AK39" s="40">
        <v>0</v>
      </c>
      <c r="AL39" s="40">
        <v>0</v>
      </c>
      <c r="AM39" s="40">
        <v>0</v>
      </c>
      <c r="AN39" s="40">
        <v>0</v>
      </c>
      <c r="AO39" s="40">
        <v>0</v>
      </c>
      <c r="AP39" s="40">
        <v>0</v>
      </c>
      <c r="AQ39" s="40">
        <v>0</v>
      </c>
      <c r="AR39" s="40">
        <v>0</v>
      </c>
      <c r="AS39" s="40">
        <v>0</v>
      </c>
      <c r="AT39" s="40">
        <v>0</v>
      </c>
      <c r="AU39" s="40">
        <v>0</v>
      </c>
      <c r="AV39" s="40">
        <v>0</v>
      </c>
      <c r="AW39" s="40">
        <v>0</v>
      </c>
      <c r="AX39" s="40">
        <v>0</v>
      </c>
      <c r="AY39" s="40">
        <v>0</v>
      </c>
      <c r="AZ39" s="40">
        <v>0</v>
      </c>
      <c r="BA39" s="40">
        <v>0</v>
      </c>
      <c r="BB39" s="40">
        <v>0</v>
      </c>
      <c r="BC39" s="40">
        <v>0</v>
      </c>
      <c r="BD39" s="40">
        <v>0</v>
      </c>
      <c r="BE39" s="40">
        <v>0</v>
      </c>
      <c r="BF39" s="40">
        <v>0</v>
      </c>
      <c r="BG39" s="40">
        <v>0</v>
      </c>
      <c r="BH39" s="40">
        <v>0</v>
      </c>
      <c r="BI39" s="40">
        <v>0</v>
      </c>
      <c r="BJ39" s="40">
        <v>0</v>
      </c>
      <c r="BK39" s="40">
        <v>0</v>
      </c>
      <c r="BL39" s="40">
        <v>0</v>
      </c>
      <c r="BM39" s="40">
        <v>0</v>
      </c>
      <c r="BN39" s="40">
        <v>0</v>
      </c>
      <c r="BO39" s="40">
        <v>0</v>
      </c>
      <c r="BP39" s="40">
        <v>0</v>
      </c>
      <c r="BQ39" s="40">
        <v>0</v>
      </c>
      <c r="BR39" s="40">
        <v>0</v>
      </c>
      <c r="BS39" s="40">
        <v>0</v>
      </c>
      <c r="BT39" s="40">
        <v>558132599</v>
      </c>
      <c r="BU39" s="40">
        <v>3594098178</v>
      </c>
      <c r="BV39" s="40">
        <v>4152230777</v>
      </c>
      <c r="BW39" s="40">
        <v>1048937758</v>
      </c>
      <c r="BX39" s="40">
        <v>60839427</v>
      </c>
      <c r="BY39" s="40">
        <v>137554886</v>
      </c>
      <c r="BZ39" s="40">
        <v>137554886</v>
      </c>
      <c r="CA39" s="40">
        <v>0</v>
      </c>
      <c r="CB39" s="40">
        <v>5399562848</v>
      </c>
      <c r="CC39" s="41"/>
      <c r="CD39" s="41"/>
      <c r="CE39" s="42"/>
      <c r="CF39" s="42"/>
      <c r="CG39" s="42"/>
      <c r="CH39" s="42"/>
    </row>
    <row r="40" spans="1:86">
      <c r="A40" s="38">
        <v>34</v>
      </c>
      <c r="B40" s="65" t="s">
        <v>63</v>
      </c>
      <c r="C40" s="39" t="s">
        <v>62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1990638600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0</v>
      </c>
      <c r="AV40" s="40">
        <v>0</v>
      </c>
      <c r="AW40" s="40">
        <v>0</v>
      </c>
      <c r="AX40" s="40">
        <v>0</v>
      </c>
      <c r="AY40" s="40">
        <v>0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0">
        <v>0</v>
      </c>
      <c r="BI40" s="40">
        <v>0</v>
      </c>
      <c r="BJ40" s="40">
        <v>0</v>
      </c>
      <c r="BK40" s="40">
        <v>0</v>
      </c>
      <c r="BL40" s="40">
        <v>0</v>
      </c>
      <c r="BM40" s="40">
        <v>0</v>
      </c>
      <c r="BN40" s="40">
        <v>0</v>
      </c>
      <c r="BO40" s="40">
        <v>0</v>
      </c>
      <c r="BP40" s="40">
        <v>0</v>
      </c>
      <c r="BQ40" s="40">
        <v>0</v>
      </c>
      <c r="BR40" s="40">
        <v>0</v>
      </c>
      <c r="BS40" s="40">
        <v>0</v>
      </c>
      <c r="BT40" s="40">
        <v>1990638600</v>
      </c>
      <c r="BU40" s="40">
        <v>3298492943</v>
      </c>
      <c r="BV40" s="40">
        <v>5289131543</v>
      </c>
      <c r="BW40" s="40">
        <v>2034159291</v>
      </c>
      <c r="BX40" s="40">
        <v>52589261</v>
      </c>
      <c r="BY40" s="40">
        <v>367179481</v>
      </c>
      <c r="BZ40" s="40">
        <v>367179481</v>
      </c>
      <c r="CA40" s="40">
        <v>0</v>
      </c>
      <c r="CB40" s="40">
        <v>7743059576</v>
      </c>
      <c r="CC40" s="41"/>
      <c r="CD40" s="41"/>
      <c r="CE40" s="42"/>
      <c r="CF40" s="42"/>
      <c r="CG40" s="42"/>
      <c r="CH40" s="42"/>
    </row>
    <row r="41" spans="1:86">
      <c r="A41" s="38">
        <v>35</v>
      </c>
      <c r="B41" s="65" t="s">
        <v>61</v>
      </c>
      <c r="C41" s="39" t="s">
        <v>60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693628765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693628765</v>
      </c>
      <c r="BU41" s="40">
        <v>1547204450</v>
      </c>
      <c r="BV41" s="40">
        <v>2240833215</v>
      </c>
      <c r="BW41" s="40">
        <v>1094052953</v>
      </c>
      <c r="BX41" s="40">
        <v>50625664</v>
      </c>
      <c r="BY41" s="40">
        <v>48381014</v>
      </c>
      <c r="BZ41" s="40">
        <v>48381014</v>
      </c>
      <c r="CA41" s="40">
        <v>0</v>
      </c>
      <c r="CB41" s="40">
        <v>3433892846</v>
      </c>
      <c r="CC41" s="41"/>
      <c r="CD41" s="41"/>
      <c r="CE41" s="42"/>
      <c r="CF41" s="42"/>
      <c r="CG41" s="42"/>
      <c r="CH41" s="42"/>
    </row>
    <row r="42" spans="1:86">
      <c r="A42" s="38">
        <v>36</v>
      </c>
      <c r="B42" s="65" t="s">
        <v>59</v>
      </c>
      <c r="C42" s="39" t="s">
        <v>58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0</v>
      </c>
      <c r="AC42" s="40">
        <v>0</v>
      </c>
      <c r="AD42" s="40">
        <v>0</v>
      </c>
      <c r="AE42" s="40">
        <v>0</v>
      </c>
      <c r="AF42" s="40">
        <v>0</v>
      </c>
      <c r="AG42" s="40">
        <v>0</v>
      </c>
      <c r="AH42" s="40">
        <v>0</v>
      </c>
      <c r="AI42" s="40">
        <v>0</v>
      </c>
      <c r="AJ42" s="40">
        <v>0</v>
      </c>
      <c r="AK42" s="40">
        <v>0</v>
      </c>
      <c r="AL42" s="40">
        <v>0</v>
      </c>
      <c r="AM42" s="40">
        <v>139734072</v>
      </c>
      <c r="AN42" s="40">
        <v>0</v>
      </c>
      <c r="AO42" s="40">
        <v>0</v>
      </c>
      <c r="AP42" s="40">
        <v>0</v>
      </c>
      <c r="AQ42" s="40">
        <v>0</v>
      </c>
      <c r="AR42" s="40">
        <v>0</v>
      </c>
      <c r="AS42" s="40">
        <v>0</v>
      </c>
      <c r="AT42" s="40">
        <v>0</v>
      </c>
      <c r="AU42" s="40">
        <v>0</v>
      </c>
      <c r="AV42" s="40">
        <v>0</v>
      </c>
      <c r="AW42" s="40">
        <v>0</v>
      </c>
      <c r="AX42" s="40">
        <v>0</v>
      </c>
      <c r="AY42" s="40">
        <v>0</v>
      </c>
      <c r="AZ42" s="40">
        <v>0</v>
      </c>
      <c r="BA42" s="40">
        <v>0</v>
      </c>
      <c r="BB42" s="40">
        <v>0</v>
      </c>
      <c r="BC42" s="40">
        <v>0</v>
      </c>
      <c r="BD42" s="40">
        <v>0</v>
      </c>
      <c r="BE42" s="40">
        <v>0</v>
      </c>
      <c r="BF42" s="40">
        <v>0</v>
      </c>
      <c r="BG42" s="40">
        <v>0</v>
      </c>
      <c r="BH42" s="40">
        <v>0</v>
      </c>
      <c r="BI42" s="40">
        <v>0</v>
      </c>
      <c r="BJ42" s="40">
        <v>0</v>
      </c>
      <c r="BK42" s="40">
        <v>0</v>
      </c>
      <c r="BL42" s="40">
        <v>0</v>
      </c>
      <c r="BM42" s="40">
        <v>0</v>
      </c>
      <c r="BN42" s="40">
        <v>0</v>
      </c>
      <c r="BO42" s="40">
        <v>0</v>
      </c>
      <c r="BP42" s="40">
        <v>0</v>
      </c>
      <c r="BQ42" s="40">
        <v>0</v>
      </c>
      <c r="BR42" s="40">
        <v>0</v>
      </c>
      <c r="BS42" s="40">
        <v>0</v>
      </c>
      <c r="BT42" s="40">
        <v>139734072</v>
      </c>
      <c r="BU42" s="40">
        <v>279817103</v>
      </c>
      <c r="BV42" s="40">
        <v>419551175</v>
      </c>
      <c r="BW42" s="40">
        <v>230963467</v>
      </c>
      <c r="BX42" s="40">
        <v>3538953</v>
      </c>
      <c r="BY42" s="40">
        <v>33737150</v>
      </c>
      <c r="BZ42" s="40">
        <v>33737150</v>
      </c>
      <c r="CA42" s="40">
        <v>0</v>
      </c>
      <c r="CB42" s="40">
        <v>687790745</v>
      </c>
      <c r="CC42" s="41"/>
      <c r="CD42" s="41"/>
      <c r="CE42" s="42"/>
      <c r="CF42" s="42"/>
      <c r="CG42" s="42"/>
      <c r="CH42" s="42"/>
    </row>
    <row r="43" spans="1:86">
      <c r="A43" s="38">
        <v>37</v>
      </c>
      <c r="B43" s="65" t="s">
        <v>57</v>
      </c>
      <c r="C43" s="39" t="s">
        <v>56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0</v>
      </c>
      <c r="O43" s="40">
        <v>0</v>
      </c>
      <c r="P43" s="40">
        <v>0</v>
      </c>
      <c r="Q43" s="40">
        <v>0</v>
      </c>
      <c r="R43" s="40">
        <v>0</v>
      </c>
      <c r="S43" s="40">
        <v>0</v>
      </c>
      <c r="T43" s="40">
        <v>0</v>
      </c>
      <c r="U43" s="40">
        <v>0</v>
      </c>
      <c r="V43" s="40">
        <v>0</v>
      </c>
      <c r="W43" s="40">
        <v>0</v>
      </c>
      <c r="X43" s="40">
        <v>0</v>
      </c>
      <c r="Y43" s="40">
        <v>0</v>
      </c>
      <c r="Z43" s="40">
        <v>0</v>
      </c>
      <c r="AA43" s="40">
        <v>0</v>
      </c>
      <c r="AB43" s="40">
        <v>0</v>
      </c>
      <c r="AC43" s="40">
        <v>0</v>
      </c>
      <c r="AD43" s="40">
        <v>0</v>
      </c>
      <c r="AE43" s="40">
        <v>0</v>
      </c>
      <c r="AF43" s="40">
        <v>0</v>
      </c>
      <c r="AG43" s="40">
        <v>0</v>
      </c>
      <c r="AH43" s="40">
        <v>0</v>
      </c>
      <c r="AI43" s="40">
        <v>0</v>
      </c>
      <c r="AJ43" s="40">
        <v>0</v>
      </c>
      <c r="AK43" s="40">
        <v>0</v>
      </c>
      <c r="AL43" s="40">
        <v>0</v>
      </c>
      <c r="AM43" s="40">
        <v>0</v>
      </c>
      <c r="AN43" s="40">
        <v>75388799</v>
      </c>
      <c r="AO43" s="40">
        <v>0</v>
      </c>
      <c r="AP43" s="40">
        <v>0</v>
      </c>
      <c r="AQ43" s="40">
        <v>0</v>
      </c>
      <c r="AR43" s="40">
        <v>0</v>
      </c>
      <c r="AS43" s="40">
        <v>0</v>
      </c>
      <c r="AT43" s="40">
        <v>0</v>
      </c>
      <c r="AU43" s="40">
        <v>0</v>
      </c>
      <c r="AV43" s="40">
        <v>0</v>
      </c>
      <c r="AW43" s="40">
        <v>0</v>
      </c>
      <c r="AX43" s="40">
        <v>0</v>
      </c>
      <c r="AY43" s="40">
        <v>0</v>
      </c>
      <c r="AZ43" s="40">
        <v>0</v>
      </c>
      <c r="BA43" s="40">
        <v>0</v>
      </c>
      <c r="BB43" s="40">
        <v>0</v>
      </c>
      <c r="BC43" s="40">
        <v>0</v>
      </c>
      <c r="BD43" s="40">
        <v>0</v>
      </c>
      <c r="BE43" s="40">
        <v>0</v>
      </c>
      <c r="BF43" s="40">
        <v>0</v>
      </c>
      <c r="BG43" s="40">
        <v>0</v>
      </c>
      <c r="BH43" s="40">
        <v>0</v>
      </c>
      <c r="BI43" s="40">
        <v>0</v>
      </c>
      <c r="BJ43" s="40">
        <v>0</v>
      </c>
      <c r="BK43" s="40">
        <v>0</v>
      </c>
      <c r="BL43" s="40">
        <v>0</v>
      </c>
      <c r="BM43" s="40">
        <v>0</v>
      </c>
      <c r="BN43" s="40">
        <v>0</v>
      </c>
      <c r="BO43" s="40">
        <v>0</v>
      </c>
      <c r="BP43" s="40">
        <v>0</v>
      </c>
      <c r="BQ43" s="40">
        <v>0</v>
      </c>
      <c r="BR43" s="40">
        <v>0</v>
      </c>
      <c r="BS43" s="40">
        <v>0</v>
      </c>
      <c r="BT43" s="40">
        <v>75388799</v>
      </c>
      <c r="BU43" s="40">
        <v>835129767</v>
      </c>
      <c r="BV43" s="40">
        <v>910518566</v>
      </c>
      <c r="BW43" s="40">
        <v>668448001</v>
      </c>
      <c r="BX43" s="40">
        <v>16613210</v>
      </c>
      <c r="BY43" s="40">
        <v>72621829</v>
      </c>
      <c r="BZ43" s="40">
        <v>72621829</v>
      </c>
      <c r="CA43" s="40">
        <v>0</v>
      </c>
      <c r="CB43" s="40">
        <v>1668201606</v>
      </c>
      <c r="CC43" s="41"/>
      <c r="CD43" s="41"/>
      <c r="CE43" s="42"/>
      <c r="CF43" s="42"/>
      <c r="CG43" s="42"/>
      <c r="CH43" s="42"/>
    </row>
    <row r="44" spans="1:86" ht="22.5">
      <c r="A44" s="38">
        <v>38</v>
      </c>
      <c r="B44" s="65" t="s">
        <v>55</v>
      </c>
      <c r="C44" s="39" t="s">
        <v>136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40">
        <v>0</v>
      </c>
      <c r="AJ44" s="40">
        <v>0</v>
      </c>
      <c r="AK44" s="40">
        <v>0</v>
      </c>
      <c r="AL44" s="40">
        <v>0</v>
      </c>
      <c r="AM44" s="40">
        <v>0</v>
      </c>
      <c r="AN44" s="40">
        <v>0</v>
      </c>
      <c r="AO44" s="40">
        <v>1329676000</v>
      </c>
      <c r="AP44" s="40">
        <v>0</v>
      </c>
      <c r="AQ44" s="40">
        <v>0</v>
      </c>
      <c r="AR44" s="40">
        <v>0</v>
      </c>
      <c r="AS44" s="40">
        <v>0</v>
      </c>
      <c r="AT44" s="40">
        <v>0</v>
      </c>
      <c r="AU44" s="40">
        <v>0</v>
      </c>
      <c r="AV44" s="40">
        <v>0</v>
      </c>
      <c r="AW44" s="40">
        <v>0</v>
      </c>
      <c r="AX44" s="40">
        <v>0</v>
      </c>
      <c r="AY44" s="40">
        <v>0</v>
      </c>
      <c r="AZ44" s="40">
        <v>0</v>
      </c>
      <c r="BA44" s="40">
        <v>0</v>
      </c>
      <c r="BB44" s="40">
        <v>0</v>
      </c>
      <c r="BC44" s="40">
        <v>0</v>
      </c>
      <c r="BD44" s="40">
        <v>0</v>
      </c>
      <c r="BE44" s="40">
        <v>0</v>
      </c>
      <c r="BF44" s="40">
        <v>0</v>
      </c>
      <c r="BG44" s="40">
        <v>0</v>
      </c>
      <c r="BH44" s="40">
        <v>0</v>
      </c>
      <c r="BI44" s="40">
        <v>0</v>
      </c>
      <c r="BJ44" s="40">
        <v>0</v>
      </c>
      <c r="BK44" s="40">
        <v>0</v>
      </c>
      <c r="BL44" s="40">
        <v>0</v>
      </c>
      <c r="BM44" s="40">
        <v>0</v>
      </c>
      <c r="BN44" s="40">
        <v>0</v>
      </c>
      <c r="BO44" s="40">
        <v>0</v>
      </c>
      <c r="BP44" s="40">
        <v>0</v>
      </c>
      <c r="BQ44" s="40">
        <v>0</v>
      </c>
      <c r="BR44" s="40">
        <v>0</v>
      </c>
      <c r="BS44" s="40">
        <v>0</v>
      </c>
      <c r="BT44" s="40">
        <v>1329676000</v>
      </c>
      <c r="BU44" s="40">
        <v>148540985</v>
      </c>
      <c r="BV44" s="40">
        <v>1478216985</v>
      </c>
      <c r="BW44" s="40">
        <v>0</v>
      </c>
      <c r="BX44" s="40">
        <v>0</v>
      </c>
      <c r="BY44" s="40">
        <v>17911379</v>
      </c>
      <c r="BZ44" s="40">
        <v>17911379</v>
      </c>
      <c r="CA44" s="40">
        <v>0</v>
      </c>
      <c r="CB44" s="40">
        <v>1496128364</v>
      </c>
      <c r="CC44" s="41"/>
      <c r="CD44" s="41"/>
      <c r="CE44" s="42"/>
      <c r="CF44" s="42"/>
      <c r="CG44" s="42"/>
      <c r="CH44" s="42"/>
    </row>
    <row r="45" spans="1:86" ht="22.5">
      <c r="A45" s="38">
        <v>39</v>
      </c>
      <c r="B45" s="65" t="s">
        <v>54</v>
      </c>
      <c r="C45" s="39" t="s">
        <v>53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  <c r="Q45" s="40">
        <v>0</v>
      </c>
      <c r="R45" s="40">
        <v>0</v>
      </c>
      <c r="S45" s="40">
        <v>0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0">
        <v>0</v>
      </c>
      <c r="AG45" s="40">
        <v>0</v>
      </c>
      <c r="AH45" s="40">
        <v>0</v>
      </c>
      <c r="AI45" s="40">
        <v>0</v>
      </c>
      <c r="AJ45" s="40">
        <v>0</v>
      </c>
      <c r="AK45" s="40">
        <v>0</v>
      </c>
      <c r="AL45" s="40">
        <v>0</v>
      </c>
      <c r="AM45" s="40">
        <v>0</v>
      </c>
      <c r="AN45" s="40">
        <v>0</v>
      </c>
      <c r="AO45" s="40">
        <v>0</v>
      </c>
      <c r="AP45" s="40">
        <v>2660278399</v>
      </c>
      <c r="AQ45" s="40">
        <v>0</v>
      </c>
      <c r="AR45" s="40">
        <v>0</v>
      </c>
      <c r="AS45" s="40">
        <v>0</v>
      </c>
      <c r="AT45" s="40">
        <v>0</v>
      </c>
      <c r="AU45" s="40">
        <v>0</v>
      </c>
      <c r="AV45" s="40">
        <v>0</v>
      </c>
      <c r="AW45" s="40">
        <v>0</v>
      </c>
      <c r="AX45" s="40">
        <v>0</v>
      </c>
      <c r="AY45" s="40">
        <v>0</v>
      </c>
      <c r="AZ45" s="40">
        <v>0</v>
      </c>
      <c r="BA45" s="40">
        <v>0</v>
      </c>
      <c r="BB45" s="40">
        <v>0</v>
      </c>
      <c r="BC45" s="40">
        <v>0</v>
      </c>
      <c r="BD45" s="40">
        <v>0</v>
      </c>
      <c r="BE45" s="40">
        <v>0</v>
      </c>
      <c r="BF45" s="40">
        <v>0</v>
      </c>
      <c r="BG45" s="40">
        <v>0</v>
      </c>
      <c r="BH45" s="40">
        <v>0</v>
      </c>
      <c r="BI45" s="40">
        <v>0</v>
      </c>
      <c r="BJ45" s="40">
        <v>0</v>
      </c>
      <c r="BK45" s="40">
        <v>0</v>
      </c>
      <c r="BL45" s="40">
        <v>0</v>
      </c>
      <c r="BM45" s="40">
        <v>0</v>
      </c>
      <c r="BN45" s="40">
        <v>0</v>
      </c>
      <c r="BO45" s="40">
        <v>0</v>
      </c>
      <c r="BP45" s="40">
        <v>0</v>
      </c>
      <c r="BQ45" s="40">
        <v>0</v>
      </c>
      <c r="BR45" s="40">
        <v>0</v>
      </c>
      <c r="BS45" s="40">
        <v>0</v>
      </c>
      <c r="BT45" s="40">
        <v>2660278399</v>
      </c>
      <c r="BU45" s="40">
        <v>160010009</v>
      </c>
      <c r="BV45" s="40">
        <v>2820288408</v>
      </c>
      <c r="BW45" s="40">
        <v>0</v>
      </c>
      <c r="BX45" s="40">
        <v>0</v>
      </c>
      <c r="BY45" s="40">
        <v>164472928</v>
      </c>
      <c r="BZ45" s="40">
        <v>164472928</v>
      </c>
      <c r="CA45" s="40">
        <v>0</v>
      </c>
      <c r="CB45" s="40">
        <v>2984761336</v>
      </c>
      <c r="CC45" s="41"/>
      <c r="CD45" s="41"/>
      <c r="CE45" s="42"/>
      <c r="CF45" s="42"/>
      <c r="CG45" s="42"/>
      <c r="CH45" s="42"/>
    </row>
    <row r="46" spans="1:86" ht="33.75">
      <c r="A46" s="38">
        <v>40</v>
      </c>
      <c r="B46" s="65" t="s">
        <v>52</v>
      </c>
      <c r="C46" s="39" t="s">
        <v>51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  <c r="AI46" s="40">
        <v>0</v>
      </c>
      <c r="AJ46" s="40">
        <v>0</v>
      </c>
      <c r="AK46" s="40">
        <v>0</v>
      </c>
      <c r="AL46" s="40">
        <v>0</v>
      </c>
      <c r="AM46" s="40">
        <v>0</v>
      </c>
      <c r="AN46" s="40">
        <v>0</v>
      </c>
      <c r="AO46" s="40">
        <v>0</v>
      </c>
      <c r="AP46" s="40">
        <v>0</v>
      </c>
      <c r="AQ46" s="40">
        <v>353869500</v>
      </c>
      <c r="AR46" s="40">
        <v>0</v>
      </c>
      <c r="AS46" s="40">
        <v>0</v>
      </c>
      <c r="AT46" s="40">
        <v>0</v>
      </c>
      <c r="AU46" s="40">
        <v>0</v>
      </c>
      <c r="AV46" s="40">
        <v>0</v>
      </c>
      <c r="AW46" s="40">
        <v>0</v>
      </c>
      <c r="AX46" s="40">
        <v>0</v>
      </c>
      <c r="AY46" s="40">
        <v>0</v>
      </c>
      <c r="AZ46" s="40">
        <v>0</v>
      </c>
      <c r="BA46" s="40">
        <v>0</v>
      </c>
      <c r="BB46" s="40">
        <v>0</v>
      </c>
      <c r="BC46" s="40">
        <v>0</v>
      </c>
      <c r="BD46" s="40">
        <v>0</v>
      </c>
      <c r="BE46" s="40">
        <v>0</v>
      </c>
      <c r="BF46" s="40">
        <v>0</v>
      </c>
      <c r="BG46" s="40">
        <v>0</v>
      </c>
      <c r="BH46" s="40">
        <v>0</v>
      </c>
      <c r="BI46" s="40">
        <v>0</v>
      </c>
      <c r="BJ46" s="40">
        <v>0</v>
      </c>
      <c r="BK46" s="40">
        <v>0</v>
      </c>
      <c r="BL46" s="40">
        <v>0</v>
      </c>
      <c r="BM46" s="40">
        <v>0</v>
      </c>
      <c r="BN46" s="40">
        <v>0</v>
      </c>
      <c r="BO46" s="40">
        <v>0</v>
      </c>
      <c r="BP46" s="40">
        <v>0</v>
      </c>
      <c r="BQ46" s="40">
        <v>0</v>
      </c>
      <c r="BR46" s="40">
        <v>0</v>
      </c>
      <c r="BS46" s="40">
        <v>0</v>
      </c>
      <c r="BT46" s="40">
        <v>353869500</v>
      </c>
      <c r="BU46" s="40">
        <v>1865020</v>
      </c>
      <c r="BV46" s="40">
        <v>355734520</v>
      </c>
      <c r="BW46" s="40">
        <v>0</v>
      </c>
      <c r="BX46" s="40">
        <v>0</v>
      </c>
      <c r="BY46" s="40">
        <v>27975926</v>
      </c>
      <c r="BZ46" s="40">
        <v>27975926</v>
      </c>
      <c r="CA46" s="40">
        <v>0</v>
      </c>
      <c r="CB46" s="40">
        <v>383710446</v>
      </c>
      <c r="CC46" s="41"/>
      <c r="CD46" s="41"/>
      <c r="CE46" s="42"/>
      <c r="CF46" s="42"/>
      <c r="CG46" s="42"/>
      <c r="CH46" s="42"/>
    </row>
    <row r="47" spans="1:86" ht="22.5">
      <c r="A47" s="38">
        <v>41</v>
      </c>
      <c r="B47" s="65" t="s">
        <v>50</v>
      </c>
      <c r="C47" s="39" t="s">
        <v>49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  <c r="AI47" s="40">
        <v>0</v>
      </c>
      <c r="AJ47" s="40">
        <v>0</v>
      </c>
      <c r="AK47" s="40">
        <v>0</v>
      </c>
      <c r="AL47" s="40">
        <v>0</v>
      </c>
      <c r="AM47" s="40">
        <v>0</v>
      </c>
      <c r="AN47" s="40">
        <v>0</v>
      </c>
      <c r="AO47" s="40">
        <v>0</v>
      </c>
      <c r="AP47" s="40">
        <v>0</v>
      </c>
      <c r="AQ47" s="40">
        <v>0</v>
      </c>
      <c r="AR47" s="40">
        <v>683282400</v>
      </c>
      <c r="AS47" s="40">
        <v>0</v>
      </c>
      <c r="AT47" s="40">
        <v>0</v>
      </c>
      <c r="AU47" s="40">
        <v>0</v>
      </c>
      <c r="AV47" s="40">
        <v>0</v>
      </c>
      <c r="AW47" s="40">
        <v>0</v>
      </c>
      <c r="AX47" s="40">
        <v>0</v>
      </c>
      <c r="AY47" s="40">
        <v>0</v>
      </c>
      <c r="AZ47" s="40">
        <v>0</v>
      </c>
      <c r="BA47" s="40">
        <v>0</v>
      </c>
      <c r="BB47" s="40">
        <v>0</v>
      </c>
      <c r="BC47" s="40">
        <v>0</v>
      </c>
      <c r="BD47" s="40">
        <v>0</v>
      </c>
      <c r="BE47" s="40">
        <v>0</v>
      </c>
      <c r="BF47" s="40">
        <v>0</v>
      </c>
      <c r="BG47" s="40">
        <v>0</v>
      </c>
      <c r="BH47" s="40">
        <v>0</v>
      </c>
      <c r="BI47" s="40">
        <v>0</v>
      </c>
      <c r="BJ47" s="40">
        <v>0</v>
      </c>
      <c r="BK47" s="40">
        <v>0</v>
      </c>
      <c r="BL47" s="40">
        <v>0</v>
      </c>
      <c r="BM47" s="40">
        <v>0</v>
      </c>
      <c r="BN47" s="40">
        <v>0</v>
      </c>
      <c r="BO47" s="40">
        <v>0</v>
      </c>
      <c r="BP47" s="40">
        <v>0</v>
      </c>
      <c r="BQ47" s="40">
        <v>0</v>
      </c>
      <c r="BR47" s="40">
        <v>0</v>
      </c>
      <c r="BS47" s="40">
        <v>0</v>
      </c>
      <c r="BT47" s="40">
        <v>683282400</v>
      </c>
      <c r="BU47" s="40">
        <v>7002172</v>
      </c>
      <c r="BV47" s="40">
        <v>690284572</v>
      </c>
      <c r="BW47" s="40">
        <v>0</v>
      </c>
      <c r="BX47" s="40">
        <v>0</v>
      </c>
      <c r="BY47" s="40">
        <v>55886746</v>
      </c>
      <c r="BZ47" s="40">
        <v>55886746</v>
      </c>
      <c r="CA47" s="40">
        <v>0</v>
      </c>
      <c r="CB47" s="40">
        <v>746171318</v>
      </c>
      <c r="CC47" s="41"/>
      <c r="CD47" s="41"/>
      <c r="CE47" s="42"/>
      <c r="CF47" s="42"/>
      <c r="CG47" s="42"/>
      <c r="CH47" s="42"/>
    </row>
    <row r="48" spans="1:86" ht="33.75">
      <c r="A48" s="38">
        <v>42</v>
      </c>
      <c r="B48" s="65" t="s">
        <v>94</v>
      </c>
      <c r="C48" s="39" t="s">
        <v>162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40">
        <v>0</v>
      </c>
      <c r="AH48" s="40">
        <v>0</v>
      </c>
      <c r="AI48" s="40">
        <v>0</v>
      </c>
      <c r="AJ48" s="40">
        <v>0</v>
      </c>
      <c r="AK48" s="40">
        <v>0</v>
      </c>
      <c r="AL48" s="40">
        <v>0</v>
      </c>
      <c r="AM48" s="40">
        <v>0</v>
      </c>
      <c r="AN48" s="40">
        <v>0</v>
      </c>
      <c r="AO48" s="40">
        <v>0</v>
      </c>
      <c r="AP48" s="40">
        <v>0</v>
      </c>
      <c r="AQ48" s="40">
        <v>0</v>
      </c>
      <c r="AR48" s="40">
        <v>0</v>
      </c>
      <c r="AS48" s="40">
        <v>726589296</v>
      </c>
      <c r="AT48" s="40">
        <v>0</v>
      </c>
      <c r="AU48" s="40">
        <v>0</v>
      </c>
      <c r="AV48" s="40">
        <v>0</v>
      </c>
      <c r="AW48" s="40">
        <v>0</v>
      </c>
      <c r="AX48" s="40">
        <v>0</v>
      </c>
      <c r="AY48" s="40">
        <v>0</v>
      </c>
      <c r="AZ48" s="40">
        <v>0</v>
      </c>
      <c r="BA48" s="40">
        <v>0</v>
      </c>
      <c r="BB48" s="40">
        <v>0</v>
      </c>
      <c r="BC48" s="40">
        <v>0</v>
      </c>
      <c r="BD48" s="40">
        <v>0</v>
      </c>
      <c r="BE48" s="40">
        <v>0</v>
      </c>
      <c r="BF48" s="40">
        <v>0</v>
      </c>
      <c r="BG48" s="40">
        <v>0</v>
      </c>
      <c r="BH48" s="40">
        <v>0</v>
      </c>
      <c r="BI48" s="40">
        <v>0</v>
      </c>
      <c r="BJ48" s="40">
        <v>0</v>
      </c>
      <c r="BK48" s="40">
        <v>0</v>
      </c>
      <c r="BL48" s="40">
        <v>0</v>
      </c>
      <c r="BM48" s="40">
        <v>0</v>
      </c>
      <c r="BN48" s="40">
        <v>0</v>
      </c>
      <c r="BO48" s="40">
        <v>0</v>
      </c>
      <c r="BP48" s="40">
        <v>0</v>
      </c>
      <c r="BQ48" s="40">
        <v>0</v>
      </c>
      <c r="BR48" s="40">
        <v>0</v>
      </c>
      <c r="BS48" s="40">
        <v>0</v>
      </c>
      <c r="BT48" s="40">
        <v>726589296</v>
      </c>
      <c r="BU48" s="40">
        <v>24533299</v>
      </c>
      <c r="BV48" s="40">
        <v>751122595</v>
      </c>
      <c r="BW48" s="40">
        <v>45164655</v>
      </c>
      <c r="BX48" s="40">
        <v>4258692</v>
      </c>
      <c r="BY48" s="40">
        <v>11510243</v>
      </c>
      <c r="BZ48" s="40">
        <v>34902404</v>
      </c>
      <c r="CA48" s="40">
        <v>23392161</v>
      </c>
      <c r="CB48" s="40">
        <v>812056185</v>
      </c>
      <c r="CC48" s="41"/>
      <c r="CD48" s="41"/>
      <c r="CE48" s="42"/>
      <c r="CF48" s="42"/>
      <c r="CG48" s="42"/>
      <c r="CH48" s="42"/>
    </row>
    <row r="49" spans="1:86">
      <c r="A49" s="38">
        <v>43</v>
      </c>
      <c r="B49" s="65" t="s">
        <v>48</v>
      </c>
      <c r="C49" s="39" t="s">
        <v>47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0</v>
      </c>
      <c r="AH49" s="40">
        <v>0</v>
      </c>
      <c r="AI49" s="40">
        <v>0</v>
      </c>
      <c r="AJ49" s="40">
        <v>0</v>
      </c>
      <c r="AK49" s="40">
        <v>0</v>
      </c>
      <c r="AL49" s="40">
        <v>0</v>
      </c>
      <c r="AM49" s="40">
        <v>0</v>
      </c>
      <c r="AN49" s="40">
        <v>0</v>
      </c>
      <c r="AO49" s="40">
        <v>0</v>
      </c>
      <c r="AP49" s="40">
        <v>0</v>
      </c>
      <c r="AQ49" s="40">
        <v>0</v>
      </c>
      <c r="AR49" s="40">
        <v>0</v>
      </c>
      <c r="AS49" s="40">
        <v>0</v>
      </c>
      <c r="AT49" s="40">
        <v>14392498403</v>
      </c>
      <c r="AU49" s="40">
        <v>0</v>
      </c>
      <c r="AV49" s="40">
        <v>0</v>
      </c>
      <c r="AW49" s="40">
        <v>0</v>
      </c>
      <c r="AX49" s="40">
        <v>0</v>
      </c>
      <c r="AY49" s="40">
        <v>0</v>
      </c>
      <c r="AZ49" s="40">
        <v>0</v>
      </c>
      <c r="BA49" s="40">
        <v>0</v>
      </c>
      <c r="BB49" s="40">
        <v>0</v>
      </c>
      <c r="BC49" s="40">
        <v>0</v>
      </c>
      <c r="BD49" s="40">
        <v>0</v>
      </c>
      <c r="BE49" s="40">
        <v>0</v>
      </c>
      <c r="BF49" s="40">
        <v>0</v>
      </c>
      <c r="BG49" s="40">
        <v>0</v>
      </c>
      <c r="BH49" s="40">
        <v>0</v>
      </c>
      <c r="BI49" s="40">
        <v>0</v>
      </c>
      <c r="BJ49" s="40">
        <v>0</v>
      </c>
      <c r="BK49" s="40">
        <v>0</v>
      </c>
      <c r="BL49" s="40">
        <v>0</v>
      </c>
      <c r="BM49" s="40">
        <v>0</v>
      </c>
      <c r="BN49" s="40">
        <v>0</v>
      </c>
      <c r="BO49" s="40">
        <v>0</v>
      </c>
      <c r="BP49" s="40">
        <v>0</v>
      </c>
      <c r="BQ49" s="40">
        <v>0</v>
      </c>
      <c r="BR49" s="40">
        <v>0</v>
      </c>
      <c r="BS49" s="40">
        <v>0</v>
      </c>
      <c r="BT49" s="40">
        <v>14392498403</v>
      </c>
      <c r="BU49" s="40">
        <v>199433858</v>
      </c>
      <c r="BV49" s="40">
        <v>14591932261</v>
      </c>
      <c r="BW49" s="40">
        <v>0</v>
      </c>
      <c r="BX49" s="40">
        <v>0</v>
      </c>
      <c r="BY49" s="40">
        <v>515023774</v>
      </c>
      <c r="BZ49" s="40">
        <v>515023774</v>
      </c>
      <c r="CA49" s="40">
        <v>0</v>
      </c>
      <c r="CB49" s="40">
        <v>15106956035</v>
      </c>
      <c r="CC49" s="41"/>
      <c r="CD49" s="41"/>
      <c r="CE49" s="42"/>
      <c r="CF49" s="42"/>
      <c r="CG49" s="42"/>
      <c r="CH49" s="42"/>
    </row>
    <row r="50" spans="1:86" ht="33.75">
      <c r="A50" s="38">
        <v>44</v>
      </c>
      <c r="B50" s="65" t="s">
        <v>46</v>
      </c>
      <c r="C50" s="39" t="s">
        <v>137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T50" s="40">
        <v>0</v>
      </c>
      <c r="U50" s="40">
        <v>0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0</v>
      </c>
      <c r="AC50" s="40">
        <v>0</v>
      </c>
      <c r="AD50" s="40">
        <v>0</v>
      </c>
      <c r="AE50" s="40">
        <v>0</v>
      </c>
      <c r="AF50" s="40">
        <v>0</v>
      </c>
      <c r="AG50" s="40">
        <v>0</v>
      </c>
      <c r="AH50" s="40">
        <v>0</v>
      </c>
      <c r="AI50" s="40">
        <v>0</v>
      </c>
      <c r="AJ50" s="40">
        <v>0</v>
      </c>
      <c r="AK50" s="40">
        <v>0</v>
      </c>
      <c r="AL50" s="40">
        <v>0</v>
      </c>
      <c r="AM50" s="40">
        <v>0</v>
      </c>
      <c r="AN50" s="40">
        <v>0</v>
      </c>
      <c r="AO50" s="40">
        <v>0</v>
      </c>
      <c r="AP50" s="40">
        <v>0</v>
      </c>
      <c r="AQ50" s="40">
        <v>0</v>
      </c>
      <c r="AR50" s="40">
        <v>0</v>
      </c>
      <c r="AS50" s="40">
        <v>0</v>
      </c>
      <c r="AT50" s="40">
        <v>0</v>
      </c>
      <c r="AU50" s="40">
        <v>3576488336</v>
      </c>
      <c r="AV50" s="40">
        <v>0</v>
      </c>
      <c r="AW50" s="40">
        <v>0</v>
      </c>
      <c r="AX50" s="40">
        <v>0</v>
      </c>
      <c r="AY50" s="40">
        <v>0</v>
      </c>
      <c r="AZ50" s="40">
        <v>0</v>
      </c>
      <c r="BA50" s="40">
        <v>0</v>
      </c>
      <c r="BB50" s="40">
        <v>0</v>
      </c>
      <c r="BC50" s="40">
        <v>0</v>
      </c>
      <c r="BD50" s="40">
        <v>0</v>
      </c>
      <c r="BE50" s="40">
        <v>0</v>
      </c>
      <c r="BF50" s="40">
        <v>0</v>
      </c>
      <c r="BG50" s="40">
        <v>0</v>
      </c>
      <c r="BH50" s="40">
        <v>0</v>
      </c>
      <c r="BI50" s="40">
        <v>0</v>
      </c>
      <c r="BJ50" s="40">
        <v>0</v>
      </c>
      <c r="BK50" s="40">
        <v>0</v>
      </c>
      <c r="BL50" s="40">
        <v>0</v>
      </c>
      <c r="BM50" s="40">
        <v>0</v>
      </c>
      <c r="BN50" s="40">
        <v>0</v>
      </c>
      <c r="BO50" s="40">
        <v>0</v>
      </c>
      <c r="BP50" s="40">
        <v>0</v>
      </c>
      <c r="BQ50" s="40">
        <v>0</v>
      </c>
      <c r="BR50" s="40">
        <v>0</v>
      </c>
      <c r="BS50" s="40">
        <v>0</v>
      </c>
      <c r="BT50" s="40">
        <v>3576488336</v>
      </c>
      <c r="BU50" s="40">
        <v>12925966</v>
      </c>
      <c r="BV50" s="40">
        <v>3589414302</v>
      </c>
      <c r="BW50" s="40">
        <v>-3250438590</v>
      </c>
      <c r="BX50" s="40">
        <v>0</v>
      </c>
      <c r="BY50" s="40">
        <v>21566300</v>
      </c>
      <c r="BZ50" s="40">
        <v>21566300</v>
      </c>
      <c r="CA50" s="40">
        <v>0</v>
      </c>
      <c r="CB50" s="40">
        <v>360542012</v>
      </c>
      <c r="CC50" s="41"/>
      <c r="CD50" s="41"/>
      <c r="CE50" s="42"/>
      <c r="CF50" s="42"/>
      <c r="CG50" s="42"/>
      <c r="CH50" s="42"/>
    </row>
    <row r="51" spans="1:86" ht="22.5">
      <c r="A51" s="38">
        <v>45</v>
      </c>
      <c r="B51" s="65" t="s">
        <v>45</v>
      </c>
      <c r="C51" s="39" t="s">
        <v>44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40">
        <v>0</v>
      </c>
      <c r="S51" s="40">
        <v>0</v>
      </c>
      <c r="T51" s="40">
        <v>0</v>
      </c>
      <c r="U51" s="40">
        <v>0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40">
        <v>0</v>
      </c>
      <c r="AI51" s="40">
        <v>0</v>
      </c>
      <c r="AJ51" s="40">
        <v>0</v>
      </c>
      <c r="AK51" s="40">
        <v>0</v>
      </c>
      <c r="AL51" s="40">
        <v>0</v>
      </c>
      <c r="AM51" s="40">
        <v>0</v>
      </c>
      <c r="AN51" s="40">
        <v>0</v>
      </c>
      <c r="AO51" s="40">
        <v>0</v>
      </c>
      <c r="AP51" s="40">
        <v>0</v>
      </c>
      <c r="AQ51" s="40">
        <v>0</v>
      </c>
      <c r="AR51" s="40">
        <v>0</v>
      </c>
      <c r="AS51" s="40">
        <v>0</v>
      </c>
      <c r="AT51" s="40">
        <v>0</v>
      </c>
      <c r="AU51" s="40">
        <v>0</v>
      </c>
      <c r="AV51" s="40">
        <v>22329314815</v>
      </c>
      <c r="AW51" s="40">
        <v>0</v>
      </c>
      <c r="AX51" s="40">
        <v>0</v>
      </c>
      <c r="AY51" s="40">
        <v>0</v>
      </c>
      <c r="AZ51" s="40">
        <v>0</v>
      </c>
      <c r="BA51" s="40">
        <v>0</v>
      </c>
      <c r="BB51" s="40">
        <v>0</v>
      </c>
      <c r="BC51" s="40">
        <v>0</v>
      </c>
      <c r="BD51" s="40">
        <v>0</v>
      </c>
      <c r="BE51" s="40">
        <v>0</v>
      </c>
      <c r="BF51" s="40">
        <v>0</v>
      </c>
      <c r="BG51" s="40">
        <v>0</v>
      </c>
      <c r="BH51" s="40">
        <v>0</v>
      </c>
      <c r="BI51" s="40">
        <v>0</v>
      </c>
      <c r="BJ51" s="40">
        <v>0</v>
      </c>
      <c r="BK51" s="40">
        <v>0</v>
      </c>
      <c r="BL51" s="40">
        <v>0</v>
      </c>
      <c r="BM51" s="40">
        <v>0</v>
      </c>
      <c r="BN51" s="40">
        <v>0</v>
      </c>
      <c r="BO51" s="40">
        <v>0</v>
      </c>
      <c r="BP51" s="40">
        <v>0</v>
      </c>
      <c r="BQ51" s="40">
        <v>0</v>
      </c>
      <c r="BR51" s="40">
        <v>0</v>
      </c>
      <c r="BS51" s="40">
        <v>0</v>
      </c>
      <c r="BT51" s="40">
        <v>22329314815</v>
      </c>
      <c r="BU51" s="40">
        <v>0</v>
      </c>
      <c r="BV51" s="40">
        <v>22329314815</v>
      </c>
      <c r="BW51" s="40">
        <v>-22329314815</v>
      </c>
      <c r="BX51" s="40">
        <v>0</v>
      </c>
      <c r="BY51" s="40">
        <v>0</v>
      </c>
      <c r="BZ51" s="40">
        <v>0</v>
      </c>
      <c r="CA51" s="40">
        <v>0</v>
      </c>
      <c r="CB51" s="40">
        <v>0</v>
      </c>
      <c r="CC51" s="41"/>
      <c r="CD51" s="41"/>
      <c r="CE51" s="42"/>
      <c r="CF51" s="42"/>
      <c r="CG51" s="42"/>
      <c r="CH51" s="42"/>
    </row>
    <row r="52" spans="1:86" ht="33.75">
      <c r="A52" s="38">
        <v>46</v>
      </c>
      <c r="B52" s="65" t="s">
        <v>43</v>
      </c>
      <c r="C52" s="39" t="s">
        <v>42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40">
        <v>0</v>
      </c>
      <c r="AJ52" s="40">
        <v>0</v>
      </c>
      <c r="AK52" s="40">
        <v>0</v>
      </c>
      <c r="AL52" s="40">
        <v>0</v>
      </c>
      <c r="AM52" s="40">
        <v>0</v>
      </c>
      <c r="AN52" s="40">
        <v>0</v>
      </c>
      <c r="AO52" s="40">
        <v>0</v>
      </c>
      <c r="AP52" s="40">
        <v>0</v>
      </c>
      <c r="AQ52" s="40">
        <v>0</v>
      </c>
      <c r="AR52" s="40">
        <v>0</v>
      </c>
      <c r="AS52" s="40">
        <v>0</v>
      </c>
      <c r="AT52" s="40">
        <v>0</v>
      </c>
      <c r="AU52" s="40">
        <v>0</v>
      </c>
      <c r="AV52" s="40">
        <v>0</v>
      </c>
      <c r="AW52" s="40">
        <v>9768282247</v>
      </c>
      <c r="AX52" s="40">
        <v>0</v>
      </c>
      <c r="AY52" s="40">
        <v>0</v>
      </c>
      <c r="AZ52" s="40">
        <v>0</v>
      </c>
      <c r="BA52" s="40">
        <v>0</v>
      </c>
      <c r="BB52" s="40">
        <v>0</v>
      </c>
      <c r="BC52" s="40">
        <v>0</v>
      </c>
      <c r="BD52" s="40">
        <v>0</v>
      </c>
      <c r="BE52" s="40">
        <v>0</v>
      </c>
      <c r="BF52" s="40">
        <v>0</v>
      </c>
      <c r="BG52" s="40">
        <v>0</v>
      </c>
      <c r="BH52" s="40">
        <v>0</v>
      </c>
      <c r="BI52" s="40">
        <v>0</v>
      </c>
      <c r="BJ52" s="40">
        <v>0</v>
      </c>
      <c r="BK52" s="40">
        <v>0</v>
      </c>
      <c r="BL52" s="40">
        <v>0</v>
      </c>
      <c r="BM52" s="40">
        <v>0</v>
      </c>
      <c r="BN52" s="40">
        <v>0</v>
      </c>
      <c r="BO52" s="40">
        <v>0</v>
      </c>
      <c r="BP52" s="40">
        <v>0</v>
      </c>
      <c r="BQ52" s="40">
        <v>0</v>
      </c>
      <c r="BR52" s="40">
        <v>0</v>
      </c>
      <c r="BS52" s="40">
        <v>0</v>
      </c>
      <c r="BT52" s="40">
        <v>9768282247</v>
      </c>
      <c r="BU52" s="40">
        <v>0</v>
      </c>
      <c r="BV52" s="40">
        <v>9768282247</v>
      </c>
      <c r="BW52" s="40">
        <v>-9768282247</v>
      </c>
      <c r="BX52" s="40">
        <v>0</v>
      </c>
      <c r="BY52" s="40">
        <v>0</v>
      </c>
      <c r="BZ52" s="40">
        <v>0</v>
      </c>
      <c r="CA52" s="40">
        <v>0</v>
      </c>
      <c r="CB52" s="40">
        <v>0</v>
      </c>
      <c r="CC52" s="41"/>
      <c r="CD52" s="41"/>
      <c r="CE52" s="42"/>
      <c r="CF52" s="42"/>
      <c r="CG52" s="42"/>
      <c r="CH52" s="42"/>
    </row>
    <row r="53" spans="1:86" ht="22.5">
      <c r="A53" s="38">
        <v>47</v>
      </c>
      <c r="B53" s="65" t="s">
        <v>41</v>
      </c>
      <c r="C53" s="39" t="s">
        <v>40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  <c r="Q53" s="40">
        <v>0</v>
      </c>
      <c r="R53" s="40">
        <v>0</v>
      </c>
      <c r="S53" s="40">
        <v>0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  <c r="AC53" s="40">
        <v>0</v>
      </c>
      <c r="AD53" s="40">
        <v>0</v>
      </c>
      <c r="AE53" s="40">
        <v>0</v>
      </c>
      <c r="AF53" s="40">
        <v>0</v>
      </c>
      <c r="AG53" s="40">
        <v>0</v>
      </c>
      <c r="AH53" s="40">
        <v>0</v>
      </c>
      <c r="AI53" s="40">
        <v>0</v>
      </c>
      <c r="AJ53" s="40">
        <v>0</v>
      </c>
      <c r="AK53" s="40">
        <v>0</v>
      </c>
      <c r="AL53" s="40">
        <v>0</v>
      </c>
      <c r="AM53" s="40">
        <v>0</v>
      </c>
      <c r="AN53" s="40">
        <v>0</v>
      </c>
      <c r="AO53" s="40">
        <v>0</v>
      </c>
      <c r="AP53" s="40">
        <v>0</v>
      </c>
      <c r="AQ53" s="40">
        <v>0</v>
      </c>
      <c r="AR53" s="40">
        <v>0</v>
      </c>
      <c r="AS53" s="40">
        <v>0</v>
      </c>
      <c r="AT53" s="40">
        <v>0</v>
      </c>
      <c r="AU53" s="40">
        <v>0</v>
      </c>
      <c r="AV53" s="40">
        <v>0</v>
      </c>
      <c r="AW53" s="40">
        <v>0</v>
      </c>
      <c r="AX53" s="40">
        <v>6905396801</v>
      </c>
      <c r="AY53" s="40">
        <v>0</v>
      </c>
      <c r="AZ53" s="40">
        <v>0</v>
      </c>
      <c r="BA53" s="40">
        <v>0</v>
      </c>
      <c r="BB53" s="40">
        <v>0</v>
      </c>
      <c r="BC53" s="40">
        <v>0</v>
      </c>
      <c r="BD53" s="40">
        <v>0</v>
      </c>
      <c r="BE53" s="40">
        <v>0</v>
      </c>
      <c r="BF53" s="40">
        <v>0</v>
      </c>
      <c r="BG53" s="40">
        <v>0</v>
      </c>
      <c r="BH53" s="40">
        <v>0</v>
      </c>
      <c r="BI53" s="40">
        <v>0</v>
      </c>
      <c r="BJ53" s="40">
        <v>0</v>
      </c>
      <c r="BK53" s="40">
        <v>0</v>
      </c>
      <c r="BL53" s="40">
        <v>0</v>
      </c>
      <c r="BM53" s="40">
        <v>0</v>
      </c>
      <c r="BN53" s="40">
        <v>0</v>
      </c>
      <c r="BO53" s="40">
        <v>0</v>
      </c>
      <c r="BP53" s="40">
        <v>0</v>
      </c>
      <c r="BQ53" s="40">
        <v>0</v>
      </c>
      <c r="BR53" s="40">
        <v>0</v>
      </c>
      <c r="BS53" s="40">
        <v>0</v>
      </c>
      <c r="BT53" s="40">
        <v>6905396801</v>
      </c>
      <c r="BU53" s="40">
        <v>274043640</v>
      </c>
      <c r="BV53" s="40">
        <v>7179440441</v>
      </c>
      <c r="BW53" s="40">
        <v>0</v>
      </c>
      <c r="BX53" s="40">
        <v>-2049267213</v>
      </c>
      <c r="BY53" s="40">
        <v>-277604724</v>
      </c>
      <c r="BZ53" s="40">
        <v>99443033</v>
      </c>
      <c r="CA53" s="40">
        <v>377047757</v>
      </c>
      <c r="CB53" s="40">
        <v>4852568504</v>
      </c>
      <c r="CC53" s="41"/>
      <c r="CD53" s="41"/>
      <c r="CE53" s="42"/>
      <c r="CF53" s="42"/>
      <c r="CG53" s="42"/>
      <c r="CH53" s="42"/>
    </row>
    <row r="54" spans="1:86">
      <c r="A54" s="38">
        <v>48</v>
      </c>
      <c r="B54" s="65" t="s">
        <v>39</v>
      </c>
      <c r="C54" s="39" t="s">
        <v>38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40">
        <v>0</v>
      </c>
      <c r="AJ54" s="40">
        <v>0</v>
      </c>
      <c r="AK54" s="40">
        <v>0</v>
      </c>
      <c r="AL54" s="40">
        <v>0</v>
      </c>
      <c r="AM54" s="40">
        <v>0</v>
      </c>
      <c r="AN54" s="40">
        <v>0</v>
      </c>
      <c r="AO54" s="40">
        <v>0</v>
      </c>
      <c r="AP54" s="40">
        <v>0</v>
      </c>
      <c r="AQ54" s="40">
        <v>0</v>
      </c>
      <c r="AR54" s="40">
        <v>0</v>
      </c>
      <c r="AS54" s="40">
        <v>0</v>
      </c>
      <c r="AT54" s="40">
        <v>0</v>
      </c>
      <c r="AU54" s="40">
        <v>0</v>
      </c>
      <c r="AV54" s="40">
        <v>0</v>
      </c>
      <c r="AW54" s="40">
        <v>0</v>
      </c>
      <c r="AX54" s="40">
        <v>0</v>
      </c>
      <c r="AY54" s="40">
        <v>75666100</v>
      </c>
      <c r="AZ54" s="40">
        <v>0</v>
      </c>
      <c r="BA54" s="40">
        <v>0</v>
      </c>
      <c r="BB54" s="40">
        <v>0</v>
      </c>
      <c r="BC54" s="40">
        <v>0</v>
      </c>
      <c r="BD54" s="40">
        <v>0</v>
      </c>
      <c r="BE54" s="40">
        <v>0</v>
      </c>
      <c r="BF54" s="40">
        <v>0</v>
      </c>
      <c r="BG54" s="40">
        <v>0</v>
      </c>
      <c r="BH54" s="40">
        <v>0</v>
      </c>
      <c r="BI54" s="40">
        <v>0</v>
      </c>
      <c r="BJ54" s="40">
        <v>0</v>
      </c>
      <c r="BK54" s="40">
        <v>0</v>
      </c>
      <c r="BL54" s="40">
        <v>0</v>
      </c>
      <c r="BM54" s="40">
        <v>0</v>
      </c>
      <c r="BN54" s="40">
        <v>0</v>
      </c>
      <c r="BO54" s="40">
        <v>0</v>
      </c>
      <c r="BP54" s="40">
        <v>0</v>
      </c>
      <c r="BQ54" s="40">
        <v>0</v>
      </c>
      <c r="BR54" s="40">
        <v>0</v>
      </c>
      <c r="BS54" s="40">
        <v>0</v>
      </c>
      <c r="BT54" s="40">
        <v>75666100</v>
      </c>
      <c r="BU54" s="40">
        <v>6349584</v>
      </c>
      <c r="BV54" s="40">
        <v>82015684</v>
      </c>
      <c r="BW54" s="40">
        <v>0</v>
      </c>
      <c r="BX54" s="40">
        <v>-23073137</v>
      </c>
      <c r="BY54" s="40">
        <v>1145842</v>
      </c>
      <c r="BZ54" s="40">
        <v>1145842</v>
      </c>
      <c r="CA54" s="40">
        <v>0</v>
      </c>
      <c r="CB54" s="40">
        <v>60088389</v>
      </c>
      <c r="CC54" s="41"/>
      <c r="CD54" s="41"/>
      <c r="CE54" s="42"/>
      <c r="CF54" s="42"/>
      <c r="CG54" s="42"/>
      <c r="CH54" s="42"/>
    </row>
    <row r="55" spans="1:86">
      <c r="A55" s="38">
        <v>49</v>
      </c>
      <c r="B55" s="65" t="s">
        <v>37</v>
      </c>
      <c r="C55" s="39" t="s">
        <v>36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  <c r="P55" s="40">
        <v>0</v>
      </c>
      <c r="Q55" s="40">
        <v>0</v>
      </c>
      <c r="R55" s="40">
        <v>0</v>
      </c>
      <c r="S55" s="40">
        <v>0</v>
      </c>
      <c r="T55" s="40">
        <v>0</v>
      </c>
      <c r="U55" s="40">
        <v>0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  <c r="AB55" s="40">
        <v>0</v>
      </c>
      <c r="AC55" s="40">
        <v>0</v>
      </c>
      <c r="AD55" s="40">
        <v>0</v>
      </c>
      <c r="AE55" s="40">
        <v>0</v>
      </c>
      <c r="AF55" s="40">
        <v>0</v>
      </c>
      <c r="AG55" s="40">
        <v>0</v>
      </c>
      <c r="AH55" s="40">
        <v>0</v>
      </c>
      <c r="AI55" s="40">
        <v>0</v>
      </c>
      <c r="AJ55" s="40">
        <v>0</v>
      </c>
      <c r="AK55" s="40">
        <v>0</v>
      </c>
      <c r="AL55" s="40">
        <v>0</v>
      </c>
      <c r="AM55" s="40">
        <v>0</v>
      </c>
      <c r="AN55" s="40">
        <v>0</v>
      </c>
      <c r="AO55" s="40">
        <v>0</v>
      </c>
      <c r="AP55" s="40">
        <v>0</v>
      </c>
      <c r="AQ55" s="40">
        <v>0</v>
      </c>
      <c r="AR55" s="40">
        <v>0</v>
      </c>
      <c r="AS55" s="40">
        <v>0</v>
      </c>
      <c r="AT55" s="40">
        <v>0</v>
      </c>
      <c r="AU55" s="40">
        <v>0</v>
      </c>
      <c r="AV55" s="40">
        <v>0</v>
      </c>
      <c r="AW55" s="40">
        <v>0</v>
      </c>
      <c r="AX55" s="40">
        <v>0</v>
      </c>
      <c r="AY55" s="40">
        <v>0</v>
      </c>
      <c r="AZ55" s="40">
        <v>1027848000</v>
      </c>
      <c r="BA55" s="40">
        <v>0</v>
      </c>
      <c r="BB55" s="40">
        <v>0</v>
      </c>
      <c r="BC55" s="40">
        <v>0</v>
      </c>
      <c r="BD55" s="40">
        <v>0</v>
      </c>
      <c r="BE55" s="40">
        <v>0</v>
      </c>
      <c r="BF55" s="40">
        <v>0</v>
      </c>
      <c r="BG55" s="40">
        <v>0</v>
      </c>
      <c r="BH55" s="40">
        <v>0</v>
      </c>
      <c r="BI55" s="40">
        <v>0</v>
      </c>
      <c r="BJ55" s="40">
        <v>0</v>
      </c>
      <c r="BK55" s="40">
        <v>0</v>
      </c>
      <c r="BL55" s="40">
        <v>0</v>
      </c>
      <c r="BM55" s="40">
        <v>0</v>
      </c>
      <c r="BN55" s="40">
        <v>0</v>
      </c>
      <c r="BO55" s="40">
        <v>0</v>
      </c>
      <c r="BP55" s="40">
        <v>0</v>
      </c>
      <c r="BQ55" s="40">
        <v>0</v>
      </c>
      <c r="BR55" s="40">
        <v>0</v>
      </c>
      <c r="BS55" s="40">
        <v>0</v>
      </c>
      <c r="BT55" s="40">
        <v>1027848000</v>
      </c>
      <c r="BU55" s="40">
        <v>68744839</v>
      </c>
      <c r="BV55" s="40">
        <v>1096592839</v>
      </c>
      <c r="BW55" s="40">
        <v>0</v>
      </c>
      <c r="BX55" s="40">
        <v>-63401</v>
      </c>
      <c r="BY55" s="40">
        <v>50545710</v>
      </c>
      <c r="BZ55" s="40">
        <v>59375249</v>
      </c>
      <c r="CA55" s="40">
        <v>8829539</v>
      </c>
      <c r="CB55" s="40">
        <v>1147075148</v>
      </c>
      <c r="CC55" s="41"/>
      <c r="CD55" s="41"/>
      <c r="CE55" s="42"/>
      <c r="CF55" s="42"/>
      <c r="CG55" s="42"/>
      <c r="CH55" s="42"/>
    </row>
    <row r="56" spans="1:86" ht="22.5">
      <c r="A56" s="38">
        <v>50</v>
      </c>
      <c r="B56" s="65" t="s">
        <v>35</v>
      </c>
      <c r="C56" s="39" t="s">
        <v>34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T56" s="40">
        <v>0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0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0</v>
      </c>
      <c r="AV56" s="40">
        <v>0</v>
      </c>
      <c r="AW56" s="40">
        <v>0</v>
      </c>
      <c r="AX56" s="40">
        <v>0</v>
      </c>
      <c r="AY56" s="40">
        <v>0</v>
      </c>
      <c r="AZ56" s="40">
        <v>0</v>
      </c>
      <c r="BA56" s="40">
        <v>3116778600</v>
      </c>
      <c r="BB56" s="40">
        <v>0</v>
      </c>
      <c r="BC56" s="40">
        <v>0</v>
      </c>
      <c r="BD56" s="40">
        <v>0</v>
      </c>
      <c r="BE56" s="40">
        <v>0</v>
      </c>
      <c r="BF56" s="40">
        <v>0</v>
      </c>
      <c r="BG56" s="40">
        <v>0</v>
      </c>
      <c r="BH56" s="40">
        <v>0</v>
      </c>
      <c r="BI56" s="40">
        <v>0</v>
      </c>
      <c r="BJ56" s="40">
        <v>0</v>
      </c>
      <c r="BK56" s="40">
        <v>0</v>
      </c>
      <c r="BL56" s="40">
        <v>0</v>
      </c>
      <c r="BM56" s="40">
        <v>0</v>
      </c>
      <c r="BN56" s="40">
        <v>0</v>
      </c>
      <c r="BO56" s="40">
        <v>0</v>
      </c>
      <c r="BP56" s="40">
        <v>0</v>
      </c>
      <c r="BQ56" s="40">
        <v>0</v>
      </c>
      <c r="BR56" s="40">
        <v>0</v>
      </c>
      <c r="BS56" s="40">
        <v>0</v>
      </c>
      <c r="BT56" s="40">
        <v>3116778600</v>
      </c>
      <c r="BU56" s="40">
        <v>175704178</v>
      </c>
      <c r="BV56" s="40">
        <v>3292482778</v>
      </c>
      <c r="BW56" s="40">
        <v>0</v>
      </c>
      <c r="BX56" s="40">
        <v>0</v>
      </c>
      <c r="BY56" s="40">
        <v>77471993</v>
      </c>
      <c r="BZ56" s="40">
        <v>77471993</v>
      </c>
      <c r="CA56" s="40">
        <v>0</v>
      </c>
      <c r="CB56" s="40">
        <v>3369954771</v>
      </c>
      <c r="CC56" s="41"/>
      <c r="CD56" s="41"/>
      <c r="CE56" s="42"/>
      <c r="CF56" s="42"/>
      <c r="CG56" s="42"/>
      <c r="CH56" s="42"/>
    </row>
    <row r="57" spans="1:86">
      <c r="A57" s="38">
        <v>51</v>
      </c>
      <c r="B57" s="65" t="s">
        <v>33</v>
      </c>
      <c r="C57" s="39" t="s">
        <v>32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40">
        <v>0</v>
      </c>
      <c r="S57" s="40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  <c r="AC57" s="40">
        <v>0</v>
      </c>
      <c r="AD57" s="40">
        <v>0</v>
      </c>
      <c r="AE57" s="40">
        <v>0</v>
      </c>
      <c r="AF57" s="40">
        <v>0</v>
      </c>
      <c r="AG57" s="40">
        <v>0</v>
      </c>
      <c r="AH57" s="40">
        <v>0</v>
      </c>
      <c r="AI57" s="40">
        <v>0</v>
      </c>
      <c r="AJ57" s="40">
        <v>0</v>
      </c>
      <c r="AK57" s="40">
        <v>0</v>
      </c>
      <c r="AL57" s="40">
        <v>0</v>
      </c>
      <c r="AM57" s="40">
        <v>0</v>
      </c>
      <c r="AN57" s="40">
        <v>0</v>
      </c>
      <c r="AO57" s="40">
        <v>0</v>
      </c>
      <c r="AP57" s="40">
        <v>0</v>
      </c>
      <c r="AQ57" s="40">
        <v>0</v>
      </c>
      <c r="AR57" s="40">
        <v>0</v>
      </c>
      <c r="AS57" s="40">
        <v>0</v>
      </c>
      <c r="AT57" s="40">
        <v>0</v>
      </c>
      <c r="AU57" s="40">
        <v>0</v>
      </c>
      <c r="AV57" s="40">
        <v>0</v>
      </c>
      <c r="AW57" s="40">
        <v>0</v>
      </c>
      <c r="AX57" s="40">
        <v>0</v>
      </c>
      <c r="AY57" s="40">
        <v>0</v>
      </c>
      <c r="AZ57" s="40">
        <v>0</v>
      </c>
      <c r="BA57" s="40">
        <v>0</v>
      </c>
      <c r="BB57" s="40">
        <v>94810700</v>
      </c>
      <c r="BC57" s="40">
        <v>0</v>
      </c>
      <c r="BD57" s="40">
        <v>0</v>
      </c>
      <c r="BE57" s="40">
        <v>0</v>
      </c>
      <c r="BF57" s="40">
        <v>0</v>
      </c>
      <c r="BG57" s="40">
        <v>0</v>
      </c>
      <c r="BH57" s="40">
        <v>0</v>
      </c>
      <c r="BI57" s="40">
        <v>0</v>
      </c>
      <c r="BJ57" s="40">
        <v>0</v>
      </c>
      <c r="BK57" s="40">
        <v>0</v>
      </c>
      <c r="BL57" s="40">
        <v>0</v>
      </c>
      <c r="BM57" s="40">
        <v>0</v>
      </c>
      <c r="BN57" s="40">
        <v>0</v>
      </c>
      <c r="BO57" s="40">
        <v>0</v>
      </c>
      <c r="BP57" s="40">
        <v>0</v>
      </c>
      <c r="BQ57" s="40">
        <v>0</v>
      </c>
      <c r="BR57" s="40">
        <v>0</v>
      </c>
      <c r="BS57" s="40">
        <v>0</v>
      </c>
      <c r="BT57" s="40">
        <v>94810700</v>
      </c>
      <c r="BU57" s="40">
        <v>1660912</v>
      </c>
      <c r="BV57" s="40">
        <v>96471612</v>
      </c>
      <c r="BW57" s="40">
        <v>0</v>
      </c>
      <c r="BX57" s="40">
        <v>0</v>
      </c>
      <c r="BY57" s="40">
        <v>5547514</v>
      </c>
      <c r="BZ57" s="40">
        <v>5547514</v>
      </c>
      <c r="CA57" s="40">
        <v>0</v>
      </c>
      <c r="CB57" s="40">
        <v>102019126</v>
      </c>
      <c r="CC57" s="41"/>
      <c r="CD57" s="41"/>
      <c r="CE57" s="42"/>
      <c r="CF57" s="42"/>
      <c r="CG57" s="42"/>
      <c r="CH57" s="42"/>
    </row>
    <row r="58" spans="1:86">
      <c r="A58" s="38">
        <v>52</v>
      </c>
      <c r="B58" s="65" t="s">
        <v>31</v>
      </c>
      <c r="C58" s="39" t="s">
        <v>30</v>
      </c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T58" s="40">
        <v>0</v>
      </c>
      <c r="U58" s="40">
        <v>0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0</v>
      </c>
      <c r="AI58" s="40">
        <v>0</v>
      </c>
      <c r="AJ58" s="40">
        <v>0</v>
      </c>
      <c r="AK58" s="40">
        <v>0</v>
      </c>
      <c r="AL58" s="40">
        <v>0</v>
      </c>
      <c r="AM58" s="40">
        <v>0</v>
      </c>
      <c r="AN58" s="40">
        <v>0</v>
      </c>
      <c r="AO58" s="40">
        <v>0</v>
      </c>
      <c r="AP58" s="40">
        <v>0</v>
      </c>
      <c r="AQ58" s="40">
        <v>0</v>
      </c>
      <c r="AR58" s="40">
        <v>0</v>
      </c>
      <c r="AS58" s="40">
        <v>0</v>
      </c>
      <c r="AT58" s="40">
        <v>0</v>
      </c>
      <c r="AU58" s="40">
        <v>0</v>
      </c>
      <c r="AV58" s="40">
        <v>0</v>
      </c>
      <c r="AW58" s="40">
        <v>0</v>
      </c>
      <c r="AX58" s="40">
        <v>0</v>
      </c>
      <c r="AY58" s="40">
        <v>0</v>
      </c>
      <c r="AZ58" s="40">
        <v>0</v>
      </c>
      <c r="BA58" s="40">
        <v>0</v>
      </c>
      <c r="BB58" s="40">
        <v>0</v>
      </c>
      <c r="BC58" s="40">
        <v>519835224</v>
      </c>
      <c r="BD58" s="40">
        <v>0</v>
      </c>
      <c r="BE58" s="40">
        <v>0</v>
      </c>
      <c r="BF58" s="40">
        <v>0</v>
      </c>
      <c r="BG58" s="40">
        <v>0</v>
      </c>
      <c r="BH58" s="40">
        <v>0</v>
      </c>
      <c r="BI58" s="40">
        <v>0</v>
      </c>
      <c r="BJ58" s="40">
        <v>0</v>
      </c>
      <c r="BK58" s="40">
        <v>0</v>
      </c>
      <c r="BL58" s="40">
        <v>0</v>
      </c>
      <c r="BM58" s="40">
        <v>0</v>
      </c>
      <c r="BN58" s="40">
        <v>0</v>
      </c>
      <c r="BO58" s="40">
        <v>0</v>
      </c>
      <c r="BP58" s="40">
        <v>0</v>
      </c>
      <c r="BQ58" s="40">
        <v>0</v>
      </c>
      <c r="BR58" s="40">
        <v>0</v>
      </c>
      <c r="BS58" s="40">
        <v>0</v>
      </c>
      <c r="BT58" s="40">
        <v>519835224</v>
      </c>
      <c r="BU58" s="40">
        <v>303638041</v>
      </c>
      <c r="BV58" s="40">
        <v>823473265</v>
      </c>
      <c r="BW58" s="40">
        <v>0</v>
      </c>
      <c r="BX58" s="40">
        <v>0</v>
      </c>
      <c r="BY58" s="40">
        <v>29148735</v>
      </c>
      <c r="BZ58" s="40">
        <v>29148735</v>
      </c>
      <c r="CA58" s="40">
        <v>0</v>
      </c>
      <c r="CB58" s="40">
        <v>852622000</v>
      </c>
      <c r="CC58" s="41"/>
      <c r="CD58" s="41"/>
      <c r="CE58" s="42"/>
      <c r="CF58" s="42"/>
      <c r="CG58" s="42"/>
      <c r="CH58" s="42"/>
    </row>
    <row r="59" spans="1:86" ht="22.5">
      <c r="A59" s="38">
        <v>53</v>
      </c>
      <c r="B59" s="65" t="s">
        <v>29</v>
      </c>
      <c r="C59" s="39" t="s">
        <v>28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40">
        <v>0</v>
      </c>
      <c r="AH59" s="40">
        <v>0</v>
      </c>
      <c r="AI59" s="40">
        <v>0</v>
      </c>
      <c r="AJ59" s="40">
        <v>0</v>
      </c>
      <c r="AK59" s="40">
        <v>0</v>
      </c>
      <c r="AL59" s="40">
        <v>0</v>
      </c>
      <c r="AM59" s="40">
        <v>0</v>
      </c>
      <c r="AN59" s="40">
        <v>0</v>
      </c>
      <c r="AO59" s="40">
        <v>0</v>
      </c>
      <c r="AP59" s="40">
        <v>0</v>
      </c>
      <c r="AQ59" s="40">
        <v>0</v>
      </c>
      <c r="AR59" s="40">
        <v>0</v>
      </c>
      <c r="AS59" s="40">
        <v>0</v>
      </c>
      <c r="AT59" s="40">
        <v>0</v>
      </c>
      <c r="AU59" s="40">
        <v>0</v>
      </c>
      <c r="AV59" s="40">
        <v>0</v>
      </c>
      <c r="AW59" s="40">
        <v>0</v>
      </c>
      <c r="AX59" s="40">
        <v>0</v>
      </c>
      <c r="AY59" s="40">
        <v>0</v>
      </c>
      <c r="AZ59" s="40">
        <v>0</v>
      </c>
      <c r="BA59" s="40">
        <v>0</v>
      </c>
      <c r="BB59" s="40">
        <v>0</v>
      </c>
      <c r="BC59" s="40">
        <v>0</v>
      </c>
      <c r="BD59" s="40">
        <v>2319115543</v>
      </c>
      <c r="BE59" s="40">
        <v>0</v>
      </c>
      <c r="BF59" s="40">
        <v>0</v>
      </c>
      <c r="BG59" s="40">
        <v>0</v>
      </c>
      <c r="BH59" s="40">
        <v>0</v>
      </c>
      <c r="BI59" s="40">
        <v>0</v>
      </c>
      <c r="BJ59" s="40">
        <v>0</v>
      </c>
      <c r="BK59" s="40">
        <v>0</v>
      </c>
      <c r="BL59" s="40">
        <v>0</v>
      </c>
      <c r="BM59" s="40">
        <v>0</v>
      </c>
      <c r="BN59" s="40">
        <v>0</v>
      </c>
      <c r="BO59" s="40">
        <v>0</v>
      </c>
      <c r="BP59" s="40">
        <v>0</v>
      </c>
      <c r="BQ59" s="40">
        <v>0</v>
      </c>
      <c r="BR59" s="40">
        <v>0</v>
      </c>
      <c r="BS59" s="40">
        <v>0</v>
      </c>
      <c r="BT59" s="40">
        <v>2319115543</v>
      </c>
      <c r="BU59" s="40">
        <v>227054357</v>
      </c>
      <c r="BV59" s="40">
        <v>2546169900</v>
      </c>
      <c r="BW59" s="40">
        <v>0</v>
      </c>
      <c r="BX59" s="40">
        <v>0</v>
      </c>
      <c r="BY59" s="40">
        <v>148347431</v>
      </c>
      <c r="BZ59" s="40">
        <v>148347431</v>
      </c>
      <c r="CA59" s="40">
        <v>0</v>
      </c>
      <c r="CB59" s="40">
        <v>2694517331</v>
      </c>
      <c r="CC59" s="41"/>
      <c r="CD59" s="41"/>
      <c r="CE59" s="42"/>
      <c r="CF59" s="42"/>
      <c r="CG59" s="42"/>
      <c r="CH59" s="42"/>
    </row>
    <row r="60" spans="1:86" ht="26.25" customHeight="1">
      <c r="A60" s="38">
        <v>54</v>
      </c>
      <c r="B60" s="67" t="s">
        <v>198</v>
      </c>
      <c r="C60" s="39" t="s">
        <v>161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0</v>
      </c>
      <c r="AD60" s="40">
        <v>0</v>
      </c>
      <c r="AE60" s="40">
        <v>0</v>
      </c>
      <c r="AF60" s="40">
        <v>0</v>
      </c>
      <c r="AG60" s="40">
        <v>0</v>
      </c>
      <c r="AH60" s="40">
        <v>0</v>
      </c>
      <c r="AI60" s="40">
        <v>0</v>
      </c>
      <c r="AJ60" s="40">
        <v>0</v>
      </c>
      <c r="AK60" s="40">
        <v>0</v>
      </c>
      <c r="AL60" s="40">
        <v>0</v>
      </c>
      <c r="AM60" s="40">
        <v>0</v>
      </c>
      <c r="AN60" s="40">
        <v>0</v>
      </c>
      <c r="AO60" s="40">
        <v>0</v>
      </c>
      <c r="AP60" s="40">
        <v>0</v>
      </c>
      <c r="AQ60" s="40">
        <v>0</v>
      </c>
      <c r="AR60" s="40">
        <v>0</v>
      </c>
      <c r="AS60" s="40">
        <v>0</v>
      </c>
      <c r="AT60" s="40">
        <v>0</v>
      </c>
      <c r="AU60" s="40">
        <v>0</v>
      </c>
      <c r="AV60" s="40">
        <v>0</v>
      </c>
      <c r="AW60" s="40">
        <v>0</v>
      </c>
      <c r="AX60" s="40">
        <v>0</v>
      </c>
      <c r="AY60" s="40">
        <v>0</v>
      </c>
      <c r="AZ60" s="40">
        <v>0</v>
      </c>
      <c r="BA60" s="40">
        <v>0</v>
      </c>
      <c r="BB60" s="40">
        <v>0</v>
      </c>
      <c r="BC60" s="40">
        <v>0</v>
      </c>
      <c r="BD60" s="40">
        <v>0</v>
      </c>
      <c r="BE60" s="40">
        <v>2663339401</v>
      </c>
      <c r="BF60" s="40">
        <v>0</v>
      </c>
      <c r="BG60" s="40">
        <v>0</v>
      </c>
      <c r="BH60" s="40">
        <v>0</v>
      </c>
      <c r="BI60" s="40">
        <v>0</v>
      </c>
      <c r="BJ60" s="40">
        <v>0</v>
      </c>
      <c r="BK60" s="40">
        <v>0</v>
      </c>
      <c r="BL60" s="40">
        <v>0</v>
      </c>
      <c r="BM60" s="40">
        <v>0</v>
      </c>
      <c r="BN60" s="40">
        <v>0</v>
      </c>
      <c r="BO60" s="40">
        <v>0</v>
      </c>
      <c r="BP60" s="40">
        <v>0</v>
      </c>
      <c r="BQ60" s="40">
        <v>0</v>
      </c>
      <c r="BR60" s="40">
        <v>0</v>
      </c>
      <c r="BS60" s="40">
        <v>0</v>
      </c>
      <c r="BT60" s="40">
        <v>2663339401</v>
      </c>
      <c r="BU60" s="40">
        <v>277312675</v>
      </c>
      <c r="BV60" s="40">
        <v>2940652076</v>
      </c>
      <c r="BW60" s="40">
        <v>84409068</v>
      </c>
      <c r="BX60" s="40">
        <v>5993861</v>
      </c>
      <c r="BY60" s="40">
        <v>46453790</v>
      </c>
      <c r="BZ60" s="40">
        <v>46453790</v>
      </c>
      <c r="CA60" s="40">
        <v>0</v>
      </c>
      <c r="CB60" s="40">
        <v>3077508795</v>
      </c>
      <c r="CC60" s="41"/>
      <c r="CD60" s="41"/>
      <c r="CE60" s="42"/>
      <c r="CF60" s="42"/>
      <c r="CG60" s="42"/>
      <c r="CH60" s="42"/>
    </row>
    <row r="61" spans="1:86">
      <c r="A61" s="38">
        <v>55</v>
      </c>
      <c r="B61" s="65" t="s">
        <v>27</v>
      </c>
      <c r="C61" s="39" t="s">
        <v>26</v>
      </c>
      <c r="D61" s="40">
        <v>0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0</v>
      </c>
      <c r="T61" s="40">
        <v>0</v>
      </c>
      <c r="U61" s="40">
        <v>0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0</v>
      </c>
      <c r="AC61" s="40">
        <v>0</v>
      </c>
      <c r="AD61" s="40">
        <v>0</v>
      </c>
      <c r="AE61" s="40">
        <v>0</v>
      </c>
      <c r="AF61" s="40">
        <v>0</v>
      </c>
      <c r="AG61" s="40">
        <v>0</v>
      </c>
      <c r="AH61" s="40">
        <v>0</v>
      </c>
      <c r="AI61" s="40">
        <v>0</v>
      </c>
      <c r="AJ61" s="40">
        <v>0</v>
      </c>
      <c r="AK61" s="40">
        <v>0</v>
      </c>
      <c r="AL61" s="40">
        <v>0</v>
      </c>
      <c r="AM61" s="40">
        <v>0</v>
      </c>
      <c r="AN61" s="40">
        <v>0</v>
      </c>
      <c r="AO61" s="40">
        <v>0</v>
      </c>
      <c r="AP61" s="40">
        <v>0</v>
      </c>
      <c r="AQ61" s="40">
        <v>0</v>
      </c>
      <c r="AR61" s="40">
        <v>0</v>
      </c>
      <c r="AS61" s="40">
        <v>0</v>
      </c>
      <c r="AT61" s="40">
        <v>0</v>
      </c>
      <c r="AU61" s="40">
        <v>0</v>
      </c>
      <c r="AV61" s="40">
        <v>0</v>
      </c>
      <c r="AW61" s="40">
        <v>0</v>
      </c>
      <c r="AX61" s="40">
        <v>0</v>
      </c>
      <c r="AY61" s="40">
        <v>0</v>
      </c>
      <c r="AZ61" s="40">
        <v>0</v>
      </c>
      <c r="BA61" s="40">
        <v>0</v>
      </c>
      <c r="BB61" s="40">
        <v>0</v>
      </c>
      <c r="BC61" s="40">
        <v>0</v>
      </c>
      <c r="BD61" s="40">
        <v>0</v>
      </c>
      <c r="BE61" s="40">
        <v>0</v>
      </c>
      <c r="BF61" s="40">
        <v>1700610000</v>
      </c>
      <c r="BG61" s="40">
        <v>0</v>
      </c>
      <c r="BH61" s="40">
        <v>0</v>
      </c>
      <c r="BI61" s="40">
        <v>0</v>
      </c>
      <c r="BJ61" s="40">
        <v>0</v>
      </c>
      <c r="BK61" s="40">
        <v>0</v>
      </c>
      <c r="BL61" s="40">
        <v>0</v>
      </c>
      <c r="BM61" s="40">
        <v>0</v>
      </c>
      <c r="BN61" s="40">
        <v>0</v>
      </c>
      <c r="BO61" s="40">
        <v>0</v>
      </c>
      <c r="BP61" s="40">
        <v>0</v>
      </c>
      <c r="BQ61" s="40">
        <v>0</v>
      </c>
      <c r="BR61" s="40">
        <v>0</v>
      </c>
      <c r="BS61" s="40">
        <v>0</v>
      </c>
      <c r="BT61" s="40">
        <v>1700610000</v>
      </c>
      <c r="BU61" s="40">
        <v>137213231</v>
      </c>
      <c r="BV61" s="40">
        <v>1837823231</v>
      </c>
      <c r="BW61" s="40">
        <v>0</v>
      </c>
      <c r="BX61" s="40">
        <v>0</v>
      </c>
      <c r="BY61" s="40">
        <v>114585626</v>
      </c>
      <c r="BZ61" s="40">
        <v>120265925</v>
      </c>
      <c r="CA61" s="40">
        <v>5680299</v>
      </c>
      <c r="CB61" s="40">
        <v>1952408857</v>
      </c>
      <c r="CC61" s="41"/>
      <c r="CD61" s="41"/>
      <c r="CE61" s="42"/>
      <c r="CF61" s="42"/>
      <c r="CG61" s="42"/>
      <c r="CH61" s="42"/>
    </row>
    <row r="62" spans="1:86" ht="22.5">
      <c r="A62" s="38">
        <v>56</v>
      </c>
      <c r="B62" s="65" t="s">
        <v>25</v>
      </c>
      <c r="C62" s="39" t="s">
        <v>24</v>
      </c>
      <c r="D62" s="40">
        <v>0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T62" s="40">
        <v>0</v>
      </c>
      <c r="U62" s="40">
        <v>0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0</v>
      </c>
      <c r="AC62" s="40">
        <v>0</v>
      </c>
      <c r="AD62" s="40">
        <v>0</v>
      </c>
      <c r="AE62" s="40">
        <v>0</v>
      </c>
      <c r="AF62" s="40">
        <v>0</v>
      </c>
      <c r="AG62" s="40">
        <v>0</v>
      </c>
      <c r="AH62" s="40">
        <v>0</v>
      </c>
      <c r="AI62" s="40">
        <v>0</v>
      </c>
      <c r="AJ62" s="40">
        <v>0</v>
      </c>
      <c r="AK62" s="40">
        <v>0</v>
      </c>
      <c r="AL62" s="40">
        <v>0</v>
      </c>
      <c r="AM62" s="40">
        <v>0</v>
      </c>
      <c r="AN62" s="40">
        <v>0</v>
      </c>
      <c r="AO62" s="40">
        <v>0</v>
      </c>
      <c r="AP62" s="40">
        <v>0</v>
      </c>
      <c r="AQ62" s="40">
        <v>0</v>
      </c>
      <c r="AR62" s="40">
        <v>0</v>
      </c>
      <c r="AS62" s="40">
        <v>0</v>
      </c>
      <c r="AT62" s="40">
        <v>0</v>
      </c>
      <c r="AU62" s="40">
        <v>0</v>
      </c>
      <c r="AV62" s="40">
        <v>0</v>
      </c>
      <c r="AW62" s="40">
        <v>0</v>
      </c>
      <c r="AX62" s="40">
        <v>0</v>
      </c>
      <c r="AY62" s="40">
        <v>0</v>
      </c>
      <c r="AZ62" s="40">
        <v>0</v>
      </c>
      <c r="BA62" s="40">
        <v>0</v>
      </c>
      <c r="BB62" s="40">
        <v>0</v>
      </c>
      <c r="BC62" s="40">
        <v>0</v>
      </c>
      <c r="BD62" s="40">
        <v>0</v>
      </c>
      <c r="BE62" s="40">
        <v>0</v>
      </c>
      <c r="BF62" s="40">
        <v>0</v>
      </c>
      <c r="BG62" s="40">
        <v>4649485551</v>
      </c>
      <c r="BH62" s="40">
        <v>0</v>
      </c>
      <c r="BI62" s="40">
        <v>0</v>
      </c>
      <c r="BJ62" s="40">
        <v>0</v>
      </c>
      <c r="BK62" s="40">
        <v>0</v>
      </c>
      <c r="BL62" s="40">
        <v>0</v>
      </c>
      <c r="BM62" s="40">
        <v>0</v>
      </c>
      <c r="BN62" s="40">
        <v>0</v>
      </c>
      <c r="BO62" s="40">
        <v>0</v>
      </c>
      <c r="BP62" s="40">
        <v>0</v>
      </c>
      <c r="BQ62" s="40">
        <v>0</v>
      </c>
      <c r="BR62" s="40">
        <v>0</v>
      </c>
      <c r="BS62" s="40">
        <v>0</v>
      </c>
      <c r="BT62" s="40">
        <v>4649485551</v>
      </c>
      <c r="BU62" s="40">
        <v>305759852</v>
      </c>
      <c r="BV62" s="40">
        <v>4955245403</v>
      </c>
      <c r="BW62" s="40">
        <v>0</v>
      </c>
      <c r="BX62" s="40">
        <v>0</v>
      </c>
      <c r="BY62" s="40">
        <v>0</v>
      </c>
      <c r="BZ62" s="40">
        <v>0</v>
      </c>
      <c r="CA62" s="40">
        <v>0</v>
      </c>
      <c r="CB62" s="40">
        <v>4955245403</v>
      </c>
      <c r="CC62" s="41"/>
      <c r="CD62" s="41"/>
      <c r="CE62" s="42"/>
      <c r="CF62" s="42"/>
      <c r="CG62" s="42"/>
      <c r="CH62" s="42"/>
    </row>
    <row r="63" spans="1:86" ht="45">
      <c r="A63" s="38">
        <v>57</v>
      </c>
      <c r="B63" s="65" t="s">
        <v>23</v>
      </c>
      <c r="C63" s="39" t="s">
        <v>138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0</v>
      </c>
      <c r="Q63" s="40">
        <v>0</v>
      </c>
      <c r="R63" s="40">
        <v>0</v>
      </c>
      <c r="S63" s="40">
        <v>0</v>
      </c>
      <c r="T63" s="40">
        <v>0</v>
      </c>
      <c r="U63" s="40">
        <v>0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0</v>
      </c>
      <c r="AC63" s="40">
        <v>0</v>
      </c>
      <c r="AD63" s="40">
        <v>0</v>
      </c>
      <c r="AE63" s="40">
        <v>0</v>
      </c>
      <c r="AF63" s="40">
        <v>0</v>
      </c>
      <c r="AG63" s="40">
        <v>0</v>
      </c>
      <c r="AH63" s="40">
        <v>0</v>
      </c>
      <c r="AI63" s="40">
        <v>0</v>
      </c>
      <c r="AJ63" s="40">
        <v>0</v>
      </c>
      <c r="AK63" s="40">
        <v>0</v>
      </c>
      <c r="AL63" s="40">
        <v>0</v>
      </c>
      <c r="AM63" s="40">
        <v>0</v>
      </c>
      <c r="AN63" s="40">
        <v>0</v>
      </c>
      <c r="AO63" s="40">
        <v>0</v>
      </c>
      <c r="AP63" s="40">
        <v>0</v>
      </c>
      <c r="AQ63" s="40">
        <v>0</v>
      </c>
      <c r="AR63" s="40">
        <v>0</v>
      </c>
      <c r="AS63" s="40">
        <v>0</v>
      </c>
      <c r="AT63" s="40">
        <v>0</v>
      </c>
      <c r="AU63" s="40">
        <v>0</v>
      </c>
      <c r="AV63" s="40">
        <v>0</v>
      </c>
      <c r="AW63" s="40">
        <v>0</v>
      </c>
      <c r="AX63" s="40">
        <v>0</v>
      </c>
      <c r="AY63" s="40">
        <v>0</v>
      </c>
      <c r="AZ63" s="40">
        <v>0</v>
      </c>
      <c r="BA63" s="40">
        <v>0</v>
      </c>
      <c r="BB63" s="40">
        <v>0</v>
      </c>
      <c r="BC63" s="40">
        <v>0</v>
      </c>
      <c r="BD63" s="40">
        <v>0</v>
      </c>
      <c r="BE63" s="40">
        <v>0</v>
      </c>
      <c r="BF63" s="40">
        <v>0</v>
      </c>
      <c r="BG63" s="40">
        <v>0</v>
      </c>
      <c r="BH63" s="40">
        <v>1830961300</v>
      </c>
      <c r="BI63" s="40">
        <v>0</v>
      </c>
      <c r="BJ63" s="40">
        <v>0</v>
      </c>
      <c r="BK63" s="40">
        <v>0</v>
      </c>
      <c r="BL63" s="40">
        <v>0</v>
      </c>
      <c r="BM63" s="40">
        <v>0</v>
      </c>
      <c r="BN63" s="40">
        <v>0</v>
      </c>
      <c r="BO63" s="40">
        <v>0</v>
      </c>
      <c r="BP63" s="40">
        <v>0</v>
      </c>
      <c r="BQ63" s="40">
        <v>0</v>
      </c>
      <c r="BR63" s="40">
        <v>0</v>
      </c>
      <c r="BS63" s="40">
        <v>0</v>
      </c>
      <c r="BT63" s="40">
        <v>1830961300</v>
      </c>
      <c r="BU63" s="40">
        <v>4050721</v>
      </c>
      <c r="BV63" s="40">
        <v>1835012021</v>
      </c>
      <c r="BW63" s="40">
        <v>0</v>
      </c>
      <c r="BX63" s="40">
        <v>0</v>
      </c>
      <c r="BY63" s="40">
        <v>0</v>
      </c>
      <c r="BZ63" s="40">
        <v>0</v>
      </c>
      <c r="CA63" s="40">
        <v>0</v>
      </c>
      <c r="CB63" s="40">
        <v>1835012021</v>
      </c>
      <c r="CC63" s="41"/>
      <c r="CD63" s="41"/>
      <c r="CE63" s="42"/>
      <c r="CF63" s="42"/>
      <c r="CG63" s="42"/>
      <c r="CH63" s="42"/>
    </row>
    <row r="64" spans="1:86" ht="33.75">
      <c r="A64" s="38">
        <v>58</v>
      </c>
      <c r="B64" s="65" t="s">
        <v>22</v>
      </c>
      <c r="C64" s="39" t="s">
        <v>139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T64" s="40">
        <v>0</v>
      </c>
      <c r="U64" s="40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40">
        <v>0</v>
      </c>
      <c r="AJ64" s="40">
        <v>0</v>
      </c>
      <c r="AK64" s="40">
        <v>0</v>
      </c>
      <c r="AL64" s="40">
        <v>0</v>
      </c>
      <c r="AM64" s="40">
        <v>0</v>
      </c>
      <c r="AN64" s="40">
        <v>0</v>
      </c>
      <c r="AO64" s="40">
        <v>0</v>
      </c>
      <c r="AP64" s="40">
        <v>0</v>
      </c>
      <c r="AQ64" s="40">
        <v>0</v>
      </c>
      <c r="AR64" s="40">
        <v>0</v>
      </c>
      <c r="AS64" s="40">
        <v>0</v>
      </c>
      <c r="AT64" s="40">
        <v>0</v>
      </c>
      <c r="AU64" s="40">
        <v>0</v>
      </c>
      <c r="AV64" s="40">
        <v>0</v>
      </c>
      <c r="AW64" s="40">
        <v>0</v>
      </c>
      <c r="AX64" s="40">
        <v>0</v>
      </c>
      <c r="AY64" s="40">
        <v>0</v>
      </c>
      <c r="AZ64" s="40">
        <v>0</v>
      </c>
      <c r="BA64" s="40">
        <v>0</v>
      </c>
      <c r="BB64" s="40">
        <v>0</v>
      </c>
      <c r="BC64" s="40">
        <v>0</v>
      </c>
      <c r="BD64" s="40">
        <v>0</v>
      </c>
      <c r="BE64" s="40">
        <v>0</v>
      </c>
      <c r="BF64" s="40">
        <v>0</v>
      </c>
      <c r="BG64" s="40">
        <v>0</v>
      </c>
      <c r="BH64" s="40">
        <v>0</v>
      </c>
      <c r="BI64" s="40">
        <v>548194728</v>
      </c>
      <c r="BJ64" s="40">
        <v>0</v>
      </c>
      <c r="BK64" s="40">
        <v>0</v>
      </c>
      <c r="BL64" s="40">
        <v>0</v>
      </c>
      <c r="BM64" s="40">
        <v>0</v>
      </c>
      <c r="BN64" s="40">
        <v>0</v>
      </c>
      <c r="BO64" s="40">
        <v>0</v>
      </c>
      <c r="BP64" s="40">
        <v>0</v>
      </c>
      <c r="BQ64" s="40">
        <v>0</v>
      </c>
      <c r="BR64" s="40">
        <v>0</v>
      </c>
      <c r="BS64" s="40">
        <v>0</v>
      </c>
      <c r="BT64" s="40">
        <v>548194728</v>
      </c>
      <c r="BU64" s="40">
        <v>0</v>
      </c>
      <c r="BV64" s="40">
        <v>548194728</v>
      </c>
      <c r="BW64" s="40">
        <v>0</v>
      </c>
      <c r="BX64" s="40">
        <v>0</v>
      </c>
      <c r="BY64" s="40">
        <v>0</v>
      </c>
      <c r="BZ64" s="40">
        <v>0</v>
      </c>
      <c r="CA64" s="40">
        <v>0</v>
      </c>
      <c r="CB64" s="40">
        <v>548194728</v>
      </c>
      <c r="CC64" s="41"/>
      <c r="CD64" s="41"/>
      <c r="CE64" s="42"/>
      <c r="CF64" s="42"/>
      <c r="CG64" s="42"/>
      <c r="CH64" s="42"/>
    </row>
    <row r="65" spans="1:86" ht="22.5">
      <c r="A65" s="38">
        <v>59</v>
      </c>
      <c r="B65" s="65" t="s">
        <v>21</v>
      </c>
      <c r="C65" s="39" t="s">
        <v>20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 s="40">
        <v>0</v>
      </c>
      <c r="Q65" s="40">
        <v>0</v>
      </c>
      <c r="R65" s="40">
        <v>0</v>
      </c>
      <c r="S65" s="40">
        <v>0</v>
      </c>
      <c r="T65" s="40">
        <v>0</v>
      </c>
      <c r="U65" s="40">
        <v>0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0</v>
      </c>
      <c r="AB65" s="40">
        <v>0</v>
      </c>
      <c r="AC65" s="40">
        <v>0</v>
      </c>
      <c r="AD65" s="40">
        <v>0</v>
      </c>
      <c r="AE65" s="40">
        <v>0</v>
      </c>
      <c r="AF65" s="40">
        <v>0</v>
      </c>
      <c r="AG65" s="40">
        <v>0</v>
      </c>
      <c r="AH65" s="40">
        <v>0</v>
      </c>
      <c r="AI65" s="40">
        <v>0</v>
      </c>
      <c r="AJ65" s="40">
        <v>0</v>
      </c>
      <c r="AK65" s="40">
        <v>0</v>
      </c>
      <c r="AL65" s="40">
        <v>0</v>
      </c>
      <c r="AM65" s="40">
        <v>0</v>
      </c>
      <c r="AN65" s="40">
        <v>0</v>
      </c>
      <c r="AO65" s="40">
        <v>0</v>
      </c>
      <c r="AP65" s="40">
        <v>0</v>
      </c>
      <c r="AQ65" s="40">
        <v>0</v>
      </c>
      <c r="AR65" s="40">
        <v>0</v>
      </c>
      <c r="AS65" s="40">
        <v>0</v>
      </c>
      <c r="AT65" s="40">
        <v>0</v>
      </c>
      <c r="AU65" s="40">
        <v>0</v>
      </c>
      <c r="AV65" s="40">
        <v>0</v>
      </c>
      <c r="AW65" s="40">
        <v>0</v>
      </c>
      <c r="AX65" s="40">
        <v>0</v>
      </c>
      <c r="AY65" s="40">
        <v>0</v>
      </c>
      <c r="AZ65" s="40">
        <v>0</v>
      </c>
      <c r="BA65" s="40">
        <v>0</v>
      </c>
      <c r="BB65" s="40">
        <v>0</v>
      </c>
      <c r="BC65" s="40">
        <v>0</v>
      </c>
      <c r="BD65" s="40">
        <v>0</v>
      </c>
      <c r="BE65" s="40">
        <v>0</v>
      </c>
      <c r="BF65" s="40">
        <v>0</v>
      </c>
      <c r="BG65" s="40">
        <v>0</v>
      </c>
      <c r="BH65" s="40">
        <v>0</v>
      </c>
      <c r="BI65" s="40">
        <v>0</v>
      </c>
      <c r="BJ65" s="40">
        <v>16392788500</v>
      </c>
      <c r="BK65" s="40">
        <v>0</v>
      </c>
      <c r="BL65" s="40">
        <v>0</v>
      </c>
      <c r="BM65" s="40">
        <v>0</v>
      </c>
      <c r="BN65" s="40">
        <v>0</v>
      </c>
      <c r="BO65" s="40">
        <v>0</v>
      </c>
      <c r="BP65" s="40">
        <v>0</v>
      </c>
      <c r="BQ65" s="40">
        <v>0</v>
      </c>
      <c r="BR65" s="40">
        <v>0</v>
      </c>
      <c r="BS65" s="40">
        <v>0</v>
      </c>
      <c r="BT65" s="40">
        <v>16392788500</v>
      </c>
      <c r="BU65" s="40">
        <v>75324692</v>
      </c>
      <c r="BV65" s="40">
        <v>16468113192</v>
      </c>
      <c r="BW65" s="40">
        <v>0</v>
      </c>
      <c r="BX65" s="40">
        <v>0</v>
      </c>
      <c r="BY65" s="40">
        <v>113461626</v>
      </c>
      <c r="BZ65" s="40">
        <v>113461626</v>
      </c>
      <c r="CA65" s="40">
        <v>0</v>
      </c>
      <c r="CB65" s="40">
        <v>16581574818</v>
      </c>
      <c r="CC65" s="41"/>
      <c r="CD65" s="41"/>
      <c r="CE65" s="42"/>
      <c r="CF65" s="42"/>
      <c r="CG65" s="42"/>
      <c r="CH65" s="42"/>
    </row>
    <row r="66" spans="1:86" ht="22.5">
      <c r="A66" s="38">
        <v>60</v>
      </c>
      <c r="B66" s="65" t="s">
        <v>160</v>
      </c>
      <c r="C66" s="39" t="s">
        <v>159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0</v>
      </c>
      <c r="AF66" s="40">
        <v>0</v>
      </c>
      <c r="AG66" s="40">
        <v>0</v>
      </c>
      <c r="AH66" s="40">
        <v>0</v>
      </c>
      <c r="AI66" s="40">
        <v>0</v>
      </c>
      <c r="AJ66" s="40">
        <v>0</v>
      </c>
      <c r="AK66" s="40">
        <v>0</v>
      </c>
      <c r="AL66" s="40">
        <v>0</v>
      </c>
      <c r="AM66" s="40">
        <v>0</v>
      </c>
      <c r="AN66" s="40">
        <v>0</v>
      </c>
      <c r="AO66" s="40">
        <v>0</v>
      </c>
      <c r="AP66" s="40">
        <v>0</v>
      </c>
      <c r="AQ66" s="40">
        <v>0</v>
      </c>
      <c r="AR66" s="40">
        <v>0</v>
      </c>
      <c r="AS66" s="40">
        <v>0</v>
      </c>
      <c r="AT66" s="40">
        <v>0</v>
      </c>
      <c r="AU66" s="40">
        <v>0</v>
      </c>
      <c r="AV66" s="40">
        <v>0</v>
      </c>
      <c r="AW66" s="40">
        <v>0</v>
      </c>
      <c r="AX66" s="40">
        <v>0</v>
      </c>
      <c r="AY66" s="40">
        <v>0</v>
      </c>
      <c r="AZ66" s="40">
        <v>0</v>
      </c>
      <c r="BA66" s="40">
        <v>0</v>
      </c>
      <c r="BB66" s="40">
        <v>0</v>
      </c>
      <c r="BC66" s="40">
        <v>0</v>
      </c>
      <c r="BD66" s="40">
        <v>0</v>
      </c>
      <c r="BE66" s="40">
        <v>0</v>
      </c>
      <c r="BF66" s="40">
        <v>0</v>
      </c>
      <c r="BG66" s="40">
        <v>0</v>
      </c>
      <c r="BH66" s="40">
        <v>0</v>
      </c>
      <c r="BI66" s="40">
        <v>0</v>
      </c>
      <c r="BJ66" s="40">
        <v>0</v>
      </c>
      <c r="BK66" s="40">
        <v>6102749537</v>
      </c>
      <c r="BL66" s="40">
        <v>0</v>
      </c>
      <c r="BM66" s="40">
        <v>0</v>
      </c>
      <c r="BN66" s="40">
        <v>0</v>
      </c>
      <c r="BO66" s="40">
        <v>0</v>
      </c>
      <c r="BP66" s="40">
        <v>0</v>
      </c>
      <c r="BQ66" s="40">
        <v>0</v>
      </c>
      <c r="BR66" s="40">
        <v>0</v>
      </c>
      <c r="BS66" s="40">
        <v>0</v>
      </c>
      <c r="BT66" s="40">
        <v>6102749537</v>
      </c>
      <c r="BU66" s="40">
        <v>872691912</v>
      </c>
      <c r="BV66" s="40">
        <v>6975441449</v>
      </c>
      <c r="BW66" s="40">
        <v>0</v>
      </c>
      <c r="BX66" s="40">
        <v>105082</v>
      </c>
      <c r="BY66" s="40">
        <v>107845503</v>
      </c>
      <c r="BZ66" s="40">
        <v>107845503</v>
      </c>
      <c r="CA66" s="40">
        <v>0</v>
      </c>
      <c r="CB66" s="40">
        <v>7083392034</v>
      </c>
      <c r="CC66" s="41"/>
      <c r="CD66" s="41"/>
      <c r="CE66" s="42"/>
      <c r="CF66" s="42"/>
      <c r="CG66" s="42"/>
      <c r="CH66" s="42"/>
    </row>
    <row r="67" spans="1:86" ht="22.5">
      <c r="A67" s="38">
        <v>61</v>
      </c>
      <c r="B67" s="65" t="s">
        <v>158</v>
      </c>
      <c r="C67" s="39" t="s">
        <v>157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40">
        <v>0</v>
      </c>
      <c r="P67" s="40">
        <v>0</v>
      </c>
      <c r="Q67" s="40">
        <v>0</v>
      </c>
      <c r="R67" s="40">
        <v>0</v>
      </c>
      <c r="S67" s="40">
        <v>0</v>
      </c>
      <c r="T67" s="40">
        <v>0</v>
      </c>
      <c r="U67" s="40">
        <v>0</v>
      </c>
      <c r="V67" s="40">
        <v>0</v>
      </c>
      <c r="W67" s="40">
        <v>0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0</v>
      </c>
      <c r="AD67" s="40">
        <v>0</v>
      </c>
      <c r="AE67" s="40">
        <v>0</v>
      </c>
      <c r="AF67" s="40">
        <v>0</v>
      </c>
      <c r="AG67" s="40">
        <v>0</v>
      </c>
      <c r="AH67" s="40">
        <v>0</v>
      </c>
      <c r="AI67" s="40">
        <v>0</v>
      </c>
      <c r="AJ67" s="40">
        <v>0</v>
      </c>
      <c r="AK67" s="40">
        <v>0</v>
      </c>
      <c r="AL67" s="40">
        <v>0</v>
      </c>
      <c r="AM67" s="40">
        <v>0</v>
      </c>
      <c r="AN67" s="40">
        <v>0</v>
      </c>
      <c r="AO67" s="40">
        <v>0</v>
      </c>
      <c r="AP67" s="40">
        <v>0</v>
      </c>
      <c r="AQ67" s="40">
        <v>0</v>
      </c>
      <c r="AR67" s="40">
        <v>0</v>
      </c>
      <c r="AS67" s="40">
        <v>0</v>
      </c>
      <c r="AT67" s="40">
        <v>0</v>
      </c>
      <c r="AU67" s="40">
        <v>0</v>
      </c>
      <c r="AV67" s="40">
        <v>0</v>
      </c>
      <c r="AW67" s="40">
        <v>0</v>
      </c>
      <c r="AX67" s="40">
        <v>0</v>
      </c>
      <c r="AY67" s="40">
        <v>0</v>
      </c>
      <c r="AZ67" s="40">
        <v>0</v>
      </c>
      <c r="BA67" s="40">
        <v>0</v>
      </c>
      <c r="BB67" s="40">
        <v>0</v>
      </c>
      <c r="BC67" s="40">
        <v>0</v>
      </c>
      <c r="BD67" s="40">
        <v>0</v>
      </c>
      <c r="BE67" s="40">
        <v>0</v>
      </c>
      <c r="BF67" s="40">
        <v>0</v>
      </c>
      <c r="BG67" s="40">
        <v>0</v>
      </c>
      <c r="BH67" s="40">
        <v>0</v>
      </c>
      <c r="BI67" s="40">
        <v>0</v>
      </c>
      <c r="BJ67" s="40">
        <v>0</v>
      </c>
      <c r="BK67" s="40">
        <v>0</v>
      </c>
      <c r="BL67" s="40">
        <v>4261813101</v>
      </c>
      <c r="BM67" s="40">
        <v>0</v>
      </c>
      <c r="BN67" s="40">
        <v>0</v>
      </c>
      <c r="BO67" s="40">
        <v>0</v>
      </c>
      <c r="BP67" s="40">
        <v>0</v>
      </c>
      <c r="BQ67" s="40">
        <v>0</v>
      </c>
      <c r="BR67" s="40">
        <v>0</v>
      </c>
      <c r="BS67" s="40">
        <v>0</v>
      </c>
      <c r="BT67" s="40">
        <v>4261813101</v>
      </c>
      <c r="BU67" s="40">
        <v>383179276</v>
      </c>
      <c r="BV67" s="40">
        <v>4644992377</v>
      </c>
      <c r="BW67" s="40">
        <v>0</v>
      </c>
      <c r="BX67" s="40">
        <v>0</v>
      </c>
      <c r="BY67" s="40">
        <v>162616018</v>
      </c>
      <c r="BZ67" s="40">
        <v>162616018</v>
      </c>
      <c r="CA67" s="40">
        <v>0</v>
      </c>
      <c r="CB67" s="40">
        <v>4807608395</v>
      </c>
      <c r="CC67" s="41"/>
      <c r="CD67" s="41"/>
      <c r="CE67" s="42"/>
      <c r="CF67" s="42"/>
      <c r="CG67" s="42"/>
      <c r="CH67" s="42"/>
    </row>
    <row r="68" spans="1:86" ht="33.75">
      <c r="A68" s="38">
        <v>62</v>
      </c>
      <c r="B68" s="65" t="s">
        <v>19</v>
      </c>
      <c r="C68" s="39" t="s">
        <v>18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40">
        <v>0</v>
      </c>
      <c r="AJ68" s="40">
        <v>0</v>
      </c>
      <c r="AK68" s="40">
        <v>0</v>
      </c>
      <c r="AL68" s="40">
        <v>0</v>
      </c>
      <c r="AM68" s="40">
        <v>0</v>
      </c>
      <c r="AN68" s="40">
        <v>0</v>
      </c>
      <c r="AO68" s="40">
        <v>0</v>
      </c>
      <c r="AP68" s="40">
        <v>0</v>
      </c>
      <c r="AQ68" s="40">
        <v>0</v>
      </c>
      <c r="AR68" s="40">
        <v>0</v>
      </c>
      <c r="AS68" s="40">
        <v>0</v>
      </c>
      <c r="AT68" s="40">
        <v>0</v>
      </c>
      <c r="AU68" s="40">
        <v>0</v>
      </c>
      <c r="AV68" s="40">
        <v>0</v>
      </c>
      <c r="AW68" s="40">
        <v>0</v>
      </c>
      <c r="AX68" s="40">
        <v>0</v>
      </c>
      <c r="AY68" s="40">
        <v>0</v>
      </c>
      <c r="AZ68" s="40">
        <v>0</v>
      </c>
      <c r="BA68" s="40">
        <v>0</v>
      </c>
      <c r="BB68" s="40">
        <v>0</v>
      </c>
      <c r="BC68" s="40">
        <v>0</v>
      </c>
      <c r="BD68" s="40">
        <v>0</v>
      </c>
      <c r="BE68" s="40">
        <v>0</v>
      </c>
      <c r="BF68" s="40">
        <v>0</v>
      </c>
      <c r="BG68" s="40">
        <v>0</v>
      </c>
      <c r="BH68" s="40">
        <v>0</v>
      </c>
      <c r="BI68" s="40">
        <v>0</v>
      </c>
      <c r="BJ68" s="40">
        <v>0</v>
      </c>
      <c r="BK68" s="40">
        <v>0</v>
      </c>
      <c r="BL68" s="40">
        <v>0</v>
      </c>
      <c r="BM68" s="40">
        <v>7183532954</v>
      </c>
      <c r="BN68" s="40">
        <v>0</v>
      </c>
      <c r="BO68" s="40">
        <v>0</v>
      </c>
      <c r="BP68" s="40">
        <v>0</v>
      </c>
      <c r="BQ68" s="40">
        <v>0</v>
      </c>
      <c r="BR68" s="40">
        <v>0</v>
      </c>
      <c r="BS68" s="40">
        <v>0</v>
      </c>
      <c r="BT68" s="40">
        <v>7183532954</v>
      </c>
      <c r="BU68" s="40">
        <v>0</v>
      </c>
      <c r="BV68" s="40">
        <v>7183532954</v>
      </c>
      <c r="BW68" s="40">
        <v>0</v>
      </c>
      <c r="BX68" s="40">
        <v>0</v>
      </c>
      <c r="BY68" s="40">
        <v>0</v>
      </c>
      <c r="BZ68" s="40">
        <v>0</v>
      </c>
      <c r="CA68" s="40">
        <v>0</v>
      </c>
      <c r="CB68" s="40">
        <v>7183532954</v>
      </c>
      <c r="CC68" s="41"/>
      <c r="CD68" s="41"/>
      <c r="CE68" s="42"/>
      <c r="CF68" s="42"/>
      <c r="CG68" s="42"/>
      <c r="CH68" s="42"/>
    </row>
    <row r="69" spans="1:86">
      <c r="A69" s="38">
        <v>63</v>
      </c>
      <c r="B69" s="65" t="s">
        <v>17</v>
      </c>
      <c r="C69" s="39" t="s">
        <v>16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40">
        <v>0</v>
      </c>
      <c r="S69" s="40">
        <v>0</v>
      </c>
      <c r="T69" s="40">
        <v>0</v>
      </c>
      <c r="U69" s="40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  <c r="AB69" s="40">
        <v>0</v>
      </c>
      <c r="AC69" s="40">
        <v>0</v>
      </c>
      <c r="AD69" s="40">
        <v>0</v>
      </c>
      <c r="AE69" s="40">
        <v>0</v>
      </c>
      <c r="AF69" s="40">
        <v>0</v>
      </c>
      <c r="AG69" s="40">
        <v>0</v>
      </c>
      <c r="AH69" s="40">
        <v>0</v>
      </c>
      <c r="AI69" s="40">
        <v>0</v>
      </c>
      <c r="AJ69" s="40">
        <v>0</v>
      </c>
      <c r="AK69" s="40">
        <v>0</v>
      </c>
      <c r="AL69" s="40">
        <v>0</v>
      </c>
      <c r="AM69" s="40">
        <v>0</v>
      </c>
      <c r="AN69" s="40">
        <v>0</v>
      </c>
      <c r="AO69" s="40">
        <v>0</v>
      </c>
      <c r="AP69" s="40">
        <v>0</v>
      </c>
      <c r="AQ69" s="40">
        <v>0</v>
      </c>
      <c r="AR69" s="40">
        <v>0</v>
      </c>
      <c r="AS69" s="40">
        <v>0</v>
      </c>
      <c r="AT69" s="40">
        <v>0</v>
      </c>
      <c r="AU69" s="40">
        <v>0</v>
      </c>
      <c r="AV69" s="40">
        <v>0</v>
      </c>
      <c r="AW69" s="40">
        <v>0</v>
      </c>
      <c r="AX69" s="40">
        <v>0</v>
      </c>
      <c r="AY69" s="40">
        <v>0</v>
      </c>
      <c r="AZ69" s="40">
        <v>0</v>
      </c>
      <c r="BA69" s="40">
        <v>0</v>
      </c>
      <c r="BB69" s="40">
        <v>0</v>
      </c>
      <c r="BC69" s="40">
        <v>0</v>
      </c>
      <c r="BD69" s="40">
        <v>0</v>
      </c>
      <c r="BE69" s="40">
        <v>0</v>
      </c>
      <c r="BF69" s="40">
        <v>0</v>
      </c>
      <c r="BG69" s="40">
        <v>0</v>
      </c>
      <c r="BH69" s="40">
        <v>0</v>
      </c>
      <c r="BI69" s="40">
        <v>0</v>
      </c>
      <c r="BJ69" s="40">
        <v>0</v>
      </c>
      <c r="BK69" s="40">
        <v>0</v>
      </c>
      <c r="BL69" s="40">
        <v>0</v>
      </c>
      <c r="BM69" s="40">
        <v>0</v>
      </c>
      <c r="BN69" s="40">
        <v>8824493677</v>
      </c>
      <c r="BO69" s="40">
        <v>0</v>
      </c>
      <c r="BP69" s="40">
        <v>0</v>
      </c>
      <c r="BQ69" s="40">
        <v>0</v>
      </c>
      <c r="BR69" s="40">
        <v>0</v>
      </c>
      <c r="BS69" s="40">
        <v>0</v>
      </c>
      <c r="BT69" s="40">
        <v>8824493677</v>
      </c>
      <c r="BU69" s="40">
        <v>86801430</v>
      </c>
      <c r="BV69" s="40">
        <v>8911295107</v>
      </c>
      <c r="BW69" s="40">
        <v>0</v>
      </c>
      <c r="BX69" s="40">
        <v>0</v>
      </c>
      <c r="BY69" s="40">
        <v>22663060</v>
      </c>
      <c r="BZ69" s="40">
        <v>22663060</v>
      </c>
      <c r="CA69" s="40">
        <v>0</v>
      </c>
      <c r="CB69" s="40">
        <v>8933958167</v>
      </c>
      <c r="CC69" s="41"/>
      <c r="CD69" s="41"/>
      <c r="CE69" s="42"/>
      <c r="CF69" s="42"/>
      <c r="CG69" s="42"/>
      <c r="CH69" s="42"/>
    </row>
    <row r="70" spans="1:86">
      <c r="A70" s="38">
        <v>64</v>
      </c>
      <c r="B70" s="65" t="s">
        <v>15</v>
      </c>
      <c r="C70" s="39" t="s">
        <v>14</v>
      </c>
      <c r="D70" s="40">
        <v>0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T70" s="40">
        <v>0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0</v>
      </c>
      <c r="AB70" s="40">
        <v>0</v>
      </c>
      <c r="AC70" s="40">
        <v>0</v>
      </c>
      <c r="AD70" s="40">
        <v>0</v>
      </c>
      <c r="AE70" s="40">
        <v>0</v>
      </c>
      <c r="AF70" s="40">
        <v>0</v>
      </c>
      <c r="AG70" s="40">
        <v>0</v>
      </c>
      <c r="AH70" s="40">
        <v>0</v>
      </c>
      <c r="AI70" s="40">
        <v>0</v>
      </c>
      <c r="AJ70" s="40">
        <v>0</v>
      </c>
      <c r="AK70" s="40">
        <v>0</v>
      </c>
      <c r="AL70" s="40">
        <v>0</v>
      </c>
      <c r="AM70" s="40">
        <v>0</v>
      </c>
      <c r="AN70" s="40">
        <v>0</v>
      </c>
      <c r="AO70" s="40">
        <v>0</v>
      </c>
      <c r="AP70" s="40">
        <v>0</v>
      </c>
      <c r="AQ70" s="40">
        <v>0</v>
      </c>
      <c r="AR70" s="40">
        <v>0</v>
      </c>
      <c r="AS70" s="40">
        <v>0</v>
      </c>
      <c r="AT70" s="40">
        <v>0</v>
      </c>
      <c r="AU70" s="40">
        <v>0</v>
      </c>
      <c r="AV70" s="40">
        <v>0</v>
      </c>
      <c r="AW70" s="40">
        <v>0</v>
      </c>
      <c r="AX70" s="40">
        <v>0</v>
      </c>
      <c r="AY70" s="40">
        <v>0</v>
      </c>
      <c r="AZ70" s="40">
        <v>0</v>
      </c>
      <c r="BA70" s="40">
        <v>0</v>
      </c>
      <c r="BB70" s="40">
        <v>0</v>
      </c>
      <c r="BC70" s="40">
        <v>0</v>
      </c>
      <c r="BD70" s="40">
        <v>0</v>
      </c>
      <c r="BE70" s="40">
        <v>0</v>
      </c>
      <c r="BF70" s="40">
        <v>0</v>
      </c>
      <c r="BG70" s="40">
        <v>0</v>
      </c>
      <c r="BH70" s="40">
        <v>0</v>
      </c>
      <c r="BI70" s="40">
        <v>0</v>
      </c>
      <c r="BJ70" s="40">
        <v>0</v>
      </c>
      <c r="BK70" s="40">
        <v>0</v>
      </c>
      <c r="BL70" s="40">
        <v>0</v>
      </c>
      <c r="BM70" s="40">
        <v>0</v>
      </c>
      <c r="BN70" s="40">
        <v>0</v>
      </c>
      <c r="BO70" s="40">
        <v>6050865669</v>
      </c>
      <c r="BP70" s="40">
        <v>0</v>
      </c>
      <c r="BQ70" s="40">
        <v>0</v>
      </c>
      <c r="BR70" s="40">
        <v>0</v>
      </c>
      <c r="BS70" s="40">
        <v>0</v>
      </c>
      <c r="BT70" s="40">
        <v>6050865669</v>
      </c>
      <c r="BU70" s="40">
        <v>11322189</v>
      </c>
      <c r="BV70" s="40">
        <v>6062187858</v>
      </c>
      <c r="BW70" s="40">
        <v>0</v>
      </c>
      <c r="BX70" s="40">
        <v>0</v>
      </c>
      <c r="BY70" s="40">
        <v>0</v>
      </c>
      <c r="BZ70" s="40">
        <v>0</v>
      </c>
      <c r="CA70" s="40">
        <v>0</v>
      </c>
      <c r="CB70" s="40">
        <v>6062187858</v>
      </c>
      <c r="CC70" s="41"/>
      <c r="CD70" s="41"/>
      <c r="CE70" s="42"/>
      <c r="CF70" s="42"/>
      <c r="CG70" s="42"/>
      <c r="CH70" s="42"/>
    </row>
    <row r="71" spans="1:86">
      <c r="A71" s="38">
        <v>65</v>
      </c>
      <c r="B71" s="65" t="s">
        <v>13</v>
      </c>
      <c r="C71" s="39" t="s">
        <v>12</v>
      </c>
      <c r="D71" s="40">
        <v>0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 s="40">
        <v>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  <c r="AA71" s="40">
        <v>0</v>
      </c>
      <c r="AB71" s="40">
        <v>0</v>
      </c>
      <c r="AC71" s="40">
        <v>0</v>
      </c>
      <c r="AD71" s="40">
        <v>0</v>
      </c>
      <c r="AE71" s="40">
        <v>0</v>
      </c>
      <c r="AF71" s="40">
        <v>0</v>
      </c>
      <c r="AG71" s="40">
        <v>0</v>
      </c>
      <c r="AH71" s="40">
        <v>0</v>
      </c>
      <c r="AI71" s="40">
        <v>0</v>
      </c>
      <c r="AJ71" s="40">
        <v>0</v>
      </c>
      <c r="AK71" s="40">
        <v>0</v>
      </c>
      <c r="AL71" s="40">
        <v>0</v>
      </c>
      <c r="AM71" s="40">
        <v>0</v>
      </c>
      <c r="AN71" s="40">
        <v>0</v>
      </c>
      <c r="AO71" s="40">
        <v>0</v>
      </c>
      <c r="AP71" s="40">
        <v>0</v>
      </c>
      <c r="AQ71" s="40">
        <v>0</v>
      </c>
      <c r="AR71" s="40">
        <v>0</v>
      </c>
      <c r="AS71" s="40">
        <v>0</v>
      </c>
      <c r="AT71" s="40">
        <v>0</v>
      </c>
      <c r="AU71" s="40">
        <v>0</v>
      </c>
      <c r="AV71" s="40">
        <v>0</v>
      </c>
      <c r="AW71" s="40">
        <v>0</v>
      </c>
      <c r="AX71" s="40">
        <v>0</v>
      </c>
      <c r="AY71" s="40">
        <v>0</v>
      </c>
      <c r="AZ71" s="40">
        <v>0</v>
      </c>
      <c r="BA71" s="40">
        <v>0</v>
      </c>
      <c r="BB71" s="40">
        <v>0</v>
      </c>
      <c r="BC71" s="40">
        <v>0</v>
      </c>
      <c r="BD71" s="40">
        <v>0</v>
      </c>
      <c r="BE71" s="40">
        <v>0</v>
      </c>
      <c r="BF71" s="40">
        <v>0</v>
      </c>
      <c r="BG71" s="40">
        <v>0</v>
      </c>
      <c r="BH71" s="40">
        <v>0</v>
      </c>
      <c r="BI71" s="40">
        <v>0</v>
      </c>
      <c r="BJ71" s="40">
        <v>0</v>
      </c>
      <c r="BK71" s="40">
        <v>0</v>
      </c>
      <c r="BL71" s="40">
        <v>0</v>
      </c>
      <c r="BM71" s="40">
        <v>0</v>
      </c>
      <c r="BN71" s="40">
        <v>0</v>
      </c>
      <c r="BO71" s="40">
        <v>0</v>
      </c>
      <c r="BP71" s="40">
        <v>120854492</v>
      </c>
      <c r="BQ71" s="40">
        <v>0</v>
      </c>
      <c r="BR71" s="40">
        <v>0</v>
      </c>
      <c r="BS71" s="40">
        <v>0</v>
      </c>
      <c r="BT71" s="40">
        <v>120854492</v>
      </c>
      <c r="BU71" s="40">
        <v>0</v>
      </c>
      <c r="BV71" s="40">
        <v>120854492</v>
      </c>
      <c r="BW71" s="40">
        <v>0</v>
      </c>
      <c r="BX71" s="40">
        <v>0</v>
      </c>
      <c r="BY71" s="40">
        <v>0</v>
      </c>
      <c r="BZ71" s="40">
        <v>0</v>
      </c>
      <c r="CA71" s="40">
        <v>0</v>
      </c>
      <c r="CB71" s="40">
        <v>120854492</v>
      </c>
      <c r="CC71" s="41"/>
      <c r="CD71" s="41"/>
      <c r="CE71" s="42"/>
      <c r="CF71" s="42"/>
      <c r="CG71" s="42"/>
      <c r="CH71" s="42"/>
    </row>
    <row r="72" spans="1:86" ht="22.5">
      <c r="A72" s="38">
        <v>66</v>
      </c>
      <c r="B72" s="65" t="s">
        <v>93</v>
      </c>
      <c r="C72" s="39" t="s">
        <v>156</v>
      </c>
      <c r="D72" s="40">
        <v>0</v>
      </c>
      <c r="E72" s="40">
        <v>0</v>
      </c>
      <c r="F72" s="40">
        <v>0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T72" s="40">
        <v>0</v>
      </c>
      <c r="U72" s="40">
        <v>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0</v>
      </c>
      <c r="AD72" s="40">
        <v>0</v>
      </c>
      <c r="AE72" s="40">
        <v>0</v>
      </c>
      <c r="AF72" s="40">
        <v>0</v>
      </c>
      <c r="AG72" s="40">
        <v>0</v>
      </c>
      <c r="AH72" s="40">
        <v>0</v>
      </c>
      <c r="AI72" s="40">
        <v>0</v>
      </c>
      <c r="AJ72" s="40">
        <v>0</v>
      </c>
      <c r="AK72" s="40">
        <v>0</v>
      </c>
      <c r="AL72" s="40">
        <v>0</v>
      </c>
      <c r="AM72" s="40">
        <v>0</v>
      </c>
      <c r="AN72" s="40">
        <v>0</v>
      </c>
      <c r="AO72" s="40">
        <v>0</v>
      </c>
      <c r="AP72" s="40">
        <v>0</v>
      </c>
      <c r="AQ72" s="40">
        <v>0</v>
      </c>
      <c r="AR72" s="40">
        <v>0</v>
      </c>
      <c r="AS72" s="40">
        <v>0</v>
      </c>
      <c r="AT72" s="40">
        <v>0</v>
      </c>
      <c r="AU72" s="40">
        <v>0</v>
      </c>
      <c r="AV72" s="40">
        <v>0</v>
      </c>
      <c r="AW72" s="40">
        <v>0</v>
      </c>
      <c r="AX72" s="40">
        <v>0</v>
      </c>
      <c r="AY72" s="40">
        <v>0</v>
      </c>
      <c r="AZ72" s="40">
        <v>0</v>
      </c>
      <c r="BA72" s="40">
        <v>0</v>
      </c>
      <c r="BB72" s="40">
        <v>0</v>
      </c>
      <c r="BC72" s="40">
        <v>0</v>
      </c>
      <c r="BD72" s="40">
        <v>0</v>
      </c>
      <c r="BE72" s="40">
        <v>0</v>
      </c>
      <c r="BF72" s="40">
        <v>0</v>
      </c>
      <c r="BG72" s="40">
        <v>0</v>
      </c>
      <c r="BH72" s="40">
        <v>0</v>
      </c>
      <c r="BI72" s="40">
        <v>0</v>
      </c>
      <c r="BJ72" s="40">
        <v>0</v>
      </c>
      <c r="BK72" s="40">
        <v>0</v>
      </c>
      <c r="BL72" s="40">
        <v>0</v>
      </c>
      <c r="BM72" s="40">
        <v>0</v>
      </c>
      <c r="BN72" s="40">
        <v>0</v>
      </c>
      <c r="BO72" s="40">
        <v>0</v>
      </c>
      <c r="BP72" s="40">
        <v>0</v>
      </c>
      <c r="BQ72" s="40">
        <v>2207464416</v>
      </c>
      <c r="BR72" s="40">
        <v>0</v>
      </c>
      <c r="BS72" s="40">
        <v>0</v>
      </c>
      <c r="BT72" s="40">
        <v>2207464416</v>
      </c>
      <c r="BU72" s="40">
        <v>316713006</v>
      </c>
      <c r="BV72" s="40">
        <v>2524177422</v>
      </c>
      <c r="BW72" s="40">
        <v>129961</v>
      </c>
      <c r="BX72" s="40">
        <v>0</v>
      </c>
      <c r="BY72" s="40">
        <v>77170218</v>
      </c>
      <c r="BZ72" s="40">
        <v>77170218</v>
      </c>
      <c r="CA72" s="40">
        <v>0</v>
      </c>
      <c r="CB72" s="40">
        <v>2601477601</v>
      </c>
      <c r="CC72" s="41"/>
      <c r="CD72" s="41"/>
      <c r="CE72" s="42"/>
      <c r="CF72" s="42"/>
      <c r="CG72" s="42"/>
      <c r="CH72" s="42"/>
    </row>
    <row r="73" spans="1:86">
      <c r="A73" s="38">
        <v>67</v>
      </c>
      <c r="B73" s="65" t="s">
        <v>92</v>
      </c>
      <c r="C73" s="39" t="s">
        <v>155</v>
      </c>
      <c r="D73" s="40">
        <v>0</v>
      </c>
      <c r="E73" s="40">
        <v>0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  <c r="N73" s="40">
        <v>0</v>
      </c>
      <c r="O73" s="40">
        <v>0</v>
      </c>
      <c r="P73" s="40">
        <v>0</v>
      </c>
      <c r="Q73" s="40">
        <v>0</v>
      </c>
      <c r="R73" s="40">
        <v>0</v>
      </c>
      <c r="S73" s="40">
        <v>0</v>
      </c>
      <c r="T73" s="40">
        <v>0</v>
      </c>
      <c r="U73" s="40">
        <v>0</v>
      </c>
      <c r="V73" s="40">
        <v>0</v>
      </c>
      <c r="W73" s="40">
        <v>0</v>
      </c>
      <c r="X73" s="40">
        <v>0</v>
      </c>
      <c r="Y73" s="40">
        <v>0</v>
      </c>
      <c r="Z73" s="40">
        <v>0</v>
      </c>
      <c r="AA73" s="40">
        <v>0</v>
      </c>
      <c r="AB73" s="40">
        <v>0</v>
      </c>
      <c r="AC73" s="40">
        <v>0</v>
      </c>
      <c r="AD73" s="40">
        <v>0</v>
      </c>
      <c r="AE73" s="40">
        <v>0</v>
      </c>
      <c r="AF73" s="40">
        <v>0</v>
      </c>
      <c r="AG73" s="40">
        <v>0</v>
      </c>
      <c r="AH73" s="40">
        <v>0</v>
      </c>
      <c r="AI73" s="40">
        <v>0</v>
      </c>
      <c r="AJ73" s="40">
        <v>0</v>
      </c>
      <c r="AK73" s="40">
        <v>0</v>
      </c>
      <c r="AL73" s="40">
        <v>0</v>
      </c>
      <c r="AM73" s="40">
        <v>0</v>
      </c>
      <c r="AN73" s="40">
        <v>0</v>
      </c>
      <c r="AO73" s="40">
        <v>0</v>
      </c>
      <c r="AP73" s="40">
        <v>0</v>
      </c>
      <c r="AQ73" s="40">
        <v>0</v>
      </c>
      <c r="AR73" s="40">
        <v>0</v>
      </c>
      <c r="AS73" s="40">
        <v>0</v>
      </c>
      <c r="AT73" s="40">
        <v>0</v>
      </c>
      <c r="AU73" s="40">
        <v>0</v>
      </c>
      <c r="AV73" s="40">
        <v>0</v>
      </c>
      <c r="AW73" s="40">
        <v>0</v>
      </c>
      <c r="AX73" s="40">
        <v>0</v>
      </c>
      <c r="AY73" s="40">
        <v>0</v>
      </c>
      <c r="AZ73" s="40">
        <v>0</v>
      </c>
      <c r="BA73" s="40">
        <v>0</v>
      </c>
      <c r="BB73" s="40">
        <v>0</v>
      </c>
      <c r="BC73" s="40">
        <v>0</v>
      </c>
      <c r="BD73" s="40">
        <v>0</v>
      </c>
      <c r="BE73" s="40">
        <v>0</v>
      </c>
      <c r="BF73" s="40">
        <v>0</v>
      </c>
      <c r="BG73" s="40">
        <v>0</v>
      </c>
      <c r="BH73" s="40">
        <v>0</v>
      </c>
      <c r="BI73" s="40">
        <v>0</v>
      </c>
      <c r="BJ73" s="40">
        <v>0</v>
      </c>
      <c r="BK73" s="40">
        <v>0</v>
      </c>
      <c r="BL73" s="40">
        <v>0</v>
      </c>
      <c r="BM73" s="40">
        <v>0</v>
      </c>
      <c r="BN73" s="40">
        <v>0</v>
      </c>
      <c r="BO73" s="40">
        <v>0</v>
      </c>
      <c r="BP73" s="40">
        <v>0</v>
      </c>
      <c r="BQ73" s="40">
        <v>0</v>
      </c>
      <c r="BR73" s="40">
        <v>3885672569</v>
      </c>
      <c r="BS73" s="40">
        <v>0</v>
      </c>
      <c r="BT73" s="40">
        <v>3885672569</v>
      </c>
      <c r="BU73" s="40">
        <v>3062421</v>
      </c>
      <c r="BV73" s="40">
        <v>3888734990</v>
      </c>
      <c r="BW73" s="40">
        <v>0</v>
      </c>
      <c r="BX73" s="40">
        <v>0</v>
      </c>
      <c r="BY73" s="40">
        <v>87672253</v>
      </c>
      <c r="BZ73" s="40">
        <v>87672253</v>
      </c>
      <c r="CA73" s="40">
        <v>0</v>
      </c>
      <c r="CB73" s="40">
        <v>3976407243</v>
      </c>
      <c r="CC73" s="41"/>
      <c r="CD73" s="41"/>
      <c r="CE73" s="42"/>
      <c r="CF73" s="42"/>
      <c r="CG73" s="42"/>
      <c r="CH73" s="42"/>
    </row>
    <row r="74" spans="1:86" ht="45">
      <c r="A74" s="38">
        <v>68</v>
      </c>
      <c r="B74" s="65" t="s">
        <v>11</v>
      </c>
      <c r="C74" s="39" t="s">
        <v>10</v>
      </c>
      <c r="D74" s="40">
        <v>0</v>
      </c>
      <c r="E74" s="40">
        <v>0</v>
      </c>
      <c r="F74" s="40">
        <v>0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T74" s="40">
        <v>0</v>
      </c>
      <c r="U74" s="40">
        <v>0</v>
      </c>
      <c r="V74" s="40">
        <v>0</v>
      </c>
      <c r="W74" s="40">
        <v>0</v>
      </c>
      <c r="X74" s="40">
        <v>0</v>
      </c>
      <c r="Y74" s="40">
        <v>0</v>
      </c>
      <c r="Z74" s="40">
        <v>0</v>
      </c>
      <c r="AA74" s="40">
        <v>0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  <c r="AI74" s="40">
        <v>0</v>
      </c>
      <c r="AJ74" s="40">
        <v>0</v>
      </c>
      <c r="AK74" s="40">
        <v>0</v>
      </c>
      <c r="AL74" s="40">
        <v>0</v>
      </c>
      <c r="AM74" s="40">
        <v>0</v>
      </c>
      <c r="AN74" s="40">
        <v>0</v>
      </c>
      <c r="AO74" s="40">
        <v>0</v>
      </c>
      <c r="AP74" s="40">
        <v>0</v>
      </c>
      <c r="AQ74" s="40">
        <v>0</v>
      </c>
      <c r="AR74" s="40">
        <v>0</v>
      </c>
      <c r="AS74" s="40">
        <v>0</v>
      </c>
      <c r="AT74" s="40">
        <v>0</v>
      </c>
      <c r="AU74" s="40">
        <v>0</v>
      </c>
      <c r="AV74" s="40">
        <v>0</v>
      </c>
      <c r="AW74" s="40">
        <v>0</v>
      </c>
      <c r="AX74" s="40">
        <v>0</v>
      </c>
      <c r="AY74" s="40">
        <v>0</v>
      </c>
      <c r="AZ74" s="40">
        <v>0</v>
      </c>
      <c r="BA74" s="40">
        <v>0</v>
      </c>
      <c r="BB74" s="40">
        <v>0</v>
      </c>
      <c r="BC74" s="40">
        <v>0</v>
      </c>
      <c r="BD74" s="40">
        <v>0</v>
      </c>
      <c r="BE74" s="40">
        <v>0</v>
      </c>
      <c r="BF74" s="40">
        <v>0</v>
      </c>
      <c r="BG74" s="40">
        <v>0</v>
      </c>
      <c r="BH74" s="40">
        <v>0</v>
      </c>
      <c r="BI74" s="40">
        <v>0</v>
      </c>
      <c r="BJ74" s="40">
        <v>0</v>
      </c>
      <c r="BK74" s="40">
        <v>0</v>
      </c>
      <c r="BL74" s="40">
        <v>0</v>
      </c>
      <c r="BM74" s="40">
        <v>0</v>
      </c>
      <c r="BN74" s="40">
        <v>0</v>
      </c>
      <c r="BO74" s="40">
        <v>0</v>
      </c>
      <c r="BP74" s="40">
        <v>0</v>
      </c>
      <c r="BQ74" s="40">
        <v>0</v>
      </c>
      <c r="BR74" s="40">
        <v>0</v>
      </c>
      <c r="BS74" s="40">
        <v>293201329</v>
      </c>
      <c r="BT74" s="40">
        <v>293201329</v>
      </c>
      <c r="BU74" s="40">
        <v>0</v>
      </c>
      <c r="BV74" s="40">
        <v>293201329</v>
      </c>
      <c r="BW74" s="40">
        <v>0</v>
      </c>
      <c r="BX74" s="40">
        <v>0</v>
      </c>
      <c r="BY74" s="40">
        <v>0</v>
      </c>
      <c r="BZ74" s="40">
        <v>0</v>
      </c>
      <c r="CA74" s="40">
        <v>0</v>
      </c>
      <c r="CB74" s="40">
        <v>293201329</v>
      </c>
      <c r="CC74" s="41"/>
      <c r="CD74" s="41"/>
      <c r="CE74" s="42"/>
      <c r="CF74" s="42"/>
      <c r="CG74" s="42"/>
      <c r="CH74" s="42"/>
    </row>
    <row r="75" spans="1:86">
      <c r="A75" s="38">
        <v>69</v>
      </c>
      <c r="B75" s="65"/>
      <c r="C75" s="39" t="s">
        <v>140</v>
      </c>
      <c r="D75" s="40">
        <v>0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40">
        <v>0</v>
      </c>
      <c r="S75" s="40">
        <v>0</v>
      </c>
      <c r="T75" s="40">
        <v>0</v>
      </c>
      <c r="U75" s="40">
        <v>0</v>
      </c>
      <c r="V75" s="40">
        <v>0</v>
      </c>
      <c r="W75" s="40">
        <v>0</v>
      </c>
      <c r="X75" s="40">
        <v>0</v>
      </c>
      <c r="Y75" s="40">
        <v>0</v>
      </c>
      <c r="Z75" s="40">
        <v>0</v>
      </c>
      <c r="AA75" s="40">
        <v>0</v>
      </c>
      <c r="AB75" s="40">
        <v>0</v>
      </c>
      <c r="AC75" s="40">
        <v>0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  <c r="AI75" s="40">
        <v>0</v>
      </c>
      <c r="AJ75" s="40">
        <v>0</v>
      </c>
      <c r="AK75" s="40">
        <v>0</v>
      </c>
      <c r="AL75" s="40">
        <v>0</v>
      </c>
      <c r="AM75" s="40">
        <v>0</v>
      </c>
      <c r="AN75" s="40">
        <v>0</v>
      </c>
      <c r="AO75" s="40">
        <v>0</v>
      </c>
      <c r="AP75" s="40">
        <v>0</v>
      </c>
      <c r="AQ75" s="40">
        <v>0</v>
      </c>
      <c r="AR75" s="40">
        <v>0</v>
      </c>
      <c r="AS75" s="40">
        <v>0</v>
      </c>
      <c r="AT75" s="40">
        <v>0</v>
      </c>
      <c r="AU75" s="40">
        <v>0</v>
      </c>
      <c r="AV75" s="40">
        <v>0</v>
      </c>
      <c r="AW75" s="40">
        <v>0</v>
      </c>
      <c r="AX75" s="40">
        <v>0</v>
      </c>
      <c r="AY75" s="40">
        <v>0</v>
      </c>
      <c r="AZ75" s="40">
        <v>0</v>
      </c>
      <c r="BA75" s="40">
        <v>0</v>
      </c>
      <c r="BB75" s="40">
        <v>0</v>
      </c>
      <c r="BC75" s="40">
        <v>0</v>
      </c>
      <c r="BD75" s="40">
        <v>0</v>
      </c>
      <c r="BE75" s="40">
        <v>0</v>
      </c>
      <c r="BF75" s="40">
        <v>0</v>
      </c>
      <c r="BG75" s="40">
        <v>0</v>
      </c>
      <c r="BH75" s="40">
        <v>0</v>
      </c>
      <c r="BI75" s="40">
        <v>0</v>
      </c>
      <c r="BJ75" s="40">
        <v>0</v>
      </c>
      <c r="BK75" s="40">
        <v>0</v>
      </c>
      <c r="BL75" s="40">
        <v>0</v>
      </c>
      <c r="BM75" s="40">
        <v>0</v>
      </c>
      <c r="BN75" s="40">
        <v>0</v>
      </c>
      <c r="BO75" s="40">
        <v>0</v>
      </c>
      <c r="BP75" s="40">
        <v>0</v>
      </c>
      <c r="BQ75" s="40">
        <v>0</v>
      </c>
      <c r="BR75" s="40">
        <v>0</v>
      </c>
      <c r="BS75" s="40">
        <v>0</v>
      </c>
      <c r="BT75" s="40">
        <v>0</v>
      </c>
      <c r="BU75" s="40">
        <v>0</v>
      </c>
      <c r="BV75" s="40">
        <v>0</v>
      </c>
      <c r="BW75" s="40">
        <v>0</v>
      </c>
      <c r="BX75" s="40">
        <v>0</v>
      </c>
      <c r="BY75" s="40">
        <v>0</v>
      </c>
      <c r="BZ75" s="40">
        <v>0</v>
      </c>
      <c r="CA75" s="40">
        <v>0</v>
      </c>
      <c r="CB75" s="40">
        <v>0</v>
      </c>
      <c r="CC75" s="41"/>
      <c r="CD75" s="41"/>
      <c r="CE75" s="42"/>
      <c r="CF75" s="42"/>
      <c r="CG75" s="42"/>
      <c r="CH75" s="42"/>
    </row>
    <row r="76" spans="1:86" ht="22.5">
      <c r="A76" s="38">
        <v>70</v>
      </c>
      <c r="B76" s="65"/>
      <c r="C76" s="39" t="s">
        <v>9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40">
        <v>0</v>
      </c>
      <c r="AJ76" s="40">
        <v>0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0</v>
      </c>
      <c r="AQ76" s="40">
        <v>0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40">
        <v>0</v>
      </c>
      <c r="BH76" s="40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  <c r="BO76" s="40">
        <v>0</v>
      </c>
      <c r="BP76" s="40">
        <v>0</v>
      </c>
      <c r="BQ76" s="40">
        <v>0</v>
      </c>
      <c r="BR76" s="40">
        <v>0</v>
      </c>
      <c r="BS76" s="40">
        <v>0</v>
      </c>
      <c r="BT76" s="40">
        <v>0</v>
      </c>
      <c r="BU76" s="40">
        <v>0</v>
      </c>
      <c r="BV76" s="40">
        <v>0</v>
      </c>
      <c r="BW76" s="40">
        <v>0</v>
      </c>
      <c r="BX76" s="40">
        <v>0</v>
      </c>
      <c r="BY76" s="40">
        <v>0</v>
      </c>
      <c r="BZ76" s="40">
        <v>0</v>
      </c>
      <c r="CA76" s="40">
        <v>0</v>
      </c>
      <c r="CB76" s="40">
        <v>0</v>
      </c>
      <c r="CC76" s="41"/>
      <c r="CD76" s="41"/>
      <c r="CE76" s="42"/>
      <c r="CF76" s="42"/>
      <c r="CG76" s="42"/>
      <c r="CH76" s="42"/>
    </row>
    <row r="77" spans="1:86">
      <c r="A77" s="43">
        <v>71</v>
      </c>
      <c r="B77" s="66"/>
      <c r="C77" s="59" t="s">
        <v>141</v>
      </c>
      <c r="D77" s="47">
        <v>8812606384</v>
      </c>
      <c r="E77" s="47">
        <v>26707201</v>
      </c>
      <c r="F77" s="47">
        <v>228125400</v>
      </c>
      <c r="G77" s="47">
        <v>843722600</v>
      </c>
      <c r="H77" s="47">
        <v>16382767200</v>
      </c>
      <c r="I77" s="47">
        <v>455455400</v>
      </c>
      <c r="J77" s="47">
        <v>933666800</v>
      </c>
      <c r="K77" s="47">
        <v>8082618300</v>
      </c>
      <c r="L77" s="47">
        <v>481705202</v>
      </c>
      <c r="M77" s="47">
        <v>1051670400</v>
      </c>
      <c r="N77" s="47">
        <v>5435878989</v>
      </c>
      <c r="O77" s="47">
        <v>303763500</v>
      </c>
      <c r="P77" s="47">
        <v>129499498</v>
      </c>
      <c r="Q77" s="47">
        <v>90285800</v>
      </c>
      <c r="R77" s="47">
        <v>15607100</v>
      </c>
      <c r="S77" s="47">
        <v>68761900</v>
      </c>
      <c r="T77" s="47">
        <v>166954001</v>
      </c>
      <c r="U77" s="47">
        <v>83594257</v>
      </c>
      <c r="V77" s="47">
        <v>233642300</v>
      </c>
      <c r="W77" s="47">
        <v>1320817099</v>
      </c>
      <c r="X77" s="47">
        <v>1656043402</v>
      </c>
      <c r="Y77" s="47">
        <v>467180100</v>
      </c>
      <c r="Z77" s="47">
        <v>484057900</v>
      </c>
      <c r="AA77" s="47">
        <v>1834746101</v>
      </c>
      <c r="AB77" s="47">
        <v>4002660602</v>
      </c>
      <c r="AC77" s="47">
        <v>163652700</v>
      </c>
      <c r="AD77" s="47">
        <v>168382500</v>
      </c>
      <c r="AE77" s="47">
        <v>8851751399</v>
      </c>
      <c r="AF77" s="47">
        <v>45472800</v>
      </c>
      <c r="AG77" s="47">
        <v>642080898</v>
      </c>
      <c r="AH77" s="47">
        <v>86667996</v>
      </c>
      <c r="AI77" s="47">
        <v>443103202</v>
      </c>
      <c r="AJ77" s="47">
        <v>558132599</v>
      </c>
      <c r="AK77" s="47">
        <v>1990638600</v>
      </c>
      <c r="AL77" s="47">
        <v>693628765</v>
      </c>
      <c r="AM77" s="47">
        <v>139734072</v>
      </c>
      <c r="AN77" s="47">
        <v>75388799</v>
      </c>
      <c r="AO77" s="47">
        <v>1329676000</v>
      </c>
      <c r="AP77" s="47">
        <v>2660278399</v>
      </c>
      <c r="AQ77" s="47">
        <v>353869500</v>
      </c>
      <c r="AR77" s="47">
        <v>683282400</v>
      </c>
      <c r="AS77" s="47">
        <v>726589296</v>
      </c>
      <c r="AT77" s="47">
        <v>14392498403</v>
      </c>
      <c r="AU77" s="47">
        <v>3576488336</v>
      </c>
      <c r="AV77" s="47">
        <v>22329314815</v>
      </c>
      <c r="AW77" s="47">
        <v>9768282247</v>
      </c>
      <c r="AX77" s="47">
        <v>6905396801</v>
      </c>
      <c r="AY77" s="47">
        <v>75666100</v>
      </c>
      <c r="AZ77" s="47">
        <v>1027848000</v>
      </c>
      <c r="BA77" s="47">
        <v>3116778600</v>
      </c>
      <c r="BB77" s="47">
        <v>94810700</v>
      </c>
      <c r="BC77" s="47">
        <v>519835224</v>
      </c>
      <c r="BD77" s="47">
        <v>2319115543</v>
      </c>
      <c r="BE77" s="47">
        <v>2663339401</v>
      </c>
      <c r="BF77" s="47">
        <v>1700610000</v>
      </c>
      <c r="BG77" s="47">
        <v>4649485551</v>
      </c>
      <c r="BH77" s="47">
        <v>1830961300</v>
      </c>
      <c r="BI77" s="47">
        <v>548194728</v>
      </c>
      <c r="BJ77" s="47">
        <v>16392788500</v>
      </c>
      <c r="BK77" s="47">
        <v>6102749537</v>
      </c>
      <c r="BL77" s="47">
        <v>4261813101</v>
      </c>
      <c r="BM77" s="47">
        <v>7183532954</v>
      </c>
      <c r="BN77" s="47">
        <v>8824493677</v>
      </c>
      <c r="BO77" s="47">
        <v>6050865669</v>
      </c>
      <c r="BP77" s="47">
        <v>120854492</v>
      </c>
      <c r="BQ77" s="47">
        <v>2207464416</v>
      </c>
      <c r="BR77" s="47">
        <v>3885672569</v>
      </c>
      <c r="BS77" s="47">
        <v>293201329</v>
      </c>
      <c r="BT77" s="47">
        <v>204046929354</v>
      </c>
      <c r="BU77" s="47">
        <v>35189319089</v>
      </c>
      <c r="BV77" s="47">
        <v>239236248443</v>
      </c>
      <c r="BW77" s="44">
        <v>0</v>
      </c>
      <c r="BX77" s="44">
        <v>0</v>
      </c>
      <c r="BY77" s="47">
        <v>8286490200</v>
      </c>
      <c r="BZ77" s="47">
        <v>8713991300</v>
      </c>
      <c r="CA77" s="47">
        <v>427501100</v>
      </c>
      <c r="CB77" s="47">
        <v>247522738643</v>
      </c>
      <c r="CC77" s="41"/>
      <c r="CD77" s="41"/>
      <c r="CE77" s="42"/>
      <c r="CF77" s="42"/>
      <c r="CG77" s="42"/>
      <c r="CH77" s="42"/>
    </row>
    <row r="78" spans="1:86">
      <c r="CC78" s="41"/>
      <c r="CD78" s="41"/>
      <c r="CE78" s="42"/>
      <c r="CF78" s="42"/>
      <c r="CG78" s="42"/>
    </row>
    <row r="79" spans="1:86"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</row>
    <row r="80" spans="1:86">
      <c r="BV80" s="42"/>
    </row>
  </sheetData>
  <mergeCells count="1">
    <mergeCell ref="A2:K2"/>
  </mergeCells>
  <pageMargins left="0.78740157480314965" right="0.39370078740157483" top="0.39370078740157483" bottom="0.39370078740157483" header="0.11811023622047245" footer="0.11811023622047245"/>
  <pageSetup paperSize="9" firstPageNumber="7" orientation="landscape" useFirstPageNumber="1" r:id="rId1"/>
  <headerFooter>
    <oddFooter>&amp;R&amp;P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H90"/>
  <sheetViews>
    <sheetView workbookViewId="0">
      <pane xSplit="4" ySplit="7" topLeftCell="E74" activePane="bottomRight" state="frozen"/>
      <selection pane="topRight" activeCell="E1" sqref="E1"/>
      <selection pane="bottomLeft" activeCell="A9" sqref="A9"/>
      <selection pane="bottomRight" activeCell="F24" sqref="F24"/>
    </sheetView>
  </sheetViews>
  <sheetFormatPr defaultColWidth="8" defaultRowHeight="11.25"/>
  <cols>
    <col min="1" max="1" width="3.28515625" style="24" customWidth="1"/>
    <col min="2" max="2" width="7.85546875" style="62" customWidth="1"/>
    <col min="3" max="3" width="33.85546875" style="27" customWidth="1"/>
    <col min="4" max="4" width="13.85546875" style="24" customWidth="1"/>
    <col min="5" max="5" width="13" style="24" customWidth="1"/>
    <col min="6" max="6" width="14.28515625" style="24" customWidth="1"/>
    <col min="7" max="7" width="12.5703125" style="24" customWidth="1"/>
    <col min="8" max="8" width="13.140625" style="24" customWidth="1"/>
    <col min="9" max="9" width="13.28515625" style="24" customWidth="1"/>
    <col min="10" max="10" width="13" style="24" customWidth="1"/>
    <col min="11" max="11" width="13.28515625" style="24" customWidth="1"/>
    <col min="12" max="12" width="14.85546875" style="24" customWidth="1"/>
    <col min="13" max="13" width="11" style="24" bestFit="1" customWidth="1"/>
    <col min="14" max="14" width="12" style="24" customWidth="1"/>
    <col min="15" max="16" width="12.140625" style="24" customWidth="1"/>
    <col min="17" max="17" width="12.85546875" style="24" customWidth="1"/>
    <col min="18" max="18" width="13.85546875" style="24" customWidth="1"/>
    <col min="19" max="19" width="14.140625" style="24" customWidth="1"/>
    <col min="20" max="21" width="14.28515625" style="24" customWidth="1"/>
    <col min="22" max="22" width="12.5703125" style="24" customWidth="1"/>
    <col min="23" max="24" width="14.28515625" style="24" customWidth="1"/>
    <col min="25" max="25" width="13.7109375" style="24" customWidth="1"/>
    <col min="26" max="26" width="14.28515625" style="24" customWidth="1"/>
    <col min="27" max="27" width="14" style="24" customWidth="1"/>
    <col min="28" max="28" width="12.5703125" style="24" bestFit="1" customWidth="1"/>
    <col min="29" max="29" width="11.28515625" style="24" bestFit="1" customWidth="1"/>
    <col min="30" max="30" width="12.5703125" style="24" customWidth="1"/>
    <col min="31" max="31" width="12.5703125" style="24" bestFit="1" customWidth="1"/>
    <col min="32" max="32" width="13.42578125" style="24" customWidth="1"/>
    <col min="33" max="34" width="11.7109375" style="24" customWidth="1"/>
    <col min="35" max="35" width="13.140625" style="24" customWidth="1"/>
    <col min="36" max="36" width="13.5703125" style="24" customWidth="1"/>
    <col min="37" max="37" width="12.85546875" style="24" customWidth="1"/>
    <col min="38" max="38" width="13.5703125" style="24" customWidth="1"/>
    <col min="39" max="40" width="12.5703125" style="24" customWidth="1"/>
    <col min="41" max="41" width="13.7109375" style="24" customWidth="1"/>
    <col min="42" max="42" width="12.5703125" style="24" bestFit="1" customWidth="1"/>
    <col min="43" max="43" width="15.28515625" style="24" bestFit="1" customWidth="1"/>
    <col min="44" max="44" width="10" style="24" bestFit="1" customWidth="1"/>
    <col min="45" max="45" width="11" style="24" bestFit="1" customWidth="1"/>
    <col min="46" max="46" width="14.28515625" style="24" bestFit="1" customWidth="1"/>
    <col min="47" max="47" width="11.42578125" style="24" customWidth="1"/>
    <col min="48" max="48" width="12.7109375" style="24" customWidth="1"/>
    <col min="49" max="49" width="13.5703125" style="24" customWidth="1"/>
    <col min="50" max="50" width="12.42578125" style="24" customWidth="1"/>
    <col min="51" max="51" width="11.28515625" style="24" customWidth="1"/>
    <col min="52" max="52" width="11.5703125" style="24" customWidth="1"/>
    <col min="53" max="53" width="15.140625" style="24" customWidth="1"/>
    <col min="54" max="54" width="13.42578125" style="24" customWidth="1"/>
    <col min="55" max="55" width="11.28515625" style="24" bestFit="1" customWidth="1"/>
    <col min="56" max="56" width="12.5703125" style="24" bestFit="1" customWidth="1"/>
    <col min="57" max="57" width="12.7109375" style="24" customWidth="1"/>
    <col min="58" max="58" width="13" style="24" customWidth="1"/>
    <col min="59" max="63" width="13.7109375" style="24" customWidth="1"/>
    <col min="64" max="64" width="12.7109375" style="24" customWidth="1"/>
    <col min="65" max="65" width="16.42578125" style="24" bestFit="1" customWidth="1"/>
    <col min="66" max="66" width="13.140625" style="24" customWidth="1"/>
    <col min="67" max="67" width="14" style="24" customWidth="1"/>
    <col min="68" max="68" width="13.85546875" style="24" customWidth="1"/>
    <col min="69" max="69" width="14" style="24" customWidth="1"/>
    <col min="70" max="70" width="12.85546875" style="24" customWidth="1"/>
    <col min="71" max="72" width="15.28515625" style="24" customWidth="1"/>
    <col min="73" max="73" width="15.140625" style="24" customWidth="1"/>
    <col min="74" max="74" width="14.5703125" style="24" customWidth="1"/>
    <col min="75" max="75" width="16.140625" style="24" customWidth="1"/>
    <col min="76" max="76" width="13" style="25" customWidth="1"/>
    <col min="77" max="77" width="13.85546875" style="24" customWidth="1"/>
    <col min="78" max="78" width="13.7109375" style="25" customWidth="1"/>
    <col min="79" max="79" width="13.5703125" style="24" customWidth="1"/>
    <col min="80" max="80" width="13.28515625" style="24" customWidth="1"/>
    <col min="81" max="81" width="13.42578125" style="24" customWidth="1"/>
    <col min="82" max="82" width="12.5703125" style="24" customWidth="1"/>
    <col min="83" max="83" width="13.140625" style="24" customWidth="1"/>
    <col min="84" max="84" width="10.85546875" style="24" bestFit="1" customWidth="1"/>
    <col min="85" max="85" width="9.5703125" style="24" bestFit="1" customWidth="1"/>
    <col min="86" max="16384" width="8" style="24"/>
  </cols>
  <sheetData>
    <row r="2" spans="1:86" ht="12.75">
      <c r="A2" s="122" t="s">
        <v>133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</row>
    <row r="3" spans="1:86">
      <c r="A3" s="26" t="s">
        <v>112</v>
      </c>
      <c r="D3" s="28"/>
      <c r="E3" s="28"/>
      <c r="F3" s="28"/>
      <c r="G3" s="28"/>
      <c r="H3" s="28"/>
      <c r="I3" s="28"/>
      <c r="J3" s="28"/>
      <c r="L3" s="28"/>
      <c r="M3" s="28"/>
      <c r="N3" s="28"/>
      <c r="O3" s="28"/>
      <c r="P3" s="28"/>
      <c r="Q3" s="28"/>
      <c r="R3" s="28"/>
      <c r="S3" s="29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9"/>
      <c r="BN3" s="28"/>
      <c r="BO3" s="28"/>
      <c r="BP3" s="28"/>
      <c r="BQ3" s="28"/>
      <c r="BR3" s="28"/>
      <c r="BS3" s="28"/>
      <c r="BT3" s="28"/>
      <c r="BU3" s="29"/>
      <c r="BV3" s="28"/>
      <c r="BW3" s="28"/>
      <c r="BX3" s="28"/>
      <c r="BY3" s="29"/>
      <c r="BZ3" s="28"/>
      <c r="CA3" s="28"/>
      <c r="CB3" s="28"/>
      <c r="CC3" s="28"/>
      <c r="CD3" s="28"/>
      <c r="CE3" s="28"/>
      <c r="CG3" s="25"/>
    </row>
    <row r="4" spans="1:86" ht="93" customHeight="1">
      <c r="A4" s="30"/>
      <c r="B4" s="63"/>
      <c r="C4" s="31"/>
      <c r="D4" s="32" t="s">
        <v>189</v>
      </c>
      <c r="E4" s="33" t="s">
        <v>134</v>
      </c>
      <c r="F4" s="33" t="s">
        <v>89</v>
      </c>
      <c r="G4" s="33" t="s">
        <v>87</v>
      </c>
      <c r="H4" s="33" t="s">
        <v>187</v>
      </c>
      <c r="I4" s="33" t="s">
        <v>185</v>
      </c>
      <c r="J4" s="33" t="s">
        <v>183</v>
      </c>
      <c r="K4" s="33" t="s">
        <v>181</v>
      </c>
      <c r="L4" s="33" t="s">
        <v>180</v>
      </c>
      <c r="M4" s="33" t="s">
        <v>85</v>
      </c>
      <c r="N4" s="33" t="s">
        <v>178</v>
      </c>
      <c r="O4" s="33" t="s">
        <v>83</v>
      </c>
      <c r="P4" s="33" t="s">
        <v>177</v>
      </c>
      <c r="Q4" s="33" t="s">
        <v>82</v>
      </c>
      <c r="R4" s="33" t="s">
        <v>80</v>
      </c>
      <c r="S4" s="33" t="s">
        <v>78</v>
      </c>
      <c r="T4" s="33" t="s">
        <v>76</v>
      </c>
      <c r="U4" s="33" t="s">
        <v>74</v>
      </c>
      <c r="V4" s="33" t="s">
        <v>72</v>
      </c>
      <c r="W4" s="33" t="s">
        <v>70</v>
      </c>
      <c r="X4" s="33" t="s">
        <v>176</v>
      </c>
      <c r="Y4" s="33" t="s">
        <v>68</v>
      </c>
      <c r="Z4" s="33" t="s">
        <v>175</v>
      </c>
      <c r="AA4" s="33" t="s">
        <v>67</v>
      </c>
      <c r="AB4" s="33" t="s">
        <v>173</v>
      </c>
      <c r="AC4" s="33" t="s">
        <v>171</v>
      </c>
      <c r="AD4" s="33" t="s">
        <v>169</v>
      </c>
      <c r="AE4" s="33" t="s">
        <v>167</v>
      </c>
      <c r="AF4" s="33" t="s">
        <v>165</v>
      </c>
      <c r="AG4" s="33" t="s">
        <v>65</v>
      </c>
      <c r="AH4" s="33" t="s">
        <v>135</v>
      </c>
      <c r="AI4" s="33" t="s">
        <v>164</v>
      </c>
      <c r="AJ4" s="33" t="s">
        <v>163</v>
      </c>
      <c r="AK4" s="33" t="s">
        <v>62</v>
      </c>
      <c r="AL4" s="33" t="s">
        <v>60</v>
      </c>
      <c r="AM4" s="33" t="s">
        <v>58</v>
      </c>
      <c r="AN4" s="33" t="s">
        <v>56</v>
      </c>
      <c r="AO4" s="33" t="s">
        <v>136</v>
      </c>
      <c r="AP4" s="33" t="s">
        <v>53</v>
      </c>
      <c r="AQ4" s="33" t="s">
        <v>51</v>
      </c>
      <c r="AR4" s="33" t="s">
        <v>49</v>
      </c>
      <c r="AS4" s="33" t="s">
        <v>162</v>
      </c>
      <c r="AT4" s="33" t="s">
        <v>47</v>
      </c>
      <c r="AU4" s="33" t="s">
        <v>137</v>
      </c>
      <c r="AV4" s="33" t="s">
        <v>44</v>
      </c>
      <c r="AW4" s="33" t="s">
        <v>42</v>
      </c>
      <c r="AX4" s="33" t="s">
        <v>40</v>
      </c>
      <c r="AY4" s="33" t="s">
        <v>38</v>
      </c>
      <c r="AZ4" s="33" t="s">
        <v>36</v>
      </c>
      <c r="BA4" s="33" t="s">
        <v>34</v>
      </c>
      <c r="BB4" s="33" t="s">
        <v>32</v>
      </c>
      <c r="BC4" s="33" t="s">
        <v>30</v>
      </c>
      <c r="BD4" s="33" t="s">
        <v>28</v>
      </c>
      <c r="BE4" s="33" t="s">
        <v>161</v>
      </c>
      <c r="BF4" s="33" t="s">
        <v>26</v>
      </c>
      <c r="BG4" s="33" t="s">
        <v>24</v>
      </c>
      <c r="BH4" s="33" t="s">
        <v>138</v>
      </c>
      <c r="BI4" s="33" t="s">
        <v>139</v>
      </c>
      <c r="BJ4" s="33" t="s">
        <v>20</v>
      </c>
      <c r="BK4" s="33" t="s">
        <v>159</v>
      </c>
      <c r="BL4" s="33" t="s">
        <v>157</v>
      </c>
      <c r="BM4" s="33" t="s">
        <v>18</v>
      </c>
      <c r="BN4" s="33" t="s">
        <v>16</v>
      </c>
      <c r="BO4" s="33" t="s">
        <v>14</v>
      </c>
      <c r="BP4" s="33" t="s">
        <v>12</v>
      </c>
      <c r="BQ4" s="33" t="s">
        <v>156</v>
      </c>
      <c r="BR4" s="33" t="s">
        <v>155</v>
      </c>
      <c r="BS4" s="33" t="s">
        <v>10</v>
      </c>
      <c r="BT4" s="33" t="s">
        <v>123</v>
      </c>
      <c r="BU4" s="33" t="s">
        <v>122</v>
      </c>
      <c r="BV4" s="33" t="s">
        <v>193</v>
      </c>
      <c r="BW4" s="33" t="s">
        <v>121</v>
      </c>
      <c r="BX4" s="34" t="s">
        <v>120</v>
      </c>
      <c r="BY4" s="33" t="s">
        <v>119</v>
      </c>
      <c r="BZ4" s="35" t="s">
        <v>118</v>
      </c>
      <c r="CA4" s="35" t="s">
        <v>117</v>
      </c>
      <c r="CB4" s="35" t="s">
        <v>116</v>
      </c>
      <c r="CC4" s="35" t="s">
        <v>115</v>
      </c>
      <c r="CD4" s="35" t="s">
        <v>114</v>
      </c>
      <c r="CE4" s="35" t="s">
        <v>113</v>
      </c>
    </row>
    <row r="5" spans="1:86" s="25" customFormat="1" ht="15" customHeight="1">
      <c r="A5" s="36"/>
      <c r="B5" s="64" t="s">
        <v>148</v>
      </c>
      <c r="C5" s="37"/>
      <c r="D5" s="32" t="s">
        <v>103</v>
      </c>
      <c r="E5" s="33" t="s">
        <v>91</v>
      </c>
      <c r="F5" s="33" t="s">
        <v>90</v>
      </c>
      <c r="G5" s="33" t="s">
        <v>88</v>
      </c>
      <c r="H5" s="33" t="s">
        <v>188</v>
      </c>
      <c r="I5" s="33" t="s">
        <v>186</v>
      </c>
      <c r="J5" s="33" t="s">
        <v>184</v>
      </c>
      <c r="K5" s="33" t="s">
        <v>182</v>
      </c>
      <c r="L5" s="33" t="s">
        <v>102</v>
      </c>
      <c r="M5" s="33" t="s">
        <v>86</v>
      </c>
      <c r="N5" s="33" t="s">
        <v>179</v>
      </c>
      <c r="O5" s="33" t="s">
        <v>84</v>
      </c>
      <c r="P5" s="33" t="s">
        <v>101</v>
      </c>
      <c r="Q5" s="33" t="s">
        <v>100</v>
      </c>
      <c r="R5" s="33" t="s">
        <v>81</v>
      </c>
      <c r="S5" s="33" t="s">
        <v>79</v>
      </c>
      <c r="T5" s="33" t="s">
        <v>77</v>
      </c>
      <c r="U5" s="33" t="s">
        <v>75</v>
      </c>
      <c r="V5" s="33" t="s">
        <v>73</v>
      </c>
      <c r="W5" s="33" t="s">
        <v>71</v>
      </c>
      <c r="X5" s="33" t="s">
        <v>99</v>
      </c>
      <c r="Y5" s="33" t="s">
        <v>69</v>
      </c>
      <c r="Z5" s="33" t="s">
        <v>98</v>
      </c>
      <c r="AA5" s="33" t="s">
        <v>97</v>
      </c>
      <c r="AB5" s="33">
        <v>241</v>
      </c>
      <c r="AC5" s="33">
        <v>242</v>
      </c>
      <c r="AD5" s="33">
        <v>243</v>
      </c>
      <c r="AE5" s="33">
        <v>244</v>
      </c>
      <c r="AF5" s="33">
        <v>245</v>
      </c>
      <c r="AG5" s="33" t="s">
        <v>66</v>
      </c>
      <c r="AH5" s="33" t="s">
        <v>64</v>
      </c>
      <c r="AI5" s="33" t="s">
        <v>96</v>
      </c>
      <c r="AJ5" s="33" t="s">
        <v>95</v>
      </c>
      <c r="AK5" s="33" t="s">
        <v>63</v>
      </c>
      <c r="AL5" s="33" t="s">
        <v>61</v>
      </c>
      <c r="AM5" s="33" t="s">
        <v>59</v>
      </c>
      <c r="AN5" s="33" t="s">
        <v>57</v>
      </c>
      <c r="AO5" s="33" t="s">
        <v>55</v>
      </c>
      <c r="AP5" s="33">
        <v>351</v>
      </c>
      <c r="AQ5" s="33">
        <v>352</v>
      </c>
      <c r="AR5" s="33">
        <v>353</v>
      </c>
      <c r="AS5" s="33" t="s">
        <v>94</v>
      </c>
      <c r="AT5" s="33" t="s">
        <v>48</v>
      </c>
      <c r="AU5" s="33" t="s">
        <v>46</v>
      </c>
      <c r="AV5" s="33" t="s">
        <v>45</v>
      </c>
      <c r="AW5" s="33" t="s">
        <v>43</v>
      </c>
      <c r="AX5" s="33" t="s">
        <v>41</v>
      </c>
      <c r="AY5" s="33" t="s">
        <v>39</v>
      </c>
      <c r="AZ5" s="33" t="s">
        <v>37</v>
      </c>
      <c r="BA5" s="33" t="s">
        <v>35</v>
      </c>
      <c r="BB5" s="33" t="s">
        <v>33</v>
      </c>
      <c r="BC5" s="33" t="s">
        <v>31</v>
      </c>
      <c r="BD5" s="33" t="s">
        <v>29</v>
      </c>
      <c r="BE5" s="33" t="s">
        <v>199</v>
      </c>
      <c r="BF5" s="33" t="s">
        <v>27</v>
      </c>
      <c r="BG5" s="33" t="s">
        <v>25</v>
      </c>
      <c r="BH5" s="33" t="s">
        <v>23</v>
      </c>
      <c r="BI5" s="33" t="s">
        <v>22</v>
      </c>
      <c r="BJ5" s="33" t="s">
        <v>21</v>
      </c>
      <c r="BK5" s="33" t="s">
        <v>160</v>
      </c>
      <c r="BL5" s="33" t="s">
        <v>158</v>
      </c>
      <c r="BM5" s="33" t="s">
        <v>19</v>
      </c>
      <c r="BN5" s="33" t="s">
        <v>17</v>
      </c>
      <c r="BO5" s="33" t="s">
        <v>15</v>
      </c>
      <c r="BP5" s="33" t="s">
        <v>13</v>
      </c>
      <c r="BQ5" s="33" t="s">
        <v>93</v>
      </c>
      <c r="BR5" s="33" t="s">
        <v>92</v>
      </c>
      <c r="BS5" s="33" t="s">
        <v>11</v>
      </c>
      <c r="BT5" s="33"/>
      <c r="BU5" s="33"/>
      <c r="BV5" s="33"/>
      <c r="BW5" s="33"/>
      <c r="BX5" s="34"/>
      <c r="BY5" s="33"/>
      <c r="BZ5" s="35"/>
      <c r="CA5" s="35"/>
      <c r="CB5" s="35"/>
      <c r="CC5" s="35"/>
      <c r="CD5" s="35"/>
      <c r="CE5" s="35"/>
    </row>
    <row r="6" spans="1:86" ht="11.25" customHeight="1">
      <c r="A6" s="30" t="s">
        <v>147</v>
      </c>
      <c r="B6" s="63"/>
      <c r="C6" s="30"/>
      <c r="D6" s="35">
        <v>1</v>
      </c>
      <c r="E6" s="35">
        <v>2</v>
      </c>
      <c r="F6" s="35">
        <v>3</v>
      </c>
      <c r="G6" s="35">
        <v>4</v>
      </c>
      <c r="H6" s="35">
        <v>5</v>
      </c>
      <c r="I6" s="35">
        <v>6</v>
      </c>
      <c r="J6" s="35">
        <v>7</v>
      </c>
      <c r="K6" s="35">
        <v>8</v>
      </c>
      <c r="L6" s="35">
        <v>9</v>
      </c>
      <c r="M6" s="35">
        <v>10</v>
      </c>
      <c r="N6" s="35">
        <v>11</v>
      </c>
      <c r="O6" s="35">
        <v>12</v>
      </c>
      <c r="P6" s="35">
        <v>13</v>
      </c>
      <c r="Q6" s="35">
        <v>14</v>
      </c>
      <c r="R6" s="35">
        <v>15</v>
      </c>
      <c r="S6" s="35">
        <v>16</v>
      </c>
      <c r="T6" s="35">
        <v>17</v>
      </c>
      <c r="U6" s="35">
        <v>18</v>
      </c>
      <c r="V6" s="35">
        <v>19</v>
      </c>
      <c r="W6" s="35">
        <v>20</v>
      </c>
      <c r="X6" s="35">
        <v>21</v>
      </c>
      <c r="Y6" s="35">
        <v>22</v>
      </c>
      <c r="Z6" s="35">
        <v>23</v>
      </c>
      <c r="AA6" s="35">
        <v>24</v>
      </c>
      <c r="AB6" s="35">
        <v>25</v>
      </c>
      <c r="AC6" s="35">
        <v>26</v>
      </c>
      <c r="AD6" s="35">
        <v>27</v>
      </c>
      <c r="AE6" s="35">
        <v>28</v>
      </c>
      <c r="AF6" s="35">
        <v>29</v>
      </c>
      <c r="AG6" s="35">
        <v>30</v>
      </c>
      <c r="AH6" s="35">
        <v>31</v>
      </c>
      <c r="AI6" s="35">
        <v>32</v>
      </c>
      <c r="AJ6" s="35">
        <v>33</v>
      </c>
      <c r="AK6" s="35">
        <v>34</v>
      </c>
      <c r="AL6" s="35">
        <v>35</v>
      </c>
      <c r="AM6" s="35">
        <v>36</v>
      </c>
      <c r="AN6" s="35">
        <v>37</v>
      </c>
      <c r="AO6" s="35">
        <v>38</v>
      </c>
      <c r="AP6" s="35">
        <v>39</v>
      </c>
      <c r="AQ6" s="35">
        <v>40</v>
      </c>
      <c r="AR6" s="35">
        <v>41</v>
      </c>
      <c r="AS6" s="35">
        <v>42</v>
      </c>
      <c r="AT6" s="35">
        <v>43</v>
      </c>
      <c r="AU6" s="35">
        <v>44</v>
      </c>
      <c r="AV6" s="35">
        <v>45</v>
      </c>
      <c r="AW6" s="35">
        <v>46</v>
      </c>
      <c r="AX6" s="35">
        <v>47</v>
      </c>
      <c r="AY6" s="35">
        <v>48</v>
      </c>
      <c r="AZ6" s="35">
        <v>49</v>
      </c>
      <c r="BA6" s="35">
        <v>50</v>
      </c>
      <c r="BB6" s="35">
        <v>51</v>
      </c>
      <c r="BC6" s="35">
        <v>52</v>
      </c>
      <c r="BD6" s="35">
        <v>53</v>
      </c>
      <c r="BE6" s="35">
        <v>54</v>
      </c>
      <c r="BF6" s="35">
        <v>55</v>
      </c>
      <c r="BG6" s="35">
        <v>56</v>
      </c>
      <c r="BH6" s="35">
        <v>57</v>
      </c>
      <c r="BI6" s="35">
        <v>58</v>
      </c>
      <c r="BJ6" s="35">
        <v>59</v>
      </c>
      <c r="BK6" s="35">
        <v>60</v>
      </c>
      <c r="BL6" s="35">
        <v>61</v>
      </c>
      <c r="BM6" s="35">
        <v>62</v>
      </c>
      <c r="BN6" s="35">
        <v>63</v>
      </c>
      <c r="BO6" s="35">
        <v>64</v>
      </c>
      <c r="BP6" s="35">
        <v>65</v>
      </c>
      <c r="BQ6" s="35">
        <v>66</v>
      </c>
      <c r="BR6" s="35">
        <v>67</v>
      </c>
      <c r="BS6" s="35">
        <v>68</v>
      </c>
      <c r="BT6" s="35">
        <v>69</v>
      </c>
      <c r="BU6" s="35">
        <v>70</v>
      </c>
      <c r="BV6" s="35">
        <v>71</v>
      </c>
      <c r="BW6" s="35">
        <v>72</v>
      </c>
      <c r="BX6" s="35">
        <v>73</v>
      </c>
      <c r="BY6" s="35">
        <v>74</v>
      </c>
      <c r="BZ6" s="35">
        <v>75</v>
      </c>
      <c r="CA6" s="35">
        <v>76</v>
      </c>
      <c r="CB6" s="35">
        <v>77</v>
      </c>
      <c r="CC6" s="35">
        <v>78</v>
      </c>
      <c r="CD6" s="35">
        <v>79</v>
      </c>
      <c r="CE6" s="35">
        <v>80</v>
      </c>
    </row>
    <row r="7" spans="1:86" ht="11.25" customHeight="1">
      <c r="A7" s="38">
        <v>1</v>
      </c>
      <c r="B7" s="65" t="s">
        <v>103</v>
      </c>
      <c r="C7" s="39" t="s">
        <v>189</v>
      </c>
      <c r="D7" s="40">
        <v>1525320718</v>
      </c>
      <c r="E7" s="40">
        <v>159191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1857031828</v>
      </c>
      <c r="O7" s="40">
        <v>37336433</v>
      </c>
      <c r="P7" s="40">
        <v>6596276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7542256</v>
      </c>
      <c r="Y7" s="40">
        <v>1183066</v>
      </c>
      <c r="Z7" s="40">
        <v>2367296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0</v>
      </c>
      <c r="AP7" s="40">
        <v>249</v>
      </c>
      <c r="AQ7" s="40">
        <v>0</v>
      </c>
      <c r="AR7" s="40">
        <v>0</v>
      </c>
      <c r="AS7" s="40">
        <v>181928</v>
      </c>
      <c r="AT7" s="40">
        <v>0</v>
      </c>
      <c r="AU7" s="40">
        <v>0</v>
      </c>
      <c r="AV7" s="40">
        <v>6521856</v>
      </c>
      <c r="AW7" s="40">
        <v>0</v>
      </c>
      <c r="AX7" s="40">
        <v>0</v>
      </c>
      <c r="AY7" s="40">
        <v>0</v>
      </c>
      <c r="AZ7" s="40">
        <v>0</v>
      </c>
      <c r="BA7" s="40">
        <v>0</v>
      </c>
      <c r="BB7" s="40">
        <v>0</v>
      </c>
      <c r="BC7" s="40">
        <v>6744633</v>
      </c>
      <c r="BD7" s="40">
        <v>400050626</v>
      </c>
      <c r="BE7" s="40">
        <v>0</v>
      </c>
      <c r="BF7" s="40">
        <v>0</v>
      </c>
      <c r="BG7" s="40">
        <v>0</v>
      </c>
      <c r="BH7" s="40">
        <v>0</v>
      </c>
      <c r="BI7" s="40">
        <v>0</v>
      </c>
      <c r="BJ7" s="40">
        <v>0</v>
      </c>
      <c r="BK7" s="40">
        <v>10265711</v>
      </c>
      <c r="BL7" s="40">
        <v>8380793</v>
      </c>
      <c r="BM7" s="40">
        <v>16588685</v>
      </c>
      <c r="BN7" s="40">
        <v>68894902</v>
      </c>
      <c r="BO7" s="40">
        <v>36471790</v>
      </c>
      <c r="BP7" s="40">
        <v>956793</v>
      </c>
      <c r="BQ7" s="40">
        <v>1644450</v>
      </c>
      <c r="BR7" s="40">
        <v>0</v>
      </c>
      <c r="BS7" s="40">
        <v>0</v>
      </c>
      <c r="BT7" s="40">
        <v>3994239480</v>
      </c>
      <c r="BU7" s="40">
        <v>5584379330</v>
      </c>
      <c r="BV7" s="40">
        <v>0</v>
      </c>
      <c r="BW7" s="40">
        <v>0</v>
      </c>
      <c r="BX7" s="40">
        <v>5584379330</v>
      </c>
      <c r="BY7" s="40">
        <v>357842076</v>
      </c>
      <c r="BZ7" s="40">
        <v>1033610231</v>
      </c>
      <c r="CA7" s="40">
        <v>0</v>
      </c>
      <c r="CB7" s="40">
        <v>1391452307</v>
      </c>
      <c r="CC7" s="40">
        <v>1072417098</v>
      </c>
      <c r="CD7" s="40">
        <v>8048248735</v>
      </c>
      <c r="CE7" s="40">
        <v>12042488215</v>
      </c>
      <c r="CF7" s="41"/>
      <c r="CG7" s="41"/>
      <c r="CH7" s="42"/>
    </row>
    <row r="8" spans="1:86" ht="22.5">
      <c r="A8" s="38">
        <v>2</v>
      </c>
      <c r="B8" s="65" t="s">
        <v>91</v>
      </c>
      <c r="C8" s="39" t="s">
        <v>134</v>
      </c>
      <c r="D8" s="40">
        <v>49714</v>
      </c>
      <c r="E8" s="40">
        <v>9232608</v>
      </c>
      <c r="F8" s="40">
        <v>0</v>
      </c>
      <c r="G8" s="40">
        <v>0</v>
      </c>
      <c r="H8" s="40">
        <v>8986</v>
      </c>
      <c r="I8" s="40">
        <v>424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13074689</v>
      </c>
      <c r="T8" s="40">
        <v>0</v>
      </c>
      <c r="U8" s="40">
        <v>0</v>
      </c>
      <c r="V8" s="40">
        <v>0</v>
      </c>
      <c r="W8" s="40">
        <v>0</v>
      </c>
      <c r="X8" s="40">
        <v>202094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0</v>
      </c>
      <c r="AP8" s="40">
        <v>0</v>
      </c>
      <c r="AQ8" s="40">
        <v>0</v>
      </c>
      <c r="AR8" s="40">
        <v>0</v>
      </c>
      <c r="AS8" s="40">
        <v>0</v>
      </c>
      <c r="AT8" s="40">
        <v>70419</v>
      </c>
      <c r="AU8" s="40">
        <v>0</v>
      </c>
      <c r="AV8" s="40">
        <v>0</v>
      </c>
      <c r="AW8" s="40">
        <v>0</v>
      </c>
      <c r="AX8" s="40">
        <v>0</v>
      </c>
      <c r="AY8" s="40">
        <v>0</v>
      </c>
      <c r="AZ8" s="40">
        <v>0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40">
        <v>0</v>
      </c>
      <c r="BG8" s="40">
        <v>0</v>
      </c>
      <c r="BH8" s="40">
        <v>0</v>
      </c>
      <c r="BI8" s="40">
        <v>0</v>
      </c>
      <c r="BJ8" s="40">
        <v>0</v>
      </c>
      <c r="BK8" s="40">
        <v>2028</v>
      </c>
      <c r="BL8" s="40">
        <v>739621</v>
      </c>
      <c r="BM8" s="40">
        <v>4574684</v>
      </c>
      <c r="BN8" s="40">
        <v>86929</v>
      </c>
      <c r="BO8" s="40">
        <v>0</v>
      </c>
      <c r="BP8" s="40">
        <v>46</v>
      </c>
      <c r="BQ8" s="40">
        <v>0</v>
      </c>
      <c r="BR8" s="40">
        <v>0</v>
      </c>
      <c r="BS8" s="40">
        <v>0</v>
      </c>
      <c r="BT8" s="40">
        <v>28042242</v>
      </c>
      <c r="BU8" s="40">
        <v>1778991</v>
      </c>
      <c r="BV8" s="40">
        <v>0</v>
      </c>
      <c r="BW8" s="40">
        <v>0</v>
      </c>
      <c r="BX8" s="40">
        <v>1778991</v>
      </c>
      <c r="BY8" s="40">
        <v>0</v>
      </c>
      <c r="BZ8" s="40">
        <v>-1357494</v>
      </c>
      <c r="CA8" s="40">
        <v>0</v>
      </c>
      <c r="CB8" s="40">
        <v>-1357494</v>
      </c>
      <c r="CC8" s="40">
        <v>3272369</v>
      </c>
      <c r="CD8" s="40">
        <v>3693866</v>
      </c>
      <c r="CE8" s="40">
        <v>31736108</v>
      </c>
      <c r="CF8" s="41"/>
      <c r="CG8" s="41"/>
      <c r="CH8" s="42"/>
    </row>
    <row r="9" spans="1:86" ht="33.75">
      <c r="A9" s="38">
        <v>3</v>
      </c>
      <c r="B9" s="65" t="s">
        <v>90</v>
      </c>
      <c r="C9" s="39" t="s">
        <v>89</v>
      </c>
      <c r="D9" s="40">
        <v>0</v>
      </c>
      <c r="E9" s="40">
        <v>0</v>
      </c>
      <c r="F9" s="40">
        <v>75258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6982351</v>
      </c>
      <c r="O9" s="40">
        <v>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0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0</v>
      </c>
      <c r="AV9" s="40">
        <v>0</v>
      </c>
      <c r="AW9" s="40">
        <v>0</v>
      </c>
      <c r="AX9" s="40">
        <v>0</v>
      </c>
      <c r="AY9" s="40">
        <v>0</v>
      </c>
      <c r="AZ9" s="40">
        <v>0</v>
      </c>
      <c r="BA9" s="40">
        <v>0</v>
      </c>
      <c r="BB9" s="40">
        <v>0</v>
      </c>
      <c r="BC9" s="40">
        <v>98225</v>
      </c>
      <c r="BD9" s="40">
        <v>14452581</v>
      </c>
      <c r="BE9" s="40">
        <v>0</v>
      </c>
      <c r="BF9" s="40">
        <v>0</v>
      </c>
      <c r="BG9" s="40">
        <v>0</v>
      </c>
      <c r="BH9" s="40">
        <v>0</v>
      </c>
      <c r="BI9" s="40">
        <v>0</v>
      </c>
      <c r="BJ9" s="40">
        <v>0</v>
      </c>
      <c r="BK9" s="40">
        <v>0</v>
      </c>
      <c r="BL9" s="40">
        <v>0</v>
      </c>
      <c r="BM9" s="40">
        <v>5487901</v>
      </c>
      <c r="BN9" s="40">
        <v>7571768</v>
      </c>
      <c r="BO9" s="40">
        <v>3432143</v>
      </c>
      <c r="BP9" s="40">
        <v>184042</v>
      </c>
      <c r="BQ9" s="40">
        <v>0</v>
      </c>
      <c r="BR9" s="40">
        <v>0</v>
      </c>
      <c r="BS9" s="40">
        <v>0</v>
      </c>
      <c r="BT9" s="40">
        <v>38284269</v>
      </c>
      <c r="BU9" s="40">
        <v>235509265</v>
      </c>
      <c r="BV9" s="40">
        <v>0</v>
      </c>
      <c r="BW9" s="40">
        <v>0</v>
      </c>
      <c r="BX9" s="40">
        <v>235509265</v>
      </c>
      <c r="BY9" s="40">
        <v>0</v>
      </c>
      <c r="BZ9" s="40">
        <v>0</v>
      </c>
      <c r="CA9" s="40">
        <v>0</v>
      </c>
      <c r="CB9" s="40">
        <v>0</v>
      </c>
      <c r="CC9" s="40">
        <v>1774066</v>
      </c>
      <c r="CD9" s="40">
        <v>237283331</v>
      </c>
      <c r="CE9" s="40">
        <v>275567600</v>
      </c>
      <c r="CF9" s="41"/>
      <c r="CG9" s="41"/>
      <c r="CH9" s="42"/>
    </row>
    <row r="10" spans="1:86">
      <c r="A10" s="38">
        <v>4</v>
      </c>
      <c r="B10" s="65" t="s">
        <v>88</v>
      </c>
      <c r="C10" s="39" t="s">
        <v>87</v>
      </c>
      <c r="D10" s="40">
        <v>1231285</v>
      </c>
      <c r="E10" s="40">
        <v>0</v>
      </c>
      <c r="F10" s="40">
        <v>0</v>
      </c>
      <c r="G10" s="40">
        <v>13742023</v>
      </c>
      <c r="H10" s="40">
        <v>5483</v>
      </c>
      <c r="I10" s="40">
        <v>262</v>
      </c>
      <c r="J10" s="40">
        <v>1633098</v>
      </c>
      <c r="K10" s="40">
        <v>1115432</v>
      </c>
      <c r="L10" s="40">
        <v>2811</v>
      </c>
      <c r="M10" s="40">
        <v>8543</v>
      </c>
      <c r="N10" s="40">
        <v>49468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1558</v>
      </c>
      <c r="U10" s="40">
        <v>0</v>
      </c>
      <c r="V10" s="40">
        <v>57846080</v>
      </c>
      <c r="W10" s="40">
        <v>0</v>
      </c>
      <c r="X10" s="40">
        <v>6615</v>
      </c>
      <c r="Y10" s="40">
        <v>0</v>
      </c>
      <c r="Z10" s="40">
        <v>0</v>
      </c>
      <c r="AA10" s="40">
        <v>11391051</v>
      </c>
      <c r="AB10" s="40">
        <v>4669324</v>
      </c>
      <c r="AC10" s="40">
        <v>0</v>
      </c>
      <c r="AD10" s="40">
        <v>0</v>
      </c>
      <c r="AE10" s="40">
        <v>485293</v>
      </c>
      <c r="AF10" s="40">
        <v>0</v>
      </c>
      <c r="AG10" s="40">
        <v>1028</v>
      </c>
      <c r="AH10" s="40">
        <v>0</v>
      </c>
      <c r="AI10" s="40">
        <v>0</v>
      </c>
      <c r="AJ10" s="40">
        <v>14427</v>
      </c>
      <c r="AK10" s="40">
        <v>0</v>
      </c>
      <c r="AL10" s="40">
        <v>6219</v>
      </c>
      <c r="AM10" s="40">
        <v>0</v>
      </c>
      <c r="AN10" s="40">
        <v>289</v>
      </c>
      <c r="AO10" s="40">
        <v>20453</v>
      </c>
      <c r="AP10" s="40">
        <v>163628692</v>
      </c>
      <c r="AQ10" s="40">
        <v>0</v>
      </c>
      <c r="AR10" s="40">
        <v>25716784</v>
      </c>
      <c r="AS10" s="40">
        <v>3383337</v>
      </c>
      <c r="AT10" s="40">
        <v>125199</v>
      </c>
      <c r="AU10" s="40">
        <v>0</v>
      </c>
      <c r="AV10" s="40">
        <v>48784</v>
      </c>
      <c r="AW10" s="40">
        <v>24383</v>
      </c>
      <c r="AX10" s="40">
        <v>94406267</v>
      </c>
      <c r="AY10" s="40">
        <v>0</v>
      </c>
      <c r="AZ10" s="40">
        <v>0</v>
      </c>
      <c r="BA10" s="40">
        <v>135058</v>
      </c>
      <c r="BB10" s="40">
        <v>0</v>
      </c>
      <c r="BC10" s="40">
        <v>0</v>
      </c>
      <c r="BD10" s="40">
        <v>0</v>
      </c>
      <c r="BE10" s="40">
        <v>0</v>
      </c>
      <c r="BF10" s="40">
        <v>0</v>
      </c>
      <c r="BG10" s="40">
        <v>0</v>
      </c>
      <c r="BH10" s="40">
        <v>0</v>
      </c>
      <c r="BI10" s="40">
        <v>0</v>
      </c>
      <c r="BJ10" s="40">
        <v>12789</v>
      </c>
      <c r="BK10" s="40">
        <v>277773</v>
      </c>
      <c r="BL10" s="40">
        <v>127261</v>
      </c>
      <c r="BM10" s="40">
        <v>24013714</v>
      </c>
      <c r="BN10" s="40">
        <v>85835759</v>
      </c>
      <c r="BO10" s="40">
        <v>64370047</v>
      </c>
      <c r="BP10" s="40">
        <v>425499</v>
      </c>
      <c r="BQ10" s="40">
        <v>301043</v>
      </c>
      <c r="BR10" s="40">
        <v>0</v>
      </c>
      <c r="BS10" s="40">
        <v>0</v>
      </c>
      <c r="BT10" s="40">
        <v>555063131</v>
      </c>
      <c r="BU10" s="40">
        <v>201673171</v>
      </c>
      <c r="BV10" s="40">
        <v>0</v>
      </c>
      <c r="BW10" s="40">
        <v>0</v>
      </c>
      <c r="BX10" s="40">
        <v>201673171</v>
      </c>
      <c r="BY10" s="40">
        <v>0</v>
      </c>
      <c r="BZ10" s="40">
        <v>38745804</v>
      </c>
      <c r="CA10" s="40">
        <v>0</v>
      </c>
      <c r="CB10" s="40">
        <v>38745804</v>
      </c>
      <c r="CC10" s="40">
        <v>283569606</v>
      </c>
      <c r="CD10" s="40">
        <v>523988581</v>
      </c>
      <c r="CE10" s="40">
        <v>1079051712</v>
      </c>
      <c r="CF10" s="41"/>
      <c r="CG10" s="41"/>
      <c r="CH10" s="42"/>
    </row>
    <row r="11" spans="1:86">
      <c r="A11" s="38">
        <v>5</v>
      </c>
      <c r="B11" s="65" t="s">
        <v>188</v>
      </c>
      <c r="C11" s="39" t="s">
        <v>187</v>
      </c>
      <c r="D11" s="40">
        <v>0</v>
      </c>
      <c r="E11" s="40">
        <v>0</v>
      </c>
      <c r="F11" s="40">
        <v>0</v>
      </c>
      <c r="G11" s="40">
        <v>0</v>
      </c>
      <c r="H11" s="40">
        <v>80147081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361030795</v>
      </c>
      <c r="X11" s="40">
        <v>84647</v>
      </c>
      <c r="Y11" s="40">
        <v>0</v>
      </c>
      <c r="Z11" s="40">
        <v>106812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40">
        <v>0</v>
      </c>
      <c r="AN11" s="40">
        <v>0</v>
      </c>
      <c r="AO11" s="40">
        <v>0</v>
      </c>
      <c r="AP11" s="40">
        <v>0</v>
      </c>
      <c r="AQ11" s="40">
        <v>0</v>
      </c>
      <c r="AR11" s="40">
        <v>0</v>
      </c>
      <c r="AS11" s="40">
        <v>0</v>
      </c>
      <c r="AT11" s="40">
        <v>0</v>
      </c>
      <c r="AU11" s="40">
        <v>0</v>
      </c>
      <c r="AV11" s="40">
        <v>0</v>
      </c>
      <c r="AW11" s="40">
        <v>0</v>
      </c>
      <c r="AX11" s="40">
        <v>0</v>
      </c>
      <c r="AY11" s="40">
        <v>0</v>
      </c>
      <c r="AZ11" s="40">
        <v>0</v>
      </c>
      <c r="BA11" s="40">
        <v>0</v>
      </c>
      <c r="BB11" s="40">
        <v>0</v>
      </c>
      <c r="BC11" s="40">
        <v>0</v>
      </c>
      <c r="BD11" s="40">
        <v>0</v>
      </c>
      <c r="BE11" s="40">
        <v>0</v>
      </c>
      <c r="BF11" s="40">
        <v>0</v>
      </c>
      <c r="BG11" s="40">
        <v>0</v>
      </c>
      <c r="BH11" s="40">
        <v>0</v>
      </c>
      <c r="BI11" s="40">
        <v>0</v>
      </c>
      <c r="BJ11" s="40">
        <v>0</v>
      </c>
      <c r="BK11" s="40">
        <v>0</v>
      </c>
      <c r="BL11" s="40">
        <v>0</v>
      </c>
      <c r="BM11" s="40">
        <v>0</v>
      </c>
      <c r="BN11" s="40">
        <v>0</v>
      </c>
      <c r="BO11" s="40">
        <v>0</v>
      </c>
      <c r="BP11" s="40">
        <v>0</v>
      </c>
      <c r="BQ11" s="40">
        <v>0</v>
      </c>
      <c r="BR11" s="40">
        <v>0</v>
      </c>
      <c r="BS11" s="40">
        <v>0</v>
      </c>
      <c r="BT11" s="40">
        <v>441369335</v>
      </c>
      <c r="BU11" s="40">
        <v>0</v>
      </c>
      <c r="BV11" s="40">
        <v>0</v>
      </c>
      <c r="BW11" s="40">
        <v>0</v>
      </c>
      <c r="BX11" s="40">
        <v>0</v>
      </c>
      <c r="BY11" s="40">
        <v>0</v>
      </c>
      <c r="BZ11" s="40">
        <v>-52577805</v>
      </c>
      <c r="CA11" s="40">
        <v>0</v>
      </c>
      <c r="CB11" s="40">
        <v>-52577805</v>
      </c>
      <c r="CC11" s="40">
        <v>18759279971</v>
      </c>
      <c r="CD11" s="40">
        <v>18706702166</v>
      </c>
      <c r="CE11" s="40">
        <v>19148071501</v>
      </c>
      <c r="CF11" s="41"/>
      <c r="CG11" s="41"/>
      <c r="CH11" s="42"/>
    </row>
    <row r="12" spans="1:86" ht="22.5">
      <c r="A12" s="38">
        <v>6</v>
      </c>
      <c r="B12" s="65" t="s">
        <v>186</v>
      </c>
      <c r="C12" s="39" t="s">
        <v>185</v>
      </c>
      <c r="D12" s="40">
        <v>615605</v>
      </c>
      <c r="E12" s="40">
        <v>0</v>
      </c>
      <c r="F12" s="40">
        <v>0</v>
      </c>
      <c r="G12" s="40">
        <v>0</v>
      </c>
      <c r="H12" s="40">
        <v>15885066</v>
      </c>
      <c r="I12" s="40">
        <v>753427</v>
      </c>
      <c r="J12" s="40">
        <v>326097</v>
      </c>
      <c r="K12" s="40">
        <v>748</v>
      </c>
      <c r="L12" s="40">
        <v>12299</v>
      </c>
      <c r="M12" s="40">
        <v>588350</v>
      </c>
      <c r="N12" s="40">
        <v>1511002</v>
      </c>
      <c r="O12" s="40">
        <v>0</v>
      </c>
      <c r="P12" s="40">
        <v>1181</v>
      </c>
      <c r="Q12" s="40">
        <v>890</v>
      </c>
      <c r="R12" s="40">
        <v>1225</v>
      </c>
      <c r="S12" s="40">
        <v>0</v>
      </c>
      <c r="T12" s="40">
        <v>46924</v>
      </c>
      <c r="U12" s="40">
        <v>0</v>
      </c>
      <c r="V12" s="40">
        <v>0</v>
      </c>
      <c r="W12" s="40">
        <v>3284641</v>
      </c>
      <c r="X12" s="40">
        <v>239718</v>
      </c>
      <c r="Y12" s="40">
        <v>139966</v>
      </c>
      <c r="Z12" s="40">
        <v>43</v>
      </c>
      <c r="AA12" s="40">
        <v>200036</v>
      </c>
      <c r="AB12" s="40">
        <v>3752</v>
      </c>
      <c r="AC12" s="40">
        <v>0</v>
      </c>
      <c r="AD12" s="40">
        <v>125</v>
      </c>
      <c r="AE12" s="40">
        <v>105</v>
      </c>
      <c r="AF12" s="40">
        <v>0</v>
      </c>
      <c r="AG12" s="40">
        <v>2388</v>
      </c>
      <c r="AH12" s="40">
        <v>0</v>
      </c>
      <c r="AI12" s="40">
        <v>0</v>
      </c>
      <c r="AJ12" s="40">
        <v>220</v>
      </c>
      <c r="AK12" s="40">
        <v>2129</v>
      </c>
      <c r="AL12" s="40">
        <v>0</v>
      </c>
      <c r="AM12" s="40">
        <v>0</v>
      </c>
      <c r="AN12" s="40">
        <v>0</v>
      </c>
      <c r="AO12" s="40">
        <v>6341</v>
      </c>
      <c r="AP12" s="40">
        <v>26620268</v>
      </c>
      <c r="AQ12" s="40">
        <v>85068546</v>
      </c>
      <c r="AR12" s="40">
        <v>4271801</v>
      </c>
      <c r="AS12" s="40">
        <v>44030</v>
      </c>
      <c r="AT12" s="40">
        <v>64338</v>
      </c>
      <c r="AU12" s="40">
        <v>0</v>
      </c>
      <c r="AV12" s="40">
        <v>115188</v>
      </c>
      <c r="AW12" s="40">
        <v>24978</v>
      </c>
      <c r="AX12" s="40">
        <v>35893933</v>
      </c>
      <c r="AY12" s="40">
        <v>0</v>
      </c>
      <c r="AZ12" s="40">
        <v>0</v>
      </c>
      <c r="BA12" s="40">
        <v>64103</v>
      </c>
      <c r="BB12" s="40">
        <v>0</v>
      </c>
      <c r="BC12" s="40">
        <v>299401</v>
      </c>
      <c r="BD12" s="40">
        <v>2529</v>
      </c>
      <c r="BE12" s="40">
        <v>0</v>
      </c>
      <c r="BF12" s="40">
        <v>0</v>
      </c>
      <c r="BG12" s="40">
        <v>0</v>
      </c>
      <c r="BH12" s="40">
        <v>0</v>
      </c>
      <c r="BI12" s="40">
        <v>0</v>
      </c>
      <c r="BJ12" s="40">
        <v>6117801</v>
      </c>
      <c r="BK12" s="40">
        <v>4417</v>
      </c>
      <c r="BL12" s="40">
        <v>198660</v>
      </c>
      <c r="BM12" s="40">
        <v>0</v>
      </c>
      <c r="BN12" s="40">
        <v>0</v>
      </c>
      <c r="BO12" s="40">
        <v>0</v>
      </c>
      <c r="BP12" s="40">
        <v>0</v>
      </c>
      <c r="BQ12" s="40">
        <v>0</v>
      </c>
      <c r="BR12" s="40">
        <v>0</v>
      </c>
      <c r="BS12" s="40">
        <v>0</v>
      </c>
      <c r="BT12" s="40">
        <v>182412271</v>
      </c>
      <c r="BU12" s="40">
        <v>0</v>
      </c>
      <c r="BV12" s="40">
        <v>0</v>
      </c>
      <c r="BW12" s="40">
        <v>0</v>
      </c>
      <c r="BX12" s="40">
        <v>0</v>
      </c>
      <c r="BY12" s="40">
        <v>0</v>
      </c>
      <c r="BZ12" s="40">
        <v>564993</v>
      </c>
      <c r="CA12" s="40">
        <v>0</v>
      </c>
      <c r="CB12" s="40">
        <v>564993</v>
      </c>
      <c r="CC12" s="40">
        <v>662647862</v>
      </c>
      <c r="CD12" s="40">
        <v>663212855</v>
      </c>
      <c r="CE12" s="40">
        <v>845625126</v>
      </c>
      <c r="CF12" s="41"/>
      <c r="CG12" s="41"/>
      <c r="CH12" s="42"/>
    </row>
    <row r="13" spans="1:86">
      <c r="A13" s="38">
        <v>7</v>
      </c>
      <c r="B13" s="65" t="s">
        <v>184</v>
      </c>
      <c r="C13" s="39" t="s">
        <v>183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596615338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>
        <v>0</v>
      </c>
      <c r="AL13" s="40">
        <v>0</v>
      </c>
      <c r="AM13" s="40">
        <v>0</v>
      </c>
      <c r="AN13" s="40">
        <v>0</v>
      </c>
      <c r="AO13" s="40">
        <v>0</v>
      </c>
      <c r="AP13" s="40">
        <v>0</v>
      </c>
      <c r="AQ13" s="40">
        <v>0</v>
      </c>
      <c r="AR13" s="40">
        <v>0</v>
      </c>
      <c r="AS13" s="40">
        <v>0</v>
      </c>
      <c r="AT13" s="40">
        <v>0</v>
      </c>
      <c r="AU13" s="40">
        <v>0</v>
      </c>
      <c r="AV13" s="40">
        <v>0</v>
      </c>
      <c r="AW13" s="40">
        <v>0</v>
      </c>
      <c r="AX13" s="40">
        <v>0</v>
      </c>
      <c r="AY13" s="40">
        <v>0</v>
      </c>
      <c r="AZ13" s="40">
        <v>0</v>
      </c>
      <c r="BA13" s="40">
        <v>0</v>
      </c>
      <c r="BB13" s="40">
        <v>0</v>
      </c>
      <c r="BC13" s="40">
        <v>0</v>
      </c>
      <c r="BD13" s="40">
        <v>0</v>
      </c>
      <c r="BE13" s="40">
        <v>0</v>
      </c>
      <c r="BF13" s="40">
        <v>0</v>
      </c>
      <c r="BG13" s="40">
        <v>0</v>
      </c>
      <c r="BH13" s="40">
        <v>0</v>
      </c>
      <c r="BI13" s="40">
        <v>0</v>
      </c>
      <c r="BJ13" s="40">
        <v>0</v>
      </c>
      <c r="BK13" s="40">
        <v>0</v>
      </c>
      <c r="BL13" s="40">
        <v>0</v>
      </c>
      <c r="BM13" s="40">
        <v>0</v>
      </c>
      <c r="BN13" s="40">
        <v>0</v>
      </c>
      <c r="BO13" s="40">
        <v>0</v>
      </c>
      <c r="BP13" s="40">
        <v>0</v>
      </c>
      <c r="BQ13" s="40">
        <v>0</v>
      </c>
      <c r="BR13" s="40">
        <v>0</v>
      </c>
      <c r="BS13" s="40">
        <v>0</v>
      </c>
      <c r="BT13" s="40">
        <v>596615338</v>
      </c>
      <c r="BU13" s="40">
        <v>0</v>
      </c>
      <c r="BV13" s="40">
        <v>0</v>
      </c>
      <c r="BW13" s="40">
        <v>0</v>
      </c>
      <c r="BX13" s="40">
        <v>0</v>
      </c>
      <c r="BY13" s="40">
        <v>0</v>
      </c>
      <c r="BZ13" s="40">
        <v>30461135</v>
      </c>
      <c r="CA13" s="40">
        <v>0</v>
      </c>
      <c r="CB13" s="40">
        <v>30461135</v>
      </c>
      <c r="CC13" s="40">
        <v>347016687</v>
      </c>
      <c r="CD13" s="40">
        <v>377477822</v>
      </c>
      <c r="CE13" s="40">
        <v>974093160</v>
      </c>
      <c r="CF13" s="41"/>
      <c r="CG13" s="41"/>
      <c r="CH13" s="42"/>
    </row>
    <row r="14" spans="1:86">
      <c r="A14" s="38">
        <v>8</v>
      </c>
      <c r="B14" s="65" t="s">
        <v>182</v>
      </c>
      <c r="C14" s="39" t="s">
        <v>181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246451764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484463880</v>
      </c>
      <c r="Y14" s="40">
        <v>0</v>
      </c>
      <c r="Z14" s="40">
        <v>0</v>
      </c>
      <c r="AA14" s="40">
        <v>0</v>
      </c>
      <c r="AB14" s="40">
        <v>227954945</v>
      </c>
      <c r="AC14" s="40">
        <v>0</v>
      </c>
      <c r="AD14" s="40">
        <v>0</v>
      </c>
      <c r="AE14" s="40">
        <v>5201370620</v>
      </c>
      <c r="AF14" s="40">
        <v>0</v>
      </c>
      <c r="AG14" s="40">
        <v>0</v>
      </c>
      <c r="AH14" s="40">
        <v>0</v>
      </c>
      <c r="AI14" s="40">
        <v>0</v>
      </c>
      <c r="AJ14" s="40">
        <v>0</v>
      </c>
      <c r="AK14" s="40">
        <v>0</v>
      </c>
      <c r="AL14" s="40">
        <v>0</v>
      </c>
      <c r="AM14" s="40">
        <v>0</v>
      </c>
      <c r="AN14" s="40">
        <v>0</v>
      </c>
      <c r="AO14" s="40">
        <v>0</v>
      </c>
      <c r="AP14" s="40">
        <v>0</v>
      </c>
      <c r="AQ14" s="40">
        <v>0</v>
      </c>
      <c r="AR14" s="40">
        <v>0</v>
      </c>
      <c r="AS14" s="40">
        <v>0</v>
      </c>
      <c r="AT14" s="40">
        <v>0</v>
      </c>
      <c r="AU14" s="40">
        <v>0</v>
      </c>
      <c r="AV14" s="40">
        <v>0</v>
      </c>
      <c r="AW14" s="40">
        <v>0</v>
      </c>
      <c r="AX14" s="40">
        <v>0</v>
      </c>
      <c r="AY14" s="40">
        <v>0</v>
      </c>
      <c r="AZ14" s="40">
        <v>0</v>
      </c>
      <c r="BA14" s="40">
        <v>0</v>
      </c>
      <c r="BB14" s="40">
        <v>0</v>
      </c>
      <c r="BC14" s="40">
        <v>0</v>
      </c>
      <c r="BD14" s="40">
        <v>0</v>
      </c>
      <c r="BE14" s="40">
        <v>0</v>
      </c>
      <c r="BF14" s="40">
        <v>0</v>
      </c>
      <c r="BG14" s="40">
        <v>0</v>
      </c>
      <c r="BH14" s="40">
        <v>0</v>
      </c>
      <c r="BI14" s="40">
        <v>0</v>
      </c>
      <c r="BJ14" s="40">
        <v>0</v>
      </c>
      <c r="BK14" s="40">
        <v>0</v>
      </c>
      <c r="BL14" s="40">
        <v>0</v>
      </c>
      <c r="BM14" s="40">
        <v>0</v>
      </c>
      <c r="BN14" s="40">
        <v>0</v>
      </c>
      <c r="BO14" s="40">
        <v>0</v>
      </c>
      <c r="BP14" s="40">
        <v>0</v>
      </c>
      <c r="BQ14" s="40">
        <v>0</v>
      </c>
      <c r="BR14" s="40">
        <v>0</v>
      </c>
      <c r="BS14" s="40">
        <v>0</v>
      </c>
      <c r="BT14" s="40">
        <v>6160241209</v>
      </c>
      <c r="BU14" s="40">
        <v>0</v>
      </c>
      <c r="BV14" s="40">
        <v>0</v>
      </c>
      <c r="BW14" s="40">
        <v>0</v>
      </c>
      <c r="BX14" s="40">
        <v>0</v>
      </c>
      <c r="BY14" s="40">
        <v>0</v>
      </c>
      <c r="BZ14" s="40">
        <v>750423169</v>
      </c>
      <c r="CA14" s="40">
        <v>0</v>
      </c>
      <c r="CB14" s="40">
        <v>750423169</v>
      </c>
      <c r="CC14" s="40">
        <v>1842772932</v>
      </c>
      <c r="CD14" s="40">
        <v>2593196101</v>
      </c>
      <c r="CE14" s="40">
        <v>8753437310</v>
      </c>
      <c r="CF14" s="41"/>
      <c r="CG14" s="41"/>
      <c r="CH14" s="42"/>
    </row>
    <row r="15" spans="1:86" ht="22.5">
      <c r="A15" s="38">
        <v>9</v>
      </c>
      <c r="B15" s="65" t="s">
        <v>102</v>
      </c>
      <c r="C15" s="39" t="s">
        <v>180</v>
      </c>
      <c r="D15" s="40">
        <v>3124955</v>
      </c>
      <c r="E15" s="40">
        <v>109</v>
      </c>
      <c r="F15" s="40">
        <v>20956</v>
      </c>
      <c r="G15" s="40">
        <v>0</v>
      </c>
      <c r="H15" s="40">
        <v>66373565</v>
      </c>
      <c r="I15" s="40">
        <v>3155747</v>
      </c>
      <c r="J15" s="40">
        <v>0</v>
      </c>
      <c r="K15" s="40">
        <v>1210</v>
      </c>
      <c r="L15" s="40">
        <v>10885567</v>
      </c>
      <c r="M15" s="40">
        <v>543078</v>
      </c>
      <c r="N15" s="40">
        <v>90574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1467291</v>
      </c>
      <c r="U15" s="40">
        <v>0</v>
      </c>
      <c r="V15" s="40">
        <v>0</v>
      </c>
      <c r="W15" s="40">
        <v>58</v>
      </c>
      <c r="X15" s="40">
        <v>26715264</v>
      </c>
      <c r="Y15" s="40">
        <v>84378</v>
      </c>
      <c r="Z15" s="40">
        <v>453080</v>
      </c>
      <c r="AA15" s="40">
        <v>178575957</v>
      </c>
      <c r="AB15" s="40">
        <v>3813433</v>
      </c>
      <c r="AC15" s="40">
        <v>85</v>
      </c>
      <c r="AD15" s="40">
        <v>234</v>
      </c>
      <c r="AE15" s="40">
        <v>2377</v>
      </c>
      <c r="AF15" s="40">
        <v>0</v>
      </c>
      <c r="AG15" s="40">
        <v>0</v>
      </c>
      <c r="AH15" s="40">
        <v>0</v>
      </c>
      <c r="AI15" s="40">
        <v>64</v>
      </c>
      <c r="AJ15" s="40">
        <v>215</v>
      </c>
      <c r="AK15" s="40">
        <v>9221</v>
      </c>
      <c r="AL15" s="40">
        <v>3987</v>
      </c>
      <c r="AM15" s="40">
        <v>0</v>
      </c>
      <c r="AN15" s="40">
        <v>1249113</v>
      </c>
      <c r="AO15" s="40">
        <v>0</v>
      </c>
      <c r="AP15" s="40">
        <v>528596</v>
      </c>
      <c r="AQ15" s="40">
        <v>0</v>
      </c>
      <c r="AR15" s="40">
        <v>239278</v>
      </c>
      <c r="AS15" s="40">
        <v>788494</v>
      </c>
      <c r="AT15" s="40">
        <v>133606097</v>
      </c>
      <c r="AU15" s="40">
        <v>0</v>
      </c>
      <c r="AV15" s="40">
        <v>0</v>
      </c>
      <c r="AW15" s="40">
        <v>0</v>
      </c>
      <c r="AX15" s="40">
        <v>0</v>
      </c>
      <c r="AY15" s="40">
        <v>0</v>
      </c>
      <c r="AZ15" s="40">
        <v>0</v>
      </c>
      <c r="BA15" s="40">
        <v>0</v>
      </c>
      <c r="BB15" s="40">
        <v>0</v>
      </c>
      <c r="BC15" s="40">
        <v>0</v>
      </c>
      <c r="BD15" s="40">
        <v>0</v>
      </c>
      <c r="BE15" s="40">
        <v>0</v>
      </c>
      <c r="BF15" s="40">
        <v>0</v>
      </c>
      <c r="BG15" s="40">
        <v>0</v>
      </c>
      <c r="BH15" s="40">
        <v>0</v>
      </c>
      <c r="BI15" s="40">
        <v>0</v>
      </c>
      <c r="BJ15" s="40">
        <v>0</v>
      </c>
      <c r="BK15" s="40">
        <v>7789687</v>
      </c>
      <c r="BL15" s="40">
        <v>1462064</v>
      </c>
      <c r="BM15" s="40">
        <v>101608</v>
      </c>
      <c r="BN15" s="40">
        <v>2840117</v>
      </c>
      <c r="BO15" s="40">
        <v>9094072</v>
      </c>
      <c r="BP15" s="40">
        <v>5814</v>
      </c>
      <c r="BQ15" s="40">
        <v>7256634</v>
      </c>
      <c r="BR15" s="40">
        <v>0</v>
      </c>
      <c r="BS15" s="40">
        <v>0</v>
      </c>
      <c r="BT15" s="40">
        <v>460282979</v>
      </c>
      <c r="BU15" s="40">
        <v>16521925</v>
      </c>
      <c r="BV15" s="40">
        <v>0</v>
      </c>
      <c r="BW15" s="40">
        <v>0</v>
      </c>
      <c r="BX15" s="40">
        <v>16521925</v>
      </c>
      <c r="BY15" s="40">
        <v>0</v>
      </c>
      <c r="BZ15" s="40">
        <v>19865177</v>
      </c>
      <c r="CA15" s="40">
        <v>0</v>
      </c>
      <c r="CB15" s="40">
        <v>19865177</v>
      </c>
      <c r="CC15" s="40">
        <v>191537672</v>
      </c>
      <c r="CD15" s="40">
        <v>227924774</v>
      </c>
      <c r="CE15" s="40">
        <v>688207753</v>
      </c>
      <c r="CF15" s="41"/>
      <c r="CG15" s="41"/>
      <c r="CH15" s="42"/>
    </row>
    <row r="16" spans="1:86" ht="22.5">
      <c r="A16" s="38">
        <v>10</v>
      </c>
      <c r="B16" s="65" t="s">
        <v>86</v>
      </c>
      <c r="C16" s="39" t="s">
        <v>85</v>
      </c>
      <c r="D16" s="40">
        <v>0</v>
      </c>
      <c r="E16" s="40">
        <v>0</v>
      </c>
      <c r="F16" s="40">
        <v>0</v>
      </c>
      <c r="G16" s="40">
        <v>113610139</v>
      </c>
      <c r="H16" s="40">
        <v>717436458</v>
      </c>
      <c r="I16" s="40">
        <v>34000621</v>
      </c>
      <c r="J16" s="40">
        <v>24741117</v>
      </c>
      <c r="K16" s="40">
        <v>87903159</v>
      </c>
      <c r="L16" s="40">
        <v>70490287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40">
        <v>0</v>
      </c>
      <c r="AR16" s="40">
        <v>0</v>
      </c>
      <c r="AS16" s="40">
        <v>0</v>
      </c>
      <c r="AT16" s="40">
        <v>0</v>
      </c>
      <c r="AU16" s="40">
        <v>0</v>
      </c>
      <c r="AV16" s="40">
        <v>0</v>
      </c>
      <c r="AW16" s="40">
        <v>0</v>
      </c>
      <c r="AX16" s="40">
        <v>0</v>
      </c>
      <c r="AY16" s="40">
        <v>0</v>
      </c>
      <c r="AZ16" s="40">
        <v>0</v>
      </c>
      <c r="BA16" s="40">
        <v>0</v>
      </c>
      <c r="BB16" s="40">
        <v>0</v>
      </c>
      <c r="BC16" s="40">
        <v>0</v>
      </c>
      <c r="BD16" s="40">
        <v>0</v>
      </c>
      <c r="BE16" s="40">
        <v>0</v>
      </c>
      <c r="BF16" s="40">
        <v>0</v>
      </c>
      <c r="BG16" s="40">
        <v>0</v>
      </c>
      <c r="BH16" s="40">
        <v>0</v>
      </c>
      <c r="BI16" s="40">
        <v>0</v>
      </c>
      <c r="BJ16" s="40">
        <v>0</v>
      </c>
      <c r="BK16" s="40">
        <v>0</v>
      </c>
      <c r="BL16" s="40">
        <v>0</v>
      </c>
      <c r="BM16" s="40">
        <v>0</v>
      </c>
      <c r="BN16" s="40">
        <v>0</v>
      </c>
      <c r="BO16" s="40">
        <v>0</v>
      </c>
      <c r="BP16" s="40">
        <v>0</v>
      </c>
      <c r="BQ16" s="40">
        <v>0</v>
      </c>
      <c r="BR16" s="40">
        <v>0</v>
      </c>
      <c r="BS16" s="40">
        <v>0</v>
      </c>
      <c r="BT16" s="40">
        <v>1048181781</v>
      </c>
      <c r="BU16" s="40">
        <v>0</v>
      </c>
      <c r="BV16" s="40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0</v>
      </c>
      <c r="CC16" s="40">
        <v>5685087</v>
      </c>
      <c r="CD16" s="40">
        <v>5685087</v>
      </c>
      <c r="CE16" s="40">
        <v>1053866868</v>
      </c>
      <c r="CF16" s="41"/>
      <c r="CG16" s="41"/>
      <c r="CH16" s="42"/>
    </row>
    <row r="17" spans="1:86">
      <c r="A17" s="38">
        <v>11</v>
      </c>
      <c r="B17" s="65" t="s">
        <v>179</v>
      </c>
      <c r="C17" s="39" t="s">
        <v>178</v>
      </c>
      <c r="D17" s="40">
        <v>419349035</v>
      </c>
      <c r="E17" s="40">
        <v>0</v>
      </c>
      <c r="F17" s="40">
        <v>5456473</v>
      </c>
      <c r="G17" s="40">
        <v>142903</v>
      </c>
      <c r="H17" s="40">
        <v>1820773</v>
      </c>
      <c r="I17" s="40">
        <v>59756</v>
      </c>
      <c r="J17" s="40">
        <v>38130</v>
      </c>
      <c r="K17" s="40">
        <v>74680</v>
      </c>
      <c r="L17" s="40">
        <v>1705</v>
      </c>
      <c r="M17" s="40">
        <v>1773</v>
      </c>
      <c r="N17" s="40">
        <v>536812496</v>
      </c>
      <c r="O17" s="40">
        <v>0</v>
      </c>
      <c r="P17" s="40">
        <v>1442880</v>
      </c>
      <c r="Q17" s="40">
        <v>0</v>
      </c>
      <c r="R17" s="40">
        <v>495917</v>
      </c>
      <c r="S17" s="40">
        <v>0</v>
      </c>
      <c r="T17" s="40">
        <v>321324</v>
      </c>
      <c r="U17" s="40">
        <v>0</v>
      </c>
      <c r="V17" s="40">
        <v>0</v>
      </c>
      <c r="W17" s="40">
        <v>3246</v>
      </c>
      <c r="X17" s="40">
        <v>45879422</v>
      </c>
      <c r="Y17" s="40">
        <v>70856484</v>
      </c>
      <c r="Z17" s="40">
        <v>5</v>
      </c>
      <c r="AA17" s="40">
        <v>925</v>
      </c>
      <c r="AB17" s="40">
        <v>15259</v>
      </c>
      <c r="AC17" s="40">
        <v>21304</v>
      </c>
      <c r="AD17" s="40">
        <v>3742</v>
      </c>
      <c r="AE17" s="40">
        <v>25620</v>
      </c>
      <c r="AF17" s="40">
        <v>1031</v>
      </c>
      <c r="AG17" s="40">
        <v>17473</v>
      </c>
      <c r="AH17" s="40">
        <v>0</v>
      </c>
      <c r="AI17" s="40">
        <v>20</v>
      </c>
      <c r="AJ17" s="40">
        <v>0</v>
      </c>
      <c r="AK17" s="40">
        <v>0</v>
      </c>
      <c r="AL17" s="40">
        <v>2808</v>
      </c>
      <c r="AM17" s="40">
        <v>2027</v>
      </c>
      <c r="AN17" s="40">
        <v>0</v>
      </c>
      <c r="AO17" s="40">
        <v>3319</v>
      </c>
      <c r="AP17" s="40">
        <v>4244</v>
      </c>
      <c r="AQ17" s="40">
        <v>159</v>
      </c>
      <c r="AR17" s="40">
        <v>1258</v>
      </c>
      <c r="AS17" s="40">
        <v>192289</v>
      </c>
      <c r="AT17" s="40">
        <v>88357</v>
      </c>
      <c r="AU17" s="40">
        <v>81360</v>
      </c>
      <c r="AV17" s="40">
        <v>439911</v>
      </c>
      <c r="AW17" s="40">
        <v>502146</v>
      </c>
      <c r="AX17" s="40">
        <v>13604</v>
      </c>
      <c r="AY17" s="40">
        <v>92725</v>
      </c>
      <c r="AZ17" s="40">
        <v>621</v>
      </c>
      <c r="BA17" s="40">
        <v>221089</v>
      </c>
      <c r="BB17" s="40">
        <v>0</v>
      </c>
      <c r="BC17" s="40">
        <v>36434473</v>
      </c>
      <c r="BD17" s="40">
        <v>624216402</v>
      </c>
      <c r="BE17" s="40">
        <v>752151</v>
      </c>
      <c r="BF17" s="40">
        <v>0</v>
      </c>
      <c r="BG17" s="40">
        <v>48305141</v>
      </c>
      <c r="BH17" s="40">
        <v>0</v>
      </c>
      <c r="BI17" s="40">
        <v>794</v>
      </c>
      <c r="BJ17" s="40">
        <v>5520183</v>
      </c>
      <c r="BK17" s="40">
        <v>106806706</v>
      </c>
      <c r="BL17" s="40">
        <v>6278747</v>
      </c>
      <c r="BM17" s="40">
        <v>12925700</v>
      </c>
      <c r="BN17" s="40">
        <v>263251646</v>
      </c>
      <c r="BO17" s="40">
        <v>147006378</v>
      </c>
      <c r="BP17" s="40">
        <v>4800276</v>
      </c>
      <c r="BQ17" s="40">
        <v>52660094</v>
      </c>
      <c r="BR17" s="40">
        <v>382114</v>
      </c>
      <c r="BS17" s="40">
        <v>0</v>
      </c>
      <c r="BT17" s="40">
        <v>2393829098</v>
      </c>
      <c r="BU17" s="40">
        <v>11634210456</v>
      </c>
      <c r="BV17" s="40">
        <v>0</v>
      </c>
      <c r="BW17" s="40">
        <v>0</v>
      </c>
      <c r="BX17" s="40">
        <v>11634210456</v>
      </c>
      <c r="BY17" s="40">
        <v>0</v>
      </c>
      <c r="BZ17" s="40">
        <v>73242022</v>
      </c>
      <c r="CA17" s="40">
        <v>0</v>
      </c>
      <c r="CB17" s="40">
        <v>73242022</v>
      </c>
      <c r="CC17" s="40">
        <v>1563515027</v>
      </c>
      <c r="CD17" s="40">
        <v>13270967505</v>
      </c>
      <c r="CE17" s="40">
        <v>15664796603</v>
      </c>
      <c r="CF17" s="41"/>
      <c r="CG17" s="41"/>
      <c r="CH17" s="42"/>
    </row>
    <row r="18" spans="1:86">
      <c r="A18" s="38">
        <v>12</v>
      </c>
      <c r="B18" s="65" t="s">
        <v>84</v>
      </c>
      <c r="C18" s="39" t="s">
        <v>83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5278481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0</v>
      </c>
      <c r="AP18" s="40">
        <v>0</v>
      </c>
      <c r="AQ18" s="40">
        <v>0</v>
      </c>
      <c r="AR18" s="40">
        <v>0</v>
      </c>
      <c r="AS18" s="40">
        <v>0</v>
      </c>
      <c r="AT18" s="40">
        <v>0</v>
      </c>
      <c r="AU18" s="40">
        <v>0</v>
      </c>
      <c r="AV18" s="40">
        <v>0</v>
      </c>
      <c r="AW18" s="40">
        <v>0</v>
      </c>
      <c r="AX18" s="40">
        <v>0</v>
      </c>
      <c r="AY18" s="40">
        <v>0</v>
      </c>
      <c r="AZ18" s="40">
        <v>0</v>
      </c>
      <c r="BA18" s="40">
        <v>0</v>
      </c>
      <c r="BB18" s="40">
        <v>0</v>
      </c>
      <c r="BC18" s="40">
        <v>0</v>
      </c>
      <c r="BD18" s="40">
        <v>0</v>
      </c>
      <c r="BE18" s="40">
        <v>0</v>
      </c>
      <c r="BF18" s="40">
        <v>0</v>
      </c>
      <c r="BG18" s="40">
        <v>0</v>
      </c>
      <c r="BH18" s="40">
        <v>0</v>
      </c>
      <c r="BI18" s="40">
        <v>0</v>
      </c>
      <c r="BJ18" s="40">
        <v>0</v>
      </c>
      <c r="BK18" s="40">
        <v>0</v>
      </c>
      <c r="BL18" s="40">
        <v>0</v>
      </c>
      <c r="BM18" s="40">
        <v>0</v>
      </c>
      <c r="BN18" s="40">
        <v>0</v>
      </c>
      <c r="BO18" s="40">
        <v>0</v>
      </c>
      <c r="BP18" s="40">
        <v>0</v>
      </c>
      <c r="BQ18" s="40">
        <v>0</v>
      </c>
      <c r="BR18" s="40">
        <v>0</v>
      </c>
      <c r="BS18" s="40">
        <v>0</v>
      </c>
      <c r="BT18" s="40">
        <v>5278481</v>
      </c>
      <c r="BU18" s="40">
        <v>852453082</v>
      </c>
      <c r="BV18" s="40">
        <v>0</v>
      </c>
      <c r="BW18" s="40">
        <v>0</v>
      </c>
      <c r="BX18" s="40">
        <v>852453082</v>
      </c>
      <c r="BY18" s="40">
        <v>0</v>
      </c>
      <c r="BZ18" s="40">
        <v>-24005315</v>
      </c>
      <c r="CA18" s="40">
        <v>0</v>
      </c>
      <c r="CB18" s="40">
        <v>-24005315</v>
      </c>
      <c r="CC18" s="40">
        <v>143622505</v>
      </c>
      <c r="CD18" s="40">
        <v>972070272</v>
      </c>
      <c r="CE18" s="40">
        <v>977348753</v>
      </c>
      <c r="CF18" s="41"/>
      <c r="CG18" s="41"/>
      <c r="CH18" s="42"/>
    </row>
    <row r="19" spans="1:86">
      <c r="A19" s="38">
        <v>13</v>
      </c>
      <c r="B19" s="65" t="s">
        <v>101</v>
      </c>
      <c r="C19" s="39" t="s">
        <v>177</v>
      </c>
      <c r="D19" s="40">
        <v>4883906</v>
      </c>
      <c r="E19" s="40">
        <v>21698</v>
      </c>
      <c r="F19" s="40">
        <v>2961879</v>
      </c>
      <c r="G19" s="40">
        <v>184726</v>
      </c>
      <c r="H19" s="40">
        <v>4645193</v>
      </c>
      <c r="I19" s="40">
        <v>218420</v>
      </c>
      <c r="J19" s="40">
        <v>41247</v>
      </c>
      <c r="K19" s="40">
        <v>169324</v>
      </c>
      <c r="L19" s="40">
        <v>5459</v>
      </c>
      <c r="M19" s="40">
        <v>25903</v>
      </c>
      <c r="N19" s="40">
        <v>2974464</v>
      </c>
      <c r="O19" s="40">
        <v>0</v>
      </c>
      <c r="P19" s="40">
        <v>67268109</v>
      </c>
      <c r="Q19" s="40">
        <v>32514972</v>
      </c>
      <c r="R19" s="40">
        <v>1382862</v>
      </c>
      <c r="S19" s="40">
        <v>0</v>
      </c>
      <c r="T19" s="40">
        <v>0</v>
      </c>
      <c r="U19" s="40">
        <v>0</v>
      </c>
      <c r="V19" s="40">
        <v>0</v>
      </c>
      <c r="W19" s="40">
        <v>784063</v>
      </c>
      <c r="X19" s="40">
        <v>12074382</v>
      </c>
      <c r="Y19" s="40">
        <v>353469</v>
      </c>
      <c r="Z19" s="40">
        <v>851254</v>
      </c>
      <c r="AA19" s="40">
        <v>578681</v>
      </c>
      <c r="AB19" s="40">
        <v>10177</v>
      </c>
      <c r="AC19" s="40">
        <v>0</v>
      </c>
      <c r="AD19" s="40">
        <v>0</v>
      </c>
      <c r="AE19" s="40">
        <v>9335</v>
      </c>
      <c r="AF19" s="40">
        <v>0</v>
      </c>
      <c r="AG19" s="40">
        <v>103</v>
      </c>
      <c r="AH19" s="40">
        <v>0</v>
      </c>
      <c r="AI19" s="40">
        <v>8</v>
      </c>
      <c r="AJ19" s="40">
        <v>18833</v>
      </c>
      <c r="AK19" s="40">
        <v>25807717</v>
      </c>
      <c r="AL19" s="40">
        <v>94925</v>
      </c>
      <c r="AM19" s="40">
        <v>6473573</v>
      </c>
      <c r="AN19" s="40">
        <v>17263</v>
      </c>
      <c r="AO19" s="40">
        <v>67349</v>
      </c>
      <c r="AP19" s="40">
        <v>38517</v>
      </c>
      <c r="AQ19" s="40">
        <v>0</v>
      </c>
      <c r="AR19" s="40">
        <v>2554</v>
      </c>
      <c r="AS19" s="40">
        <v>189</v>
      </c>
      <c r="AT19" s="40">
        <v>5541274</v>
      </c>
      <c r="AU19" s="40">
        <v>0</v>
      </c>
      <c r="AV19" s="40">
        <v>10267002</v>
      </c>
      <c r="AW19" s="40">
        <v>6539606</v>
      </c>
      <c r="AX19" s="40">
        <v>235572</v>
      </c>
      <c r="AY19" s="40">
        <v>1668747</v>
      </c>
      <c r="AZ19" s="40">
        <v>0</v>
      </c>
      <c r="BA19" s="40">
        <v>955601</v>
      </c>
      <c r="BB19" s="40">
        <v>435483</v>
      </c>
      <c r="BC19" s="40">
        <v>31164220</v>
      </c>
      <c r="BD19" s="40">
        <v>243015</v>
      </c>
      <c r="BE19" s="40">
        <v>644</v>
      </c>
      <c r="BF19" s="40">
        <v>0</v>
      </c>
      <c r="BG19" s="40">
        <v>64360</v>
      </c>
      <c r="BH19" s="40">
        <v>0</v>
      </c>
      <c r="BI19" s="40">
        <v>0</v>
      </c>
      <c r="BJ19" s="40">
        <v>1621957</v>
      </c>
      <c r="BK19" s="40">
        <v>499683</v>
      </c>
      <c r="BL19" s="40">
        <v>866260</v>
      </c>
      <c r="BM19" s="40">
        <v>20336961</v>
      </c>
      <c r="BN19" s="40">
        <v>28843939</v>
      </c>
      <c r="BO19" s="40">
        <v>52487386</v>
      </c>
      <c r="BP19" s="40">
        <v>3462940</v>
      </c>
      <c r="BQ19" s="40">
        <v>42801585</v>
      </c>
      <c r="BR19" s="40">
        <v>3613072</v>
      </c>
      <c r="BS19" s="40">
        <v>0</v>
      </c>
      <c r="BT19" s="40">
        <v>376129861</v>
      </c>
      <c r="BU19" s="40">
        <v>717190882</v>
      </c>
      <c r="BV19" s="40">
        <v>0</v>
      </c>
      <c r="BW19" s="40">
        <v>0</v>
      </c>
      <c r="BX19" s="40">
        <v>717190882</v>
      </c>
      <c r="BY19" s="40">
        <v>69952454</v>
      </c>
      <c r="BZ19" s="40">
        <v>13649843</v>
      </c>
      <c r="CA19" s="40">
        <v>0</v>
      </c>
      <c r="CB19" s="40">
        <v>83602297</v>
      </c>
      <c r="CC19" s="40">
        <v>42444232</v>
      </c>
      <c r="CD19" s="40">
        <v>843237411</v>
      </c>
      <c r="CE19" s="40">
        <v>1219367272</v>
      </c>
      <c r="CF19" s="41"/>
      <c r="CG19" s="41"/>
      <c r="CH19" s="42"/>
    </row>
    <row r="20" spans="1:86">
      <c r="A20" s="38">
        <v>14</v>
      </c>
      <c r="B20" s="65" t="s">
        <v>100</v>
      </c>
      <c r="C20" s="39" t="s">
        <v>82</v>
      </c>
      <c r="D20" s="40">
        <v>292791</v>
      </c>
      <c r="E20" s="40">
        <v>5620</v>
      </c>
      <c r="F20" s="40">
        <v>0</v>
      </c>
      <c r="G20" s="40">
        <v>170164</v>
      </c>
      <c r="H20" s="40">
        <v>5984499</v>
      </c>
      <c r="I20" s="40">
        <v>283519</v>
      </c>
      <c r="J20" s="40">
        <v>51585</v>
      </c>
      <c r="K20" s="40">
        <v>185497</v>
      </c>
      <c r="L20" s="40">
        <v>10083</v>
      </c>
      <c r="M20" s="40">
        <v>85769</v>
      </c>
      <c r="N20" s="40">
        <v>97144</v>
      </c>
      <c r="O20" s="40">
        <v>0</v>
      </c>
      <c r="P20" s="40">
        <v>5</v>
      </c>
      <c r="Q20" s="40">
        <v>0</v>
      </c>
      <c r="R20" s="40">
        <v>0</v>
      </c>
      <c r="S20" s="40">
        <v>0</v>
      </c>
      <c r="T20" s="40">
        <v>590</v>
      </c>
      <c r="U20" s="40">
        <v>0</v>
      </c>
      <c r="V20" s="40">
        <v>2031</v>
      </c>
      <c r="W20" s="40">
        <v>359254</v>
      </c>
      <c r="X20" s="40">
        <v>149296</v>
      </c>
      <c r="Y20" s="40">
        <v>928659</v>
      </c>
      <c r="Z20" s="40">
        <v>18703</v>
      </c>
      <c r="AA20" s="40">
        <v>58671</v>
      </c>
      <c r="AB20" s="40">
        <v>4801</v>
      </c>
      <c r="AC20" s="40">
        <v>533</v>
      </c>
      <c r="AD20" s="40">
        <v>0</v>
      </c>
      <c r="AE20" s="40">
        <v>6774</v>
      </c>
      <c r="AF20" s="40">
        <v>0</v>
      </c>
      <c r="AG20" s="40">
        <v>8855</v>
      </c>
      <c r="AH20" s="40">
        <v>0</v>
      </c>
      <c r="AI20" s="40">
        <v>397</v>
      </c>
      <c r="AJ20" s="40">
        <v>4659</v>
      </c>
      <c r="AK20" s="40">
        <v>0</v>
      </c>
      <c r="AL20" s="40">
        <v>46940</v>
      </c>
      <c r="AM20" s="40">
        <v>0</v>
      </c>
      <c r="AN20" s="40">
        <v>0</v>
      </c>
      <c r="AO20" s="40">
        <v>350311</v>
      </c>
      <c r="AP20" s="40">
        <v>304693</v>
      </c>
      <c r="AQ20" s="40">
        <v>6585</v>
      </c>
      <c r="AR20" s="40">
        <v>39229</v>
      </c>
      <c r="AS20" s="40">
        <v>130629</v>
      </c>
      <c r="AT20" s="40">
        <v>3933714</v>
      </c>
      <c r="AU20" s="40">
        <v>18735</v>
      </c>
      <c r="AV20" s="40">
        <v>68616</v>
      </c>
      <c r="AW20" s="40">
        <v>486461</v>
      </c>
      <c r="AX20" s="40">
        <v>1231899</v>
      </c>
      <c r="AY20" s="40">
        <v>9352</v>
      </c>
      <c r="AZ20" s="40">
        <v>1642241</v>
      </c>
      <c r="BA20" s="40">
        <v>1002022</v>
      </c>
      <c r="BB20" s="40">
        <v>21779</v>
      </c>
      <c r="BC20" s="40">
        <v>1005675</v>
      </c>
      <c r="BD20" s="40">
        <v>26907</v>
      </c>
      <c r="BE20" s="40">
        <v>71029</v>
      </c>
      <c r="BF20" s="40">
        <v>76283</v>
      </c>
      <c r="BG20" s="40">
        <v>258958</v>
      </c>
      <c r="BH20" s="40">
        <v>260238</v>
      </c>
      <c r="BI20" s="40">
        <v>356032</v>
      </c>
      <c r="BJ20" s="40">
        <v>305897</v>
      </c>
      <c r="BK20" s="40">
        <v>937560</v>
      </c>
      <c r="BL20" s="40">
        <v>9740261</v>
      </c>
      <c r="BM20" s="40">
        <v>10521310</v>
      </c>
      <c r="BN20" s="40">
        <v>23373721</v>
      </c>
      <c r="BO20" s="40">
        <v>13214605</v>
      </c>
      <c r="BP20" s="40">
        <v>201998</v>
      </c>
      <c r="BQ20" s="40">
        <v>42229188</v>
      </c>
      <c r="BR20" s="40">
        <v>250206</v>
      </c>
      <c r="BS20" s="40">
        <v>0</v>
      </c>
      <c r="BT20" s="40">
        <v>120832973</v>
      </c>
      <c r="BU20" s="40">
        <v>3006221622</v>
      </c>
      <c r="BV20" s="40">
        <v>0</v>
      </c>
      <c r="BW20" s="40">
        <v>0</v>
      </c>
      <c r="BX20" s="40">
        <v>3006221622</v>
      </c>
      <c r="BY20" s="40">
        <v>0</v>
      </c>
      <c r="BZ20" s="40">
        <v>5569076</v>
      </c>
      <c r="CA20" s="40">
        <v>0</v>
      </c>
      <c r="CB20" s="40">
        <v>5569076</v>
      </c>
      <c r="CC20" s="40">
        <v>155273728</v>
      </c>
      <c r="CD20" s="40">
        <v>3167064426</v>
      </c>
      <c r="CE20" s="40">
        <v>3287897399</v>
      </c>
      <c r="CF20" s="41"/>
      <c r="CG20" s="41"/>
      <c r="CH20" s="42"/>
    </row>
    <row r="21" spans="1:86">
      <c r="A21" s="38">
        <v>15</v>
      </c>
      <c r="B21" s="65" t="s">
        <v>81</v>
      </c>
      <c r="C21" s="39" t="s">
        <v>80</v>
      </c>
      <c r="D21" s="40">
        <v>2777</v>
      </c>
      <c r="E21" s="40">
        <v>95</v>
      </c>
      <c r="F21" s="40">
        <v>0</v>
      </c>
      <c r="G21" s="40">
        <v>0</v>
      </c>
      <c r="H21" s="40">
        <v>11134</v>
      </c>
      <c r="I21" s="40">
        <v>489</v>
      </c>
      <c r="J21" s="40">
        <v>0</v>
      </c>
      <c r="K21" s="40">
        <v>3018</v>
      </c>
      <c r="L21" s="40">
        <v>32</v>
      </c>
      <c r="M21" s="40">
        <v>1848</v>
      </c>
      <c r="N21" s="40">
        <v>0</v>
      </c>
      <c r="O21" s="40">
        <v>0</v>
      </c>
      <c r="P21" s="40">
        <v>0</v>
      </c>
      <c r="Q21" s="40">
        <v>0</v>
      </c>
      <c r="R21" s="40">
        <v>753907</v>
      </c>
      <c r="S21" s="40">
        <v>0</v>
      </c>
      <c r="T21" s="40">
        <v>0</v>
      </c>
      <c r="U21" s="40">
        <v>0</v>
      </c>
      <c r="V21" s="40">
        <v>0</v>
      </c>
      <c r="W21" s="40">
        <v>178</v>
      </c>
      <c r="X21" s="40">
        <v>5843</v>
      </c>
      <c r="Y21" s="40">
        <v>0</v>
      </c>
      <c r="Z21" s="40">
        <v>207</v>
      </c>
      <c r="AA21" s="40">
        <v>866</v>
      </c>
      <c r="AB21" s="40">
        <v>96</v>
      </c>
      <c r="AC21" s="40">
        <v>0</v>
      </c>
      <c r="AD21" s="40">
        <v>0</v>
      </c>
      <c r="AE21" s="40">
        <v>888</v>
      </c>
      <c r="AF21" s="40">
        <v>0</v>
      </c>
      <c r="AG21" s="40">
        <v>148</v>
      </c>
      <c r="AH21" s="40">
        <v>0</v>
      </c>
      <c r="AI21" s="40">
        <v>35</v>
      </c>
      <c r="AJ21" s="40">
        <v>126</v>
      </c>
      <c r="AK21" s="40">
        <v>0</v>
      </c>
      <c r="AL21" s="40">
        <v>0</v>
      </c>
      <c r="AM21" s="40">
        <v>0</v>
      </c>
      <c r="AN21" s="40">
        <v>0</v>
      </c>
      <c r="AO21" s="40">
        <v>4850</v>
      </c>
      <c r="AP21" s="40">
        <v>8794</v>
      </c>
      <c r="AQ21" s="40">
        <v>0</v>
      </c>
      <c r="AR21" s="40">
        <v>1242</v>
      </c>
      <c r="AS21" s="40">
        <v>1373</v>
      </c>
      <c r="AT21" s="40">
        <v>301800</v>
      </c>
      <c r="AU21" s="40">
        <v>0</v>
      </c>
      <c r="AV21" s="40">
        <v>0</v>
      </c>
      <c r="AW21" s="40">
        <v>0</v>
      </c>
      <c r="AX21" s="40">
        <v>9054</v>
      </c>
      <c r="AY21" s="40">
        <v>0</v>
      </c>
      <c r="AZ21" s="40">
        <v>0</v>
      </c>
      <c r="BA21" s="40">
        <v>0</v>
      </c>
      <c r="BB21" s="40">
        <v>0</v>
      </c>
      <c r="BC21" s="40">
        <v>22294</v>
      </c>
      <c r="BD21" s="40">
        <v>0</v>
      </c>
      <c r="BE21" s="40">
        <v>163190</v>
      </c>
      <c r="BF21" s="40">
        <v>0</v>
      </c>
      <c r="BG21" s="40">
        <v>0</v>
      </c>
      <c r="BH21" s="40">
        <v>0</v>
      </c>
      <c r="BI21" s="40">
        <v>0</v>
      </c>
      <c r="BJ21" s="40">
        <v>0</v>
      </c>
      <c r="BK21" s="40">
        <v>147870</v>
      </c>
      <c r="BL21" s="40">
        <v>131905</v>
      </c>
      <c r="BM21" s="40">
        <v>1602351</v>
      </c>
      <c r="BN21" s="40">
        <v>2751607</v>
      </c>
      <c r="BO21" s="40">
        <v>431522</v>
      </c>
      <c r="BP21" s="40">
        <v>41714</v>
      </c>
      <c r="BQ21" s="40">
        <v>14894</v>
      </c>
      <c r="BR21" s="40">
        <v>0</v>
      </c>
      <c r="BS21" s="40">
        <v>0</v>
      </c>
      <c r="BT21" s="40">
        <v>6416147</v>
      </c>
      <c r="BU21" s="40">
        <v>808991706</v>
      </c>
      <c r="BV21" s="40">
        <v>0</v>
      </c>
      <c r="BW21" s="40">
        <v>0</v>
      </c>
      <c r="BX21" s="40">
        <v>808991706</v>
      </c>
      <c r="BY21" s="40">
        <v>0</v>
      </c>
      <c r="BZ21" s="40">
        <v>1179095</v>
      </c>
      <c r="CA21" s="40">
        <v>0</v>
      </c>
      <c r="CB21" s="40">
        <v>1179095</v>
      </c>
      <c r="CC21" s="40">
        <v>53208182</v>
      </c>
      <c r="CD21" s="40">
        <v>863378983</v>
      </c>
      <c r="CE21" s="40">
        <v>869795130</v>
      </c>
      <c r="CF21" s="41"/>
      <c r="CG21" s="41"/>
      <c r="CH21" s="42"/>
    </row>
    <row r="22" spans="1:86" ht="33.75">
      <c r="A22" s="38">
        <v>16</v>
      </c>
      <c r="B22" s="65" t="s">
        <v>79</v>
      </c>
      <c r="C22" s="39" t="s">
        <v>78</v>
      </c>
      <c r="D22" s="40">
        <v>2041904</v>
      </c>
      <c r="E22" s="40">
        <v>0</v>
      </c>
      <c r="F22" s="40">
        <v>6377</v>
      </c>
      <c r="G22" s="40">
        <v>2103129</v>
      </c>
      <c r="H22" s="40">
        <v>446628</v>
      </c>
      <c r="I22" s="40">
        <v>21232</v>
      </c>
      <c r="J22" s="40">
        <v>122177</v>
      </c>
      <c r="K22" s="40">
        <v>1175196</v>
      </c>
      <c r="L22" s="40">
        <v>130970</v>
      </c>
      <c r="M22" s="40">
        <v>2520069</v>
      </c>
      <c r="N22" s="40">
        <v>473812</v>
      </c>
      <c r="O22" s="40">
        <v>0</v>
      </c>
      <c r="P22" s="40">
        <v>0</v>
      </c>
      <c r="Q22" s="40">
        <v>0</v>
      </c>
      <c r="R22" s="40">
        <v>0</v>
      </c>
      <c r="S22" s="40">
        <v>14011195</v>
      </c>
      <c r="T22" s="40">
        <v>19541797</v>
      </c>
      <c r="U22" s="40">
        <v>2408</v>
      </c>
      <c r="V22" s="40">
        <v>0</v>
      </c>
      <c r="W22" s="40">
        <v>0</v>
      </c>
      <c r="X22" s="40">
        <v>560</v>
      </c>
      <c r="Y22" s="40">
        <v>0</v>
      </c>
      <c r="Z22" s="40">
        <v>0</v>
      </c>
      <c r="AA22" s="40">
        <v>1538618</v>
      </c>
      <c r="AB22" s="40">
        <v>86026</v>
      </c>
      <c r="AC22" s="40">
        <v>21</v>
      </c>
      <c r="AD22" s="40">
        <v>3754</v>
      </c>
      <c r="AE22" s="40">
        <v>25657</v>
      </c>
      <c r="AF22" s="40">
        <v>0</v>
      </c>
      <c r="AG22" s="40">
        <v>59119</v>
      </c>
      <c r="AH22" s="40">
        <v>0</v>
      </c>
      <c r="AI22" s="40">
        <v>5842</v>
      </c>
      <c r="AJ22" s="40">
        <v>3297</v>
      </c>
      <c r="AK22" s="40">
        <v>45154</v>
      </c>
      <c r="AL22" s="40">
        <v>4097</v>
      </c>
      <c r="AM22" s="40">
        <v>56887251</v>
      </c>
      <c r="AN22" s="40">
        <v>111564</v>
      </c>
      <c r="AO22" s="40">
        <v>205123</v>
      </c>
      <c r="AP22" s="40">
        <v>1455383</v>
      </c>
      <c r="AQ22" s="40">
        <v>0</v>
      </c>
      <c r="AR22" s="40">
        <v>50794</v>
      </c>
      <c r="AS22" s="40">
        <v>53964</v>
      </c>
      <c r="AT22" s="40">
        <v>392681607</v>
      </c>
      <c r="AU22" s="40">
        <v>0</v>
      </c>
      <c r="AV22" s="40">
        <v>3682460</v>
      </c>
      <c r="AW22" s="40">
        <v>1603544</v>
      </c>
      <c r="AX22" s="40">
        <v>130270</v>
      </c>
      <c r="AY22" s="40">
        <v>0</v>
      </c>
      <c r="AZ22" s="40">
        <v>0</v>
      </c>
      <c r="BA22" s="40">
        <v>3175215</v>
      </c>
      <c r="BB22" s="40">
        <v>191394</v>
      </c>
      <c r="BC22" s="40">
        <v>0</v>
      </c>
      <c r="BD22" s="40">
        <v>2018713</v>
      </c>
      <c r="BE22" s="40">
        <v>55</v>
      </c>
      <c r="BF22" s="40">
        <v>0</v>
      </c>
      <c r="BG22" s="40">
        <v>27732</v>
      </c>
      <c r="BH22" s="40">
        <v>0</v>
      </c>
      <c r="BI22" s="40">
        <v>0</v>
      </c>
      <c r="BJ22" s="40">
        <v>3737584</v>
      </c>
      <c r="BK22" s="40">
        <v>88599</v>
      </c>
      <c r="BL22" s="40">
        <v>115895</v>
      </c>
      <c r="BM22" s="40">
        <v>386503</v>
      </c>
      <c r="BN22" s="40">
        <v>464022</v>
      </c>
      <c r="BO22" s="40">
        <v>181112</v>
      </c>
      <c r="BP22" s="40">
        <v>18465</v>
      </c>
      <c r="BQ22" s="40">
        <v>1080415</v>
      </c>
      <c r="BR22" s="40">
        <v>0</v>
      </c>
      <c r="BS22" s="40">
        <v>0</v>
      </c>
      <c r="BT22" s="40">
        <v>512716703</v>
      </c>
      <c r="BU22" s="40">
        <v>22814213</v>
      </c>
      <c r="BV22" s="40">
        <v>0</v>
      </c>
      <c r="BW22" s="40">
        <v>0</v>
      </c>
      <c r="BX22" s="40">
        <v>22814213</v>
      </c>
      <c r="BY22" s="40">
        <v>6699192</v>
      </c>
      <c r="BZ22" s="40">
        <v>43106360</v>
      </c>
      <c r="CA22" s="40">
        <v>0</v>
      </c>
      <c r="CB22" s="40">
        <v>49805552</v>
      </c>
      <c r="CC22" s="40">
        <v>47009142</v>
      </c>
      <c r="CD22" s="40">
        <v>119628907</v>
      </c>
      <c r="CE22" s="40">
        <v>632345610</v>
      </c>
      <c r="CF22" s="41"/>
      <c r="CG22" s="41"/>
      <c r="CH22" s="42"/>
    </row>
    <row r="23" spans="1:86">
      <c r="A23" s="38">
        <v>17</v>
      </c>
      <c r="B23" s="65" t="s">
        <v>77</v>
      </c>
      <c r="C23" s="39" t="s">
        <v>76</v>
      </c>
      <c r="D23" s="40">
        <v>4340451</v>
      </c>
      <c r="E23" s="40">
        <v>744</v>
      </c>
      <c r="F23" s="40">
        <v>3866</v>
      </c>
      <c r="G23" s="40">
        <v>0</v>
      </c>
      <c r="H23" s="40">
        <v>32162</v>
      </c>
      <c r="I23" s="40">
        <v>1501</v>
      </c>
      <c r="J23" s="40">
        <v>289</v>
      </c>
      <c r="K23" s="40">
        <v>5040</v>
      </c>
      <c r="L23" s="40">
        <v>4530</v>
      </c>
      <c r="M23" s="40">
        <v>1633</v>
      </c>
      <c r="N23" s="40">
        <v>18128770</v>
      </c>
      <c r="O23" s="40">
        <v>33384935</v>
      </c>
      <c r="P23" s="40">
        <v>1004</v>
      </c>
      <c r="Q23" s="40">
        <v>19243</v>
      </c>
      <c r="R23" s="40">
        <v>139685</v>
      </c>
      <c r="S23" s="40">
        <v>0</v>
      </c>
      <c r="T23" s="40">
        <v>26856913</v>
      </c>
      <c r="U23" s="40">
        <v>30150392</v>
      </c>
      <c r="V23" s="40">
        <v>0</v>
      </c>
      <c r="W23" s="40">
        <v>157954</v>
      </c>
      <c r="X23" s="40">
        <v>202846</v>
      </c>
      <c r="Y23" s="40">
        <v>1652009</v>
      </c>
      <c r="Z23" s="40">
        <v>132029</v>
      </c>
      <c r="AA23" s="40">
        <v>643384</v>
      </c>
      <c r="AB23" s="40">
        <v>123125</v>
      </c>
      <c r="AC23" s="40">
        <v>84</v>
      </c>
      <c r="AD23" s="40">
        <v>14</v>
      </c>
      <c r="AE23" s="40">
        <v>230</v>
      </c>
      <c r="AF23" s="40">
        <v>0</v>
      </c>
      <c r="AG23" s="40">
        <v>101128</v>
      </c>
      <c r="AH23" s="40">
        <v>511286</v>
      </c>
      <c r="AI23" s="40">
        <v>85798</v>
      </c>
      <c r="AJ23" s="40">
        <v>471692</v>
      </c>
      <c r="AK23" s="40">
        <v>0</v>
      </c>
      <c r="AL23" s="40">
        <v>186</v>
      </c>
      <c r="AM23" s="40">
        <v>317</v>
      </c>
      <c r="AN23" s="40">
        <v>1488</v>
      </c>
      <c r="AO23" s="40">
        <v>141183</v>
      </c>
      <c r="AP23" s="40">
        <v>288955</v>
      </c>
      <c r="AQ23" s="40">
        <v>38</v>
      </c>
      <c r="AR23" s="40">
        <v>5081</v>
      </c>
      <c r="AS23" s="40">
        <v>62124</v>
      </c>
      <c r="AT23" s="40">
        <v>47060168</v>
      </c>
      <c r="AU23" s="40">
        <v>103899</v>
      </c>
      <c r="AV23" s="40">
        <v>94165073</v>
      </c>
      <c r="AW23" s="40">
        <v>36584304</v>
      </c>
      <c r="AX23" s="40">
        <v>166454</v>
      </c>
      <c r="AY23" s="40">
        <v>0</v>
      </c>
      <c r="AZ23" s="40">
        <v>134661</v>
      </c>
      <c r="BA23" s="40">
        <v>5336875</v>
      </c>
      <c r="BB23" s="40">
        <v>4908480</v>
      </c>
      <c r="BC23" s="40">
        <v>12796247</v>
      </c>
      <c r="BD23" s="40">
        <v>2821245</v>
      </c>
      <c r="BE23" s="40">
        <v>24561254</v>
      </c>
      <c r="BF23" s="40">
        <v>868809</v>
      </c>
      <c r="BG23" s="40">
        <v>24410601</v>
      </c>
      <c r="BH23" s="40">
        <v>5773527</v>
      </c>
      <c r="BI23" s="40">
        <v>2218763</v>
      </c>
      <c r="BJ23" s="40">
        <v>2662113</v>
      </c>
      <c r="BK23" s="40">
        <v>97284612</v>
      </c>
      <c r="BL23" s="40">
        <v>9094444</v>
      </c>
      <c r="BM23" s="40">
        <v>11577384</v>
      </c>
      <c r="BN23" s="40">
        <v>24607829</v>
      </c>
      <c r="BO23" s="40">
        <v>35103980</v>
      </c>
      <c r="BP23" s="40">
        <v>12950212</v>
      </c>
      <c r="BQ23" s="40">
        <v>4896167</v>
      </c>
      <c r="BR23" s="40">
        <v>13653756</v>
      </c>
      <c r="BS23" s="40">
        <v>0</v>
      </c>
      <c r="BT23" s="40">
        <v>591392966</v>
      </c>
      <c r="BU23" s="40">
        <v>253630581</v>
      </c>
      <c r="BV23" s="40">
        <v>0</v>
      </c>
      <c r="BW23" s="40">
        <v>0</v>
      </c>
      <c r="BX23" s="40">
        <v>253630581</v>
      </c>
      <c r="BY23" s="40">
        <v>0</v>
      </c>
      <c r="BZ23" s="40">
        <v>5616422</v>
      </c>
      <c r="CA23" s="40">
        <v>0</v>
      </c>
      <c r="CB23" s="40">
        <v>5616422</v>
      </c>
      <c r="CC23" s="40">
        <v>55978420</v>
      </c>
      <c r="CD23" s="40">
        <v>315225423</v>
      </c>
      <c r="CE23" s="40">
        <v>906618389</v>
      </c>
      <c r="CF23" s="41"/>
      <c r="CG23" s="41"/>
      <c r="CH23" s="42"/>
    </row>
    <row r="24" spans="1:86">
      <c r="A24" s="38">
        <v>18</v>
      </c>
      <c r="B24" s="65" t="s">
        <v>75</v>
      </c>
      <c r="C24" s="39" t="s">
        <v>74</v>
      </c>
      <c r="D24" s="40">
        <v>192</v>
      </c>
      <c r="E24" s="40">
        <v>183</v>
      </c>
      <c r="F24" s="40">
        <v>0</v>
      </c>
      <c r="G24" s="40">
        <v>0</v>
      </c>
      <c r="H24" s="40">
        <v>4763</v>
      </c>
      <c r="I24" s="40">
        <v>226</v>
      </c>
      <c r="J24" s="40">
        <v>0</v>
      </c>
      <c r="K24" s="40">
        <v>40</v>
      </c>
      <c r="L24" s="40">
        <v>0</v>
      </c>
      <c r="M24" s="40">
        <v>1304</v>
      </c>
      <c r="N24" s="40">
        <v>122119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4030206</v>
      </c>
      <c r="V24" s="40">
        <v>0</v>
      </c>
      <c r="W24" s="40">
        <v>0</v>
      </c>
      <c r="X24" s="40">
        <v>650</v>
      </c>
      <c r="Y24" s="40">
        <v>0</v>
      </c>
      <c r="Z24" s="40">
        <v>0</v>
      </c>
      <c r="AA24" s="40">
        <v>4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94</v>
      </c>
      <c r="AP24" s="40">
        <v>7818</v>
      </c>
      <c r="AQ24" s="40">
        <v>0</v>
      </c>
      <c r="AR24" s="40">
        <v>0</v>
      </c>
      <c r="AS24" s="40">
        <v>0</v>
      </c>
      <c r="AT24" s="40">
        <v>572828</v>
      </c>
      <c r="AU24" s="40">
        <v>24802</v>
      </c>
      <c r="AV24" s="40">
        <v>511742</v>
      </c>
      <c r="AW24" s="40">
        <v>349776</v>
      </c>
      <c r="AX24" s="40">
        <v>0</v>
      </c>
      <c r="AY24" s="40">
        <v>0</v>
      </c>
      <c r="AZ24" s="40">
        <v>0</v>
      </c>
      <c r="BA24" s="40">
        <v>106296</v>
      </c>
      <c r="BB24" s="40">
        <v>0</v>
      </c>
      <c r="BC24" s="40">
        <v>37099</v>
      </c>
      <c r="BD24" s="40">
        <v>2079</v>
      </c>
      <c r="BE24" s="40">
        <v>2282782</v>
      </c>
      <c r="BF24" s="40">
        <v>262682</v>
      </c>
      <c r="BG24" s="40">
        <v>789051</v>
      </c>
      <c r="BH24" s="40">
        <v>680290</v>
      </c>
      <c r="BI24" s="40">
        <v>1956134</v>
      </c>
      <c r="BJ24" s="40">
        <v>949452</v>
      </c>
      <c r="BK24" s="40">
        <v>354823</v>
      </c>
      <c r="BL24" s="40">
        <v>355731</v>
      </c>
      <c r="BM24" s="40">
        <v>35085274</v>
      </c>
      <c r="BN24" s="40">
        <v>29234507</v>
      </c>
      <c r="BO24" s="40">
        <v>8643002</v>
      </c>
      <c r="BP24" s="40">
        <v>125376</v>
      </c>
      <c r="BQ24" s="40">
        <v>55175</v>
      </c>
      <c r="BR24" s="40">
        <v>3588438</v>
      </c>
      <c r="BS24" s="40">
        <v>0</v>
      </c>
      <c r="BT24" s="40">
        <v>90134938</v>
      </c>
      <c r="BU24" s="40">
        <v>0</v>
      </c>
      <c r="BV24" s="40">
        <v>0</v>
      </c>
      <c r="BW24" s="40">
        <v>0</v>
      </c>
      <c r="BX24" s="40">
        <v>0</v>
      </c>
      <c r="BY24" s="40">
        <v>0</v>
      </c>
      <c r="BZ24" s="40">
        <v>0</v>
      </c>
      <c r="CA24" s="40">
        <v>0</v>
      </c>
      <c r="CB24" s="40">
        <v>0</v>
      </c>
      <c r="CC24" s="40">
        <v>53227</v>
      </c>
      <c r="CD24" s="40">
        <v>53227</v>
      </c>
      <c r="CE24" s="40">
        <v>90188165</v>
      </c>
      <c r="CF24" s="41"/>
      <c r="CG24" s="41"/>
      <c r="CH24" s="42"/>
    </row>
    <row r="25" spans="1:86">
      <c r="A25" s="38">
        <v>19</v>
      </c>
      <c r="B25" s="65" t="s">
        <v>73</v>
      </c>
      <c r="C25" s="39" t="s">
        <v>72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361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3259792</v>
      </c>
      <c r="Y25" s="40">
        <v>0</v>
      </c>
      <c r="Z25" s="40">
        <v>0</v>
      </c>
      <c r="AA25" s="40">
        <v>158779595</v>
      </c>
      <c r="AB25" s="40">
        <v>102644834</v>
      </c>
      <c r="AC25" s="40">
        <v>0</v>
      </c>
      <c r="AD25" s="40">
        <v>0</v>
      </c>
      <c r="AE25" s="40">
        <v>5248625</v>
      </c>
      <c r="AF25" s="40">
        <v>0</v>
      </c>
      <c r="AG25" s="40">
        <v>6238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0</v>
      </c>
      <c r="AP25" s="40">
        <v>13968727</v>
      </c>
      <c r="AQ25" s="40">
        <v>0</v>
      </c>
      <c r="AR25" s="40">
        <v>7496909</v>
      </c>
      <c r="AS25" s="40">
        <v>0</v>
      </c>
      <c r="AT25" s="40">
        <v>0</v>
      </c>
      <c r="AU25" s="40">
        <v>0</v>
      </c>
      <c r="AV25" s="40">
        <v>0</v>
      </c>
      <c r="AW25" s="40">
        <v>0</v>
      </c>
      <c r="AX25" s="40">
        <v>0</v>
      </c>
      <c r="AY25" s="40">
        <v>0</v>
      </c>
      <c r="AZ25" s="40">
        <v>0</v>
      </c>
      <c r="BA25" s="40">
        <v>0</v>
      </c>
      <c r="BB25" s="40">
        <v>0</v>
      </c>
      <c r="BC25" s="40">
        <v>0</v>
      </c>
      <c r="BD25" s="40">
        <v>0</v>
      </c>
      <c r="BE25" s="40">
        <v>0</v>
      </c>
      <c r="BF25" s="40">
        <v>0</v>
      </c>
      <c r="BG25" s="40">
        <v>0</v>
      </c>
      <c r="BH25" s="40">
        <v>0</v>
      </c>
      <c r="BI25" s="40">
        <v>0</v>
      </c>
      <c r="BJ25" s="40">
        <v>0</v>
      </c>
      <c r="BK25" s="40">
        <v>0</v>
      </c>
      <c r="BL25" s="40">
        <v>0</v>
      </c>
      <c r="BM25" s="40">
        <v>455</v>
      </c>
      <c r="BN25" s="40">
        <v>70192</v>
      </c>
      <c r="BO25" s="40">
        <v>1</v>
      </c>
      <c r="BP25" s="40">
        <v>0</v>
      </c>
      <c r="BQ25" s="40">
        <v>0</v>
      </c>
      <c r="BR25" s="40">
        <v>0</v>
      </c>
      <c r="BS25" s="40">
        <v>0</v>
      </c>
      <c r="BT25" s="40">
        <v>291475729</v>
      </c>
      <c r="BU25" s="40">
        <v>0</v>
      </c>
      <c r="BV25" s="40">
        <v>0</v>
      </c>
      <c r="BW25" s="40">
        <v>0</v>
      </c>
      <c r="BX25" s="40">
        <v>0</v>
      </c>
      <c r="BY25" s="40">
        <v>0</v>
      </c>
      <c r="BZ25" s="40">
        <v>19264578</v>
      </c>
      <c r="CA25" s="40">
        <v>0</v>
      </c>
      <c r="CB25" s="40">
        <v>19264578</v>
      </c>
      <c r="CC25" s="40">
        <v>9496388</v>
      </c>
      <c r="CD25" s="40">
        <v>28760966</v>
      </c>
      <c r="CE25" s="40">
        <v>320236695</v>
      </c>
      <c r="CF25" s="41"/>
      <c r="CG25" s="41"/>
      <c r="CH25" s="42"/>
    </row>
    <row r="26" spans="1:86">
      <c r="A26" s="38">
        <v>20</v>
      </c>
      <c r="B26" s="65" t="s">
        <v>71</v>
      </c>
      <c r="C26" s="39" t="s">
        <v>70</v>
      </c>
      <c r="D26" s="40">
        <v>119026579</v>
      </c>
      <c r="E26" s="40">
        <v>149134</v>
      </c>
      <c r="F26" s="40">
        <v>91921</v>
      </c>
      <c r="G26" s="40">
        <v>17770129</v>
      </c>
      <c r="H26" s="40">
        <v>122390504</v>
      </c>
      <c r="I26" s="40">
        <v>5935338</v>
      </c>
      <c r="J26" s="40">
        <v>2465018</v>
      </c>
      <c r="K26" s="40">
        <v>3947624</v>
      </c>
      <c r="L26" s="40">
        <v>4633617</v>
      </c>
      <c r="M26" s="40">
        <v>2292042</v>
      </c>
      <c r="N26" s="40">
        <v>5759527</v>
      </c>
      <c r="O26" s="40">
        <v>0</v>
      </c>
      <c r="P26" s="40">
        <v>18475</v>
      </c>
      <c r="Q26" s="40">
        <v>13363</v>
      </c>
      <c r="R26" s="40">
        <v>2068</v>
      </c>
      <c r="S26" s="40">
        <v>14748</v>
      </c>
      <c r="T26" s="40">
        <v>376377</v>
      </c>
      <c r="U26" s="40">
        <v>1611</v>
      </c>
      <c r="V26" s="40">
        <v>729326</v>
      </c>
      <c r="W26" s="40">
        <v>13200814</v>
      </c>
      <c r="X26" s="40">
        <v>886982</v>
      </c>
      <c r="Y26" s="40">
        <v>92937</v>
      </c>
      <c r="Z26" s="40">
        <v>58742</v>
      </c>
      <c r="AA26" s="40">
        <v>8029617</v>
      </c>
      <c r="AB26" s="40">
        <v>1038606</v>
      </c>
      <c r="AC26" s="40">
        <v>811</v>
      </c>
      <c r="AD26" s="40">
        <v>1444</v>
      </c>
      <c r="AE26" s="40">
        <v>672153</v>
      </c>
      <c r="AF26" s="40">
        <v>1011</v>
      </c>
      <c r="AG26" s="40">
        <v>23445</v>
      </c>
      <c r="AH26" s="40">
        <v>1608</v>
      </c>
      <c r="AI26" s="40">
        <v>7320</v>
      </c>
      <c r="AJ26" s="40">
        <v>19702</v>
      </c>
      <c r="AK26" s="40">
        <v>135953</v>
      </c>
      <c r="AL26" s="40">
        <v>227714</v>
      </c>
      <c r="AM26" s="40">
        <v>19999</v>
      </c>
      <c r="AN26" s="40">
        <v>12616</v>
      </c>
      <c r="AO26" s="40">
        <v>1014969</v>
      </c>
      <c r="AP26" s="40">
        <v>11578107</v>
      </c>
      <c r="AQ26" s="40">
        <v>49356701</v>
      </c>
      <c r="AR26" s="40">
        <v>6051093</v>
      </c>
      <c r="AS26" s="40">
        <v>6630281</v>
      </c>
      <c r="AT26" s="40">
        <v>127466637</v>
      </c>
      <c r="AU26" s="40">
        <v>5184861</v>
      </c>
      <c r="AV26" s="40">
        <v>141596775</v>
      </c>
      <c r="AW26" s="40">
        <v>67450087</v>
      </c>
      <c r="AX26" s="40">
        <v>459492383</v>
      </c>
      <c r="AY26" s="40">
        <v>824724</v>
      </c>
      <c r="AZ26" s="40">
        <v>238338697</v>
      </c>
      <c r="BA26" s="40">
        <v>307515250</v>
      </c>
      <c r="BB26" s="40">
        <v>1727606</v>
      </c>
      <c r="BC26" s="40">
        <v>2528479</v>
      </c>
      <c r="BD26" s="40">
        <v>428658</v>
      </c>
      <c r="BE26" s="40">
        <v>5597686</v>
      </c>
      <c r="BF26" s="40">
        <v>10820531</v>
      </c>
      <c r="BG26" s="40">
        <v>1715075</v>
      </c>
      <c r="BH26" s="40">
        <v>778219</v>
      </c>
      <c r="BI26" s="40">
        <v>296682</v>
      </c>
      <c r="BJ26" s="40">
        <v>5528498</v>
      </c>
      <c r="BK26" s="40">
        <v>20315047</v>
      </c>
      <c r="BL26" s="40">
        <v>30949218</v>
      </c>
      <c r="BM26" s="40">
        <v>170320693</v>
      </c>
      <c r="BN26" s="40">
        <v>36741304</v>
      </c>
      <c r="BO26" s="40">
        <v>59316674</v>
      </c>
      <c r="BP26" s="40">
        <v>1469374</v>
      </c>
      <c r="BQ26" s="40">
        <v>5822607</v>
      </c>
      <c r="BR26" s="40">
        <v>7868796</v>
      </c>
      <c r="BS26" s="40">
        <v>0</v>
      </c>
      <c r="BT26" s="40">
        <v>2094774587</v>
      </c>
      <c r="BU26" s="40">
        <v>530734122</v>
      </c>
      <c r="BV26" s="40">
        <v>0</v>
      </c>
      <c r="BW26" s="40">
        <v>0</v>
      </c>
      <c r="BX26" s="40">
        <v>530734122</v>
      </c>
      <c r="BY26" s="40">
        <v>0</v>
      </c>
      <c r="BZ26" s="40">
        <v>-54299117</v>
      </c>
      <c r="CA26" s="40">
        <v>0</v>
      </c>
      <c r="CB26" s="40">
        <v>-54299117</v>
      </c>
      <c r="CC26" s="40">
        <v>748807869</v>
      </c>
      <c r="CD26" s="40">
        <v>1225242874</v>
      </c>
      <c r="CE26" s="40">
        <v>3320017461</v>
      </c>
      <c r="CF26" s="41"/>
      <c r="CG26" s="41"/>
      <c r="CH26" s="42"/>
    </row>
    <row r="27" spans="1:86" ht="22.5">
      <c r="A27" s="38">
        <v>21</v>
      </c>
      <c r="B27" s="65" t="s">
        <v>99</v>
      </c>
      <c r="C27" s="39" t="s">
        <v>176</v>
      </c>
      <c r="D27" s="40">
        <v>703539125</v>
      </c>
      <c r="E27" s="40">
        <v>55</v>
      </c>
      <c r="F27" s="40">
        <v>630712</v>
      </c>
      <c r="G27" s="40">
        <v>9026582</v>
      </c>
      <c r="H27" s="40">
        <v>234857725</v>
      </c>
      <c r="I27" s="40">
        <v>11164788</v>
      </c>
      <c r="J27" s="40">
        <v>115437623</v>
      </c>
      <c r="K27" s="40">
        <v>382615077</v>
      </c>
      <c r="L27" s="40">
        <v>638991</v>
      </c>
      <c r="M27" s="40">
        <v>7673355</v>
      </c>
      <c r="N27" s="40">
        <v>17199781</v>
      </c>
      <c r="O27" s="40">
        <v>0</v>
      </c>
      <c r="P27" s="40">
        <v>592521</v>
      </c>
      <c r="Q27" s="40">
        <v>346168</v>
      </c>
      <c r="R27" s="40">
        <v>3377345</v>
      </c>
      <c r="S27" s="40">
        <v>3163749</v>
      </c>
      <c r="T27" s="40">
        <v>15481084</v>
      </c>
      <c r="U27" s="40">
        <v>2915648</v>
      </c>
      <c r="V27" s="40">
        <v>3408</v>
      </c>
      <c r="W27" s="40">
        <v>107908292</v>
      </c>
      <c r="X27" s="40">
        <v>173770996</v>
      </c>
      <c r="Y27" s="40">
        <v>25593679</v>
      </c>
      <c r="Z27" s="40">
        <v>192178847</v>
      </c>
      <c r="AA27" s="40">
        <v>38442865</v>
      </c>
      <c r="AB27" s="40">
        <v>670306</v>
      </c>
      <c r="AC27" s="40">
        <v>15306</v>
      </c>
      <c r="AD27" s="40">
        <v>145748</v>
      </c>
      <c r="AE27" s="40">
        <v>6814980</v>
      </c>
      <c r="AF27" s="40">
        <v>0</v>
      </c>
      <c r="AG27" s="40">
        <v>94027</v>
      </c>
      <c r="AH27" s="40">
        <v>50602</v>
      </c>
      <c r="AI27" s="40">
        <v>1041808</v>
      </c>
      <c r="AJ27" s="40">
        <v>2788654</v>
      </c>
      <c r="AK27" s="40">
        <v>56234024</v>
      </c>
      <c r="AL27" s="40">
        <v>48876723</v>
      </c>
      <c r="AM27" s="40">
        <v>1799930</v>
      </c>
      <c r="AN27" s="40">
        <v>20520</v>
      </c>
      <c r="AO27" s="40">
        <v>2563834</v>
      </c>
      <c r="AP27" s="40">
        <v>16582436</v>
      </c>
      <c r="AQ27" s="40">
        <v>3698705</v>
      </c>
      <c r="AR27" s="40">
        <v>8649211</v>
      </c>
      <c r="AS27" s="40">
        <v>1290884</v>
      </c>
      <c r="AT27" s="40">
        <v>103799838</v>
      </c>
      <c r="AU27" s="40">
        <v>301672</v>
      </c>
      <c r="AV27" s="40">
        <v>42290492</v>
      </c>
      <c r="AW27" s="40">
        <v>9698879</v>
      </c>
      <c r="AX27" s="40">
        <v>70822706</v>
      </c>
      <c r="AY27" s="40">
        <v>0</v>
      </c>
      <c r="AZ27" s="40">
        <v>8179706</v>
      </c>
      <c r="BA27" s="40">
        <v>4086608</v>
      </c>
      <c r="BB27" s="40">
        <v>63656</v>
      </c>
      <c r="BC27" s="40">
        <v>8144114</v>
      </c>
      <c r="BD27" s="40">
        <v>7529333</v>
      </c>
      <c r="BE27" s="40">
        <v>5049174</v>
      </c>
      <c r="BF27" s="40">
        <v>0</v>
      </c>
      <c r="BG27" s="40">
        <v>2678954</v>
      </c>
      <c r="BH27" s="40">
        <v>236929</v>
      </c>
      <c r="BI27" s="40">
        <v>91568</v>
      </c>
      <c r="BJ27" s="40">
        <v>39593449</v>
      </c>
      <c r="BK27" s="40">
        <v>87005341</v>
      </c>
      <c r="BL27" s="40">
        <v>38210889</v>
      </c>
      <c r="BM27" s="40">
        <v>24061133</v>
      </c>
      <c r="BN27" s="40">
        <v>119267519</v>
      </c>
      <c r="BO27" s="40">
        <v>325313079</v>
      </c>
      <c r="BP27" s="40">
        <v>1153371</v>
      </c>
      <c r="BQ27" s="40">
        <v>35391683</v>
      </c>
      <c r="BR27" s="40">
        <v>6114238</v>
      </c>
      <c r="BS27" s="40">
        <v>0</v>
      </c>
      <c r="BT27" s="40">
        <v>3136980445</v>
      </c>
      <c r="BU27" s="40">
        <v>1212057636</v>
      </c>
      <c r="BV27" s="40">
        <v>0</v>
      </c>
      <c r="BW27" s="40">
        <v>0</v>
      </c>
      <c r="BX27" s="40">
        <v>1212057636</v>
      </c>
      <c r="BY27" s="40">
        <v>0</v>
      </c>
      <c r="BZ27" s="40">
        <v>338540835</v>
      </c>
      <c r="CA27" s="40">
        <v>0</v>
      </c>
      <c r="CB27" s="40">
        <v>338540835</v>
      </c>
      <c r="CC27" s="40">
        <v>997404645</v>
      </c>
      <c r="CD27" s="40">
        <v>2548003116</v>
      </c>
      <c r="CE27" s="40">
        <v>5684983561</v>
      </c>
      <c r="CF27" s="41"/>
      <c r="CG27" s="41"/>
      <c r="CH27" s="42"/>
    </row>
    <row r="28" spans="1:86" ht="22.5">
      <c r="A28" s="38">
        <v>22</v>
      </c>
      <c r="B28" s="65" t="s">
        <v>69</v>
      </c>
      <c r="C28" s="39" t="s">
        <v>68</v>
      </c>
      <c r="D28" s="40">
        <v>3624054</v>
      </c>
      <c r="E28" s="40">
        <v>37</v>
      </c>
      <c r="F28" s="40">
        <v>0</v>
      </c>
      <c r="G28" s="40">
        <v>0</v>
      </c>
      <c r="H28" s="40">
        <v>149507</v>
      </c>
      <c r="I28" s="40">
        <v>7106</v>
      </c>
      <c r="J28" s="40">
        <v>0</v>
      </c>
      <c r="K28" s="40">
        <v>103235</v>
      </c>
      <c r="L28" s="40">
        <v>0</v>
      </c>
      <c r="M28" s="40">
        <v>13849</v>
      </c>
      <c r="N28" s="40">
        <v>2016334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235931</v>
      </c>
      <c r="X28" s="40">
        <v>4</v>
      </c>
      <c r="Y28" s="40">
        <v>0</v>
      </c>
      <c r="Z28" s="40">
        <v>0</v>
      </c>
      <c r="AA28" s="40">
        <v>353</v>
      </c>
      <c r="AB28" s="40">
        <v>11</v>
      </c>
      <c r="AC28" s="40">
        <v>0</v>
      </c>
      <c r="AD28" s="40">
        <v>0</v>
      </c>
      <c r="AE28" s="40">
        <v>237</v>
      </c>
      <c r="AF28" s="40">
        <v>0</v>
      </c>
      <c r="AG28" s="40">
        <v>2</v>
      </c>
      <c r="AH28" s="40">
        <v>0</v>
      </c>
      <c r="AI28" s="40">
        <v>9</v>
      </c>
      <c r="AJ28" s="40">
        <v>53</v>
      </c>
      <c r="AK28" s="40">
        <v>0</v>
      </c>
      <c r="AL28" s="40">
        <v>0</v>
      </c>
      <c r="AM28" s="40">
        <v>0</v>
      </c>
      <c r="AN28" s="40">
        <v>0</v>
      </c>
      <c r="AO28" s="40">
        <v>167994</v>
      </c>
      <c r="AP28" s="40">
        <v>30747</v>
      </c>
      <c r="AQ28" s="40">
        <v>223</v>
      </c>
      <c r="AR28" s="40">
        <v>4048</v>
      </c>
      <c r="AS28" s="40">
        <v>142179</v>
      </c>
      <c r="AT28" s="40">
        <v>12332</v>
      </c>
      <c r="AU28" s="40">
        <v>6448</v>
      </c>
      <c r="AV28" s="40">
        <v>903438</v>
      </c>
      <c r="AW28" s="40">
        <v>3418339</v>
      </c>
      <c r="AX28" s="40">
        <v>2986</v>
      </c>
      <c r="AY28" s="40">
        <v>0</v>
      </c>
      <c r="AZ28" s="40">
        <v>16362</v>
      </c>
      <c r="BA28" s="40">
        <v>7749</v>
      </c>
      <c r="BB28" s="40">
        <v>0</v>
      </c>
      <c r="BC28" s="40">
        <v>907</v>
      </c>
      <c r="BD28" s="40">
        <v>489</v>
      </c>
      <c r="BE28" s="40">
        <v>84</v>
      </c>
      <c r="BF28" s="40">
        <v>0</v>
      </c>
      <c r="BG28" s="40">
        <v>2160</v>
      </c>
      <c r="BH28" s="40">
        <v>0</v>
      </c>
      <c r="BI28" s="40">
        <v>0</v>
      </c>
      <c r="BJ28" s="40">
        <v>0</v>
      </c>
      <c r="BK28" s="40">
        <v>61671263</v>
      </c>
      <c r="BL28" s="40">
        <v>17852</v>
      </c>
      <c r="BM28" s="40">
        <v>19039491</v>
      </c>
      <c r="BN28" s="40">
        <v>9626211</v>
      </c>
      <c r="BO28" s="40">
        <v>1157386622</v>
      </c>
      <c r="BP28" s="40">
        <v>2359626</v>
      </c>
      <c r="BQ28" s="40">
        <v>425253</v>
      </c>
      <c r="BR28" s="40">
        <v>212923</v>
      </c>
      <c r="BS28" s="40">
        <v>0</v>
      </c>
      <c r="BT28" s="40">
        <v>1261606448</v>
      </c>
      <c r="BU28" s="40">
        <v>2435022480</v>
      </c>
      <c r="BV28" s="40">
        <v>0</v>
      </c>
      <c r="BW28" s="40">
        <v>0</v>
      </c>
      <c r="BX28" s="40">
        <v>2435022480</v>
      </c>
      <c r="BY28" s="40">
        <v>0</v>
      </c>
      <c r="BZ28" s="40">
        <v>163436857</v>
      </c>
      <c r="CA28" s="40">
        <v>0</v>
      </c>
      <c r="CB28" s="40">
        <v>163436857</v>
      </c>
      <c r="CC28" s="40">
        <v>42259354</v>
      </c>
      <c r="CD28" s="40">
        <v>2640718691</v>
      </c>
      <c r="CE28" s="40">
        <v>3902325139</v>
      </c>
      <c r="CF28" s="41"/>
      <c r="CG28" s="41"/>
      <c r="CH28" s="42"/>
    </row>
    <row r="29" spans="1:86">
      <c r="A29" s="38">
        <v>23</v>
      </c>
      <c r="B29" s="65" t="s">
        <v>98</v>
      </c>
      <c r="C29" s="39" t="s">
        <v>175</v>
      </c>
      <c r="D29" s="40">
        <v>2819991</v>
      </c>
      <c r="E29" s="40">
        <v>1051</v>
      </c>
      <c r="F29" s="40">
        <v>1465</v>
      </c>
      <c r="G29" s="40">
        <v>7148708</v>
      </c>
      <c r="H29" s="40">
        <v>45433810</v>
      </c>
      <c r="I29" s="40">
        <v>2159171</v>
      </c>
      <c r="J29" s="40">
        <v>1312195</v>
      </c>
      <c r="K29" s="40">
        <v>8350750</v>
      </c>
      <c r="L29" s="40">
        <v>1217124</v>
      </c>
      <c r="M29" s="40">
        <v>3067367</v>
      </c>
      <c r="N29" s="40">
        <v>30279490</v>
      </c>
      <c r="O29" s="40">
        <v>0</v>
      </c>
      <c r="P29" s="40">
        <v>1409</v>
      </c>
      <c r="Q29" s="40">
        <v>4699</v>
      </c>
      <c r="R29" s="40">
        <v>347529</v>
      </c>
      <c r="S29" s="40">
        <v>1300</v>
      </c>
      <c r="T29" s="40">
        <v>7996600</v>
      </c>
      <c r="U29" s="40">
        <v>10353</v>
      </c>
      <c r="V29" s="40">
        <v>16606</v>
      </c>
      <c r="W29" s="40">
        <v>1943955</v>
      </c>
      <c r="X29" s="40">
        <v>216994</v>
      </c>
      <c r="Y29" s="40">
        <v>258654</v>
      </c>
      <c r="Z29" s="40">
        <v>60816615</v>
      </c>
      <c r="AA29" s="40">
        <v>16017197</v>
      </c>
      <c r="AB29" s="40">
        <v>59467</v>
      </c>
      <c r="AC29" s="40">
        <v>20559</v>
      </c>
      <c r="AD29" s="40">
        <v>4</v>
      </c>
      <c r="AE29" s="40">
        <v>115871</v>
      </c>
      <c r="AF29" s="40">
        <v>2582</v>
      </c>
      <c r="AG29" s="40">
        <v>1262532</v>
      </c>
      <c r="AH29" s="40">
        <v>444473</v>
      </c>
      <c r="AI29" s="40">
        <v>31294</v>
      </c>
      <c r="AJ29" s="40">
        <v>7166260</v>
      </c>
      <c r="AK29" s="40">
        <v>230967393</v>
      </c>
      <c r="AL29" s="40">
        <v>9230059</v>
      </c>
      <c r="AM29" s="40">
        <v>589086</v>
      </c>
      <c r="AN29" s="40">
        <v>477587</v>
      </c>
      <c r="AO29" s="40">
        <v>836458</v>
      </c>
      <c r="AP29" s="40">
        <v>2437459</v>
      </c>
      <c r="AQ29" s="40">
        <v>2898</v>
      </c>
      <c r="AR29" s="40">
        <v>870068</v>
      </c>
      <c r="AS29" s="40">
        <v>25438554</v>
      </c>
      <c r="AT29" s="40">
        <v>556242420</v>
      </c>
      <c r="AU29" s="40">
        <v>2278292</v>
      </c>
      <c r="AV29" s="40">
        <v>344452627</v>
      </c>
      <c r="AW29" s="40">
        <v>57507674</v>
      </c>
      <c r="AX29" s="40">
        <v>70827709</v>
      </c>
      <c r="AY29" s="40">
        <v>12764126</v>
      </c>
      <c r="AZ29" s="40">
        <v>25373692</v>
      </c>
      <c r="BA29" s="40">
        <v>4547025</v>
      </c>
      <c r="BB29" s="40">
        <v>174332</v>
      </c>
      <c r="BC29" s="40">
        <v>141221</v>
      </c>
      <c r="BD29" s="40">
        <v>12419210</v>
      </c>
      <c r="BE29" s="40">
        <v>1898406</v>
      </c>
      <c r="BF29" s="40">
        <v>15959529</v>
      </c>
      <c r="BG29" s="40">
        <v>1311069</v>
      </c>
      <c r="BH29" s="40">
        <v>894822</v>
      </c>
      <c r="BI29" s="40">
        <v>411393</v>
      </c>
      <c r="BJ29" s="40">
        <v>6168425</v>
      </c>
      <c r="BK29" s="40">
        <v>11013683</v>
      </c>
      <c r="BL29" s="40">
        <v>92318018</v>
      </c>
      <c r="BM29" s="40">
        <v>32013543</v>
      </c>
      <c r="BN29" s="40">
        <v>46883269</v>
      </c>
      <c r="BO29" s="40">
        <v>121679633</v>
      </c>
      <c r="BP29" s="40">
        <v>653536</v>
      </c>
      <c r="BQ29" s="40">
        <v>1487689</v>
      </c>
      <c r="BR29" s="40">
        <v>8176233</v>
      </c>
      <c r="BS29" s="40">
        <v>0</v>
      </c>
      <c r="BT29" s="40">
        <v>1896973213</v>
      </c>
      <c r="BU29" s="40">
        <v>480269192</v>
      </c>
      <c r="BV29" s="40">
        <v>0</v>
      </c>
      <c r="BW29" s="40">
        <v>0</v>
      </c>
      <c r="BX29" s="40">
        <v>480269192</v>
      </c>
      <c r="BY29" s="40">
        <v>0</v>
      </c>
      <c r="BZ29" s="40">
        <v>103169861</v>
      </c>
      <c r="CA29" s="40">
        <v>0</v>
      </c>
      <c r="CB29" s="40">
        <v>103169861</v>
      </c>
      <c r="CC29" s="40">
        <v>121186281</v>
      </c>
      <c r="CD29" s="40">
        <v>704625334</v>
      </c>
      <c r="CE29" s="40">
        <v>2601598547</v>
      </c>
      <c r="CF29" s="41"/>
      <c r="CG29" s="41"/>
      <c r="CH29" s="42"/>
    </row>
    <row r="30" spans="1:86" ht="22.5">
      <c r="A30" s="38">
        <v>24</v>
      </c>
      <c r="B30" s="65" t="s">
        <v>97</v>
      </c>
      <c r="C30" s="39" t="s">
        <v>67</v>
      </c>
      <c r="D30" s="40">
        <v>3266418</v>
      </c>
      <c r="E30" s="40">
        <v>8</v>
      </c>
      <c r="F30" s="40">
        <v>43185</v>
      </c>
      <c r="G30" s="40">
        <v>33417</v>
      </c>
      <c r="H30" s="40">
        <v>11553777</v>
      </c>
      <c r="I30" s="40">
        <v>549619</v>
      </c>
      <c r="J30" s="40">
        <v>951493</v>
      </c>
      <c r="K30" s="40">
        <v>22460676</v>
      </c>
      <c r="L30" s="40">
        <v>7813251</v>
      </c>
      <c r="M30" s="40">
        <v>9080981</v>
      </c>
      <c r="N30" s="40">
        <v>20198437</v>
      </c>
      <c r="O30" s="40">
        <v>0</v>
      </c>
      <c r="P30" s="40">
        <v>0</v>
      </c>
      <c r="Q30" s="40">
        <v>0</v>
      </c>
      <c r="R30" s="40">
        <v>555</v>
      </c>
      <c r="S30" s="40">
        <v>0</v>
      </c>
      <c r="T30" s="40">
        <v>0</v>
      </c>
      <c r="U30" s="40">
        <v>0</v>
      </c>
      <c r="V30" s="40">
        <v>444833</v>
      </c>
      <c r="W30" s="40">
        <v>2265346</v>
      </c>
      <c r="X30" s="40">
        <v>152896</v>
      </c>
      <c r="Y30" s="40">
        <v>3858633</v>
      </c>
      <c r="Z30" s="40">
        <v>65798</v>
      </c>
      <c r="AA30" s="40">
        <v>235822224</v>
      </c>
      <c r="AB30" s="40">
        <v>14915207</v>
      </c>
      <c r="AC30" s="40">
        <v>0</v>
      </c>
      <c r="AD30" s="40">
        <v>370989</v>
      </c>
      <c r="AE30" s="40">
        <v>944782</v>
      </c>
      <c r="AF30" s="40">
        <v>29953</v>
      </c>
      <c r="AG30" s="40">
        <v>131114</v>
      </c>
      <c r="AH30" s="40">
        <v>498</v>
      </c>
      <c r="AI30" s="40">
        <v>72634</v>
      </c>
      <c r="AJ30" s="40">
        <v>282902</v>
      </c>
      <c r="AK30" s="40">
        <v>34050222</v>
      </c>
      <c r="AL30" s="40">
        <v>3462368</v>
      </c>
      <c r="AM30" s="40">
        <v>75794</v>
      </c>
      <c r="AN30" s="40">
        <v>13301</v>
      </c>
      <c r="AO30" s="40">
        <v>3045824</v>
      </c>
      <c r="AP30" s="40">
        <v>21550362</v>
      </c>
      <c r="AQ30" s="40">
        <v>0</v>
      </c>
      <c r="AR30" s="40">
        <v>1247598</v>
      </c>
      <c r="AS30" s="40">
        <v>766942</v>
      </c>
      <c r="AT30" s="40">
        <v>2165411669</v>
      </c>
      <c r="AU30" s="40">
        <v>0</v>
      </c>
      <c r="AV30" s="40">
        <v>78689213</v>
      </c>
      <c r="AW30" s="40">
        <v>5874588</v>
      </c>
      <c r="AX30" s="40">
        <v>7001609</v>
      </c>
      <c r="AY30" s="40">
        <v>0</v>
      </c>
      <c r="AZ30" s="40">
        <v>4191929</v>
      </c>
      <c r="BA30" s="40">
        <v>8414326</v>
      </c>
      <c r="BB30" s="40">
        <v>0</v>
      </c>
      <c r="BC30" s="40">
        <v>25806703</v>
      </c>
      <c r="BD30" s="40">
        <v>25819076</v>
      </c>
      <c r="BE30" s="40">
        <v>1506</v>
      </c>
      <c r="BF30" s="40">
        <v>90017</v>
      </c>
      <c r="BG30" s="40">
        <v>12446</v>
      </c>
      <c r="BH30" s="40">
        <v>0</v>
      </c>
      <c r="BI30" s="40">
        <v>2273</v>
      </c>
      <c r="BJ30" s="40">
        <v>3754444</v>
      </c>
      <c r="BK30" s="40">
        <v>7508681</v>
      </c>
      <c r="BL30" s="40">
        <v>20107586</v>
      </c>
      <c r="BM30" s="40">
        <v>3156460</v>
      </c>
      <c r="BN30" s="40">
        <v>16139378</v>
      </c>
      <c r="BO30" s="40">
        <v>48765605</v>
      </c>
      <c r="BP30" s="40">
        <v>169794</v>
      </c>
      <c r="BQ30" s="40">
        <v>37279213</v>
      </c>
      <c r="BR30" s="40">
        <v>33820890</v>
      </c>
      <c r="BS30" s="40">
        <v>0</v>
      </c>
      <c r="BT30" s="40">
        <v>2891539443</v>
      </c>
      <c r="BU30" s="40">
        <v>180260370</v>
      </c>
      <c r="BV30" s="40">
        <v>0</v>
      </c>
      <c r="BW30" s="40">
        <v>0</v>
      </c>
      <c r="BX30" s="40">
        <v>180260370</v>
      </c>
      <c r="BY30" s="40">
        <v>12272223</v>
      </c>
      <c r="BZ30" s="40">
        <v>136703215</v>
      </c>
      <c r="CA30" s="40">
        <v>0</v>
      </c>
      <c r="CB30" s="40">
        <v>148975438</v>
      </c>
      <c r="CC30" s="40">
        <v>123585272</v>
      </c>
      <c r="CD30" s="40">
        <v>452821080</v>
      </c>
      <c r="CE30" s="40">
        <v>3344360523</v>
      </c>
      <c r="CF30" s="41"/>
      <c r="CG30" s="41"/>
      <c r="CH30" s="42"/>
    </row>
    <row r="31" spans="1:86" ht="22.5">
      <c r="A31" s="38">
        <v>25</v>
      </c>
      <c r="B31" s="65" t="s">
        <v>174</v>
      </c>
      <c r="C31" s="39" t="s">
        <v>173</v>
      </c>
      <c r="D31" s="40">
        <v>906296</v>
      </c>
      <c r="E31" s="40">
        <v>0</v>
      </c>
      <c r="F31" s="40">
        <v>0</v>
      </c>
      <c r="G31" s="40">
        <v>12250577</v>
      </c>
      <c r="H31" s="40">
        <v>7601514</v>
      </c>
      <c r="I31" s="40">
        <v>0</v>
      </c>
      <c r="J31" s="40">
        <v>190201547</v>
      </c>
      <c r="K31" s="40">
        <v>94941633</v>
      </c>
      <c r="L31" s="40">
        <v>28473324</v>
      </c>
      <c r="M31" s="40">
        <v>249850840</v>
      </c>
      <c r="N31" s="40">
        <v>125080028</v>
      </c>
      <c r="O31" s="40">
        <v>0</v>
      </c>
      <c r="P31" s="40">
        <v>1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58089500</v>
      </c>
      <c r="W31" s="40">
        <v>105268615</v>
      </c>
      <c r="X31" s="40">
        <v>35594370</v>
      </c>
      <c r="Y31" s="40">
        <v>0</v>
      </c>
      <c r="Z31" s="40">
        <v>947086</v>
      </c>
      <c r="AA31" s="40">
        <v>160617400</v>
      </c>
      <c r="AB31" s="40">
        <v>963986157</v>
      </c>
      <c r="AC31" s="40">
        <v>102749885</v>
      </c>
      <c r="AD31" s="40">
        <v>80675339</v>
      </c>
      <c r="AE31" s="40">
        <v>4661574</v>
      </c>
      <c r="AF31" s="40">
        <v>3803453</v>
      </c>
      <c r="AG31" s="40">
        <v>203490782</v>
      </c>
      <c r="AH31" s="40">
        <v>88925</v>
      </c>
      <c r="AI31" s="40">
        <v>23004416</v>
      </c>
      <c r="AJ31" s="40">
        <v>203738778</v>
      </c>
      <c r="AK31" s="40">
        <v>232900927</v>
      </c>
      <c r="AL31" s="40">
        <v>193578916</v>
      </c>
      <c r="AM31" s="40">
        <v>0</v>
      </c>
      <c r="AN31" s="40">
        <v>2063144</v>
      </c>
      <c r="AO31" s="40">
        <v>497017183</v>
      </c>
      <c r="AP31" s="40">
        <v>314727836</v>
      </c>
      <c r="AQ31" s="40">
        <v>0</v>
      </c>
      <c r="AR31" s="40">
        <v>99569287</v>
      </c>
      <c r="AS31" s="40">
        <v>69501277</v>
      </c>
      <c r="AT31" s="40">
        <v>814741769</v>
      </c>
      <c r="AU31" s="40">
        <v>0</v>
      </c>
      <c r="AV31" s="40">
        <v>115265046</v>
      </c>
      <c r="AW31" s="40">
        <v>46031635</v>
      </c>
      <c r="AX31" s="40">
        <v>267053432</v>
      </c>
      <c r="AY31" s="40">
        <v>0</v>
      </c>
      <c r="AZ31" s="40">
        <v>0</v>
      </c>
      <c r="BA31" s="40">
        <v>78152892</v>
      </c>
      <c r="BB31" s="40">
        <v>0</v>
      </c>
      <c r="BC31" s="40">
        <v>0</v>
      </c>
      <c r="BD31" s="40">
        <v>0</v>
      </c>
      <c r="BE31" s="40">
        <v>753</v>
      </c>
      <c r="BF31" s="40">
        <v>0</v>
      </c>
      <c r="BG31" s="40">
        <v>0</v>
      </c>
      <c r="BH31" s="40">
        <v>0</v>
      </c>
      <c r="BI31" s="40">
        <v>0</v>
      </c>
      <c r="BJ31" s="40">
        <v>314559</v>
      </c>
      <c r="BK31" s="40">
        <v>129133979</v>
      </c>
      <c r="BL31" s="40">
        <v>2248264</v>
      </c>
      <c r="BM31" s="40">
        <v>0</v>
      </c>
      <c r="BN31" s="40">
        <v>0</v>
      </c>
      <c r="BO31" s="40">
        <v>0</v>
      </c>
      <c r="BP31" s="40">
        <v>0</v>
      </c>
      <c r="BQ31" s="40">
        <v>0</v>
      </c>
      <c r="BR31" s="40">
        <v>0</v>
      </c>
      <c r="BS31" s="40">
        <v>0</v>
      </c>
      <c r="BT31" s="40">
        <v>5518322939</v>
      </c>
      <c r="BU31" s="40">
        <v>0</v>
      </c>
      <c r="BV31" s="40">
        <v>0</v>
      </c>
      <c r="BW31" s="40">
        <v>0</v>
      </c>
      <c r="BX31" s="40">
        <v>0</v>
      </c>
      <c r="BY31" s="40">
        <v>0</v>
      </c>
      <c r="BZ31" s="40">
        <v>171452770</v>
      </c>
      <c r="CA31" s="40">
        <v>0</v>
      </c>
      <c r="CB31" s="40">
        <v>171452770</v>
      </c>
      <c r="CC31" s="40">
        <v>1981123586</v>
      </c>
      <c r="CD31" s="40">
        <v>2152576356</v>
      </c>
      <c r="CE31" s="40">
        <v>7670899295</v>
      </c>
      <c r="CF31" s="41"/>
      <c r="CG31" s="41"/>
      <c r="CH31" s="42"/>
    </row>
    <row r="32" spans="1:86" ht="33.75">
      <c r="A32" s="38">
        <v>26</v>
      </c>
      <c r="B32" s="65" t="s">
        <v>172</v>
      </c>
      <c r="C32" s="39" t="s">
        <v>171</v>
      </c>
      <c r="D32" s="40">
        <v>1074489</v>
      </c>
      <c r="E32" s="40">
        <v>0</v>
      </c>
      <c r="F32" s="40">
        <v>0</v>
      </c>
      <c r="G32" s="40">
        <v>728752</v>
      </c>
      <c r="H32" s="40">
        <v>568117079</v>
      </c>
      <c r="I32" s="40">
        <v>0</v>
      </c>
      <c r="J32" s="40">
        <v>11177870</v>
      </c>
      <c r="K32" s="40">
        <v>1613440</v>
      </c>
      <c r="L32" s="40">
        <v>1476093</v>
      </c>
      <c r="M32" s="40">
        <v>74875325</v>
      </c>
      <c r="N32" s="40">
        <v>103556</v>
      </c>
      <c r="O32" s="40">
        <v>0</v>
      </c>
      <c r="P32" s="40">
        <v>0</v>
      </c>
      <c r="Q32" s="40">
        <v>0</v>
      </c>
      <c r="R32" s="40">
        <v>31019</v>
      </c>
      <c r="S32" s="40">
        <v>0</v>
      </c>
      <c r="T32" s="40">
        <v>0</v>
      </c>
      <c r="U32" s="40">
        <v>0</v>
      </c>
      <c r="V32" s="40">
        <v>7000356</v>
      </c>
      <c r="W32" s="40">
        <v>31090250</v>
      </c>
      <c r="X32" s="40">
        <v>480541</v>
      </c>
      <c r="Y32" s="40">
        <v>0</v>
      </c>
      <c r="Z32" s="40">
        <v>0</v>
      </c>
      <c r="AA32" s="40">
        <v>636571</v>
      </c>
      <c r="AB32" s="40">
        <v>61783</v>
      </c>
      <c r="AC32" s="40">
        <v>8952795</v>
      </c>
      <c r="AD32" s="40">
        <v>1688371</v>
      </c>
      <c r="AE32" s="40">
        <v>416800</v>
      </c>
      <c r="AF32" s="40">
        <v>0</v>
      </c>
      <c r="AG32" s="40">
        <v>2985772</v>
      </c>
      <c r="AH32" s="40">
        <v>0</v>
      </c>
      <c r="AI32" s="40">
        <v>2240</v>
      </c>
      <c r="AJ32" s="40">
        <v>16499851</v>
      </c>
      <c r="AK32" s="40">
        <v>2967907</v>
      </c>
      <c r="AL32" s="40">
        <v>152113</v>
      </c>
      <c r="AM32" s="40">
        <v>0</v>
      </c>
      <c r="AN32" s="40">
        <v>263597</v>
      </c>
      <c r="AO32" s="40">
        <v>28013678</v>
      </c>
      <c r="AP32" s="40">
        <v>46241254</v>
      </c>
      <c r="AQ32" s="40">
        <v>325383</v>
      </c>
      <c r="AR32" s="40">
        <v>17539299</v>
      </c>
      <c r="AS32" s="40">
        <v>3193296</v>
      </c>
      <c r="AT32" s="40">
        <v>84216016</v>
      </c>
      <c r="AU32" s="40">
        <v>0</v>
      </c>
      <c r="AV32" s="40">
        <v>3967539</v>
      </c>
      <c r="AW32" s="40">
        <v>639184</v>
      </c>
      <c r="AX32" s="40">
        <v>206153609</v>
      </c>
      <c r="AY32" s="40">
        <v>0</v>
      </c>
      <c r="AZ32" s="40">
        <v>0</v>
      </c>
      <c r="BA32" s="40">
        <v>421322</v>
      </c>
      <c r="BB32" s="40">
        <v>0</v>
      </c>
      <c r="BC32" s="40">
        <v>0</v>
      </c>
      <c r="BD32" s="40">
        <v>0</v>
      </c>
      <c r="BE32" s="40">
        <v>0</v>
      </c>
      <c r="BF32" s="40">
        <v>0</v>
      </c>
      <c r="BG32" s="40">
        <v>0</v>
      </c>
      <c r="BH32" s="40">
        <v>0</v>
      </c>
      <c r="BI32" s="40">
        <v>0</v>
      </c>
      <c r="BJ32" s="40">
        <v>1084578</v>
      </c>
      <c r="BK32" s="40">
        <v>68750704</v>
      </c>
      <c r="BL32" s="40">
        <v>2350682</v>
      </c>
      <c r="BM32" s="40">
        <v>0</v>
      </c>
      <c r="BN32" s="40">
        <v>0</v>
      </c>
      <c r="BO32" s="40">
        <v>0</v>
      </c>
      <c r="BP32" s="40">
        <v>0</v>
      </c>
      <c r="BQ32" s="40">
        <v>2002075</v>
      </c>
      <c r="BR32" s="40">
        <v>0</v>
      </c>
      <c r="BS32" s="40">
        <v>0</v>
      </c>
      <c r="BT32" s="40">
        <v>1197295189</v>
      </c>
      <c r="BU32" s="40">
        <v>1851361</v>
      </c>
      <c r="BV32" s="40">
        <v>0</v>
      </c>
      <c r="BW32" s="40">
        <v>0</v>
      </c>
      <c r="BX32" s="40">
        <v>1851361</v>
      </c>
      <c r="BY32" s="40">
        <v>0</v>
      </c>
      <c r="BZ32" s="40">
        <v>-3568049</v>
      </c>
      <c r="CA32" s="40">
        <v>0</v>
      </c>
      <c r="CB32" s="40">
        <v>-3568049</v>
      </c>
      <c r="CC32" s="40">
        <v>61093584</v>
      </c>
      <c r="CD32" s="40">
        <v>59376896</v>
      </c>
      <c r="CE32" s="40">
        <v>1256672085</v>
      </c>
      <c r="CF32" s="41"/>
      <c r="CG32" s="41"/>
      <c r="CH32" s="42"/>
    </row>
    <row r="33" spans="1:86" ht="22.5">
      <c r="A33" s="38">
        <v>27</v>
      </c>
      <c r="B33" s="65" t="s">
        <v>170</v>
      </c>
      <c r="C33" s="39" t="s">
        <v>169</v>
      </c>
      <c r="D33" s="40">
        <v>2128535</v>
      </c>
      <c r="E33" s="40">
        <v>0</v>
      </c>
      <c r="F33" s="40">
        <v>1549828</v>
      </c>
      <c r="G33" s="40">
        <v>0</v>
      </c>
      <c r="H33" s="40">
        <v>22391079</v>
      </c>
      <c r="I33" s="40">
        <v>0</v>
      </c>
      <c r="J33" s="40">
        <v>0</v>
      </c>
      <c r="K33" s="40">
        <v>6273714</v>
      </c>
      <c r="L33" s="40">
        <v>4335976</v>
      </c>
      <c r="M33" s="40">
        <v>2</v>
      </c>
      <c r="N33" s="40">
        <v>239649</v>
      </c>
      <c r="O33" s="40">
        <v>0</v>
      </c>
      <c r="P33" s="40">
        <v>87705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343829</v>
      </c>
      <c r="Y33" s="40">
        <v>0</v>
      </c>
      <c r="Z33" s="40">
        <v>0</v>
      </c>
      <c r="AA33" s="40">
        <v>14319829</v>
      </c>
      <c r="AB33" s="40">
        <v>1430752</v>
      </c>
      <c r="AC33" s="40">
        <v>0</v>
      </c>
      <c r="AD33" s="40">
        <v>15073697</v>
      </c>
      <c r="AE33" s="40">
        <v>536</v>
      </c>
      <c r="AF33" s="40">
        <v>455750</v>
      </c>
      <c r="AG33" s="40">
        <v>17594258</v>
      </c>
      <c r="AH33" s="40">
        <v>1708</v>
      </c>
      <c r="AI33" s="40">
        <v>324486</v>
      </c>
      <c r="AJ33" s="40">
        <v>9158701</v>
      </c>
      <c r="AK33" s="40">
        <v>0</v>
      </c>
      <c r="AL33" s="40">
        <v>292</v>
      </c>
      <c r="AM33" s="40">
        <v>0</v>
      </c>
      <c r="AN33" s="40">
        <v>0</v>
      </c>
      <c r="AO33" s="40">
        <v>25928173</v>
      </c>
      <c r="AP33" s="40">
        <v>8241617</v>
      </c>
      <c r="AQ33" s="40">
        <v>0</v>
      </c>
      <c r="AR33" s="40">
        <v>3917804</v>
      </c>
      <c r="AS33" s="40">
        <v>2762197</v>
      </c>
      <c r="AT33" s="40">
        <v>159903870</v>
      </c>
      <c r="AU33" s="40">
        <v>0</v>
      </c>
      <c r="AV33" s="40">
        <v>3610564</v>
      </c>
      <c r="AW33" s="40">
        <v>1832323</v>
      </c>
      <c r="AX33" s="40">
        <v>1896087</v>
      </c>
      <c r="AY33" s="40">
        <v>0</v>
      </c>
      <c r="AZ33" s="40">
        <v>0</v>
      </c>
      <c r="BA33" s="40">
        <v>3042</v>
      </c>
      <c r="BB33" s="40">
        <v>0</v>
      </c>
      <c r="BC33" s="40">
        <v>0</v>
      </c>
      <c r="BD33" s="40">
        <v>0</v>
      </c>
      <c r="BE33" s="40">
        <v>110384</v>
      </c>
      <c r="BF33" s="40">
        <v>0</v>
      </c>
      <c r="BG33" s="40">
        <v>0</v>
      </c>
      <c r="BH33" s="40">
        <v>0</v>
      </c>
      <c r="BI33" s="40">
        <v>0</v>
      </c>
      <c r="BJ33" s="40">
        <v>242845</v>
      </c>
      <c r="BK33" s="40">
        <v>8245151</v>
      </c>
      <c r="BL33" s="40">
        <v>334451</v>
      </c>
      <c r="BM33" s="40">
        <v>0</v>
      </c>
      <c r="BN33" s="40">
        <v>0</v>
      </c>
      <c r="BO33" s="40">
        <v>0</v>
      </c>
      <c r="BP33" s="40">
        <v>0</v>
      </c>
      <c r="BQ33" s="40">
        <v>0</v>
      </c>
      <c r="BR33" s="40">
        <v>0</v>
      </c>
      <c r="BS33" s="40">
        <v>0</v>
      </c>
      <c r="BT33" s="40">
        <v>312738834</v>
      </c>
      <c r="BU33" s="40">
        <v>0</v>
      </c>
      <c r="BV33" s="40">
        <v>0</v>
      </c>
      <c r="BW33" s="40">
        <v>0</v>
      </c>
      <c r="BX33" s="40">
        <v>0</v>
      </c>
      <c r="BY33" s="40">
        <v>0</v>
      </c>
      <c r="BZ33" s="40">
        <v>-2569481</v>
      </c>
      <c r="CA33" s="40">
        <v>0</v>
      </c>
      <c r="CB33" s="40">
        <v>-2569481</v>
      </c>
      <c r="CC33" s="40">
        <v>9996774</v>
      </c>
      <c r="CD33" s="40">
        <v>7427293</v>
      </c>
      <c r="CE33" s="40">
        <v>320166127</v>
      </c>
      <c r="CF33" s="41"/>
      <c r="CG33" s="41"/>
      <c r="CH33" s="42"/>
    </row>
    <row r="34" spans="1:86" ht="22.5">
      <c r="A34" s="38">
        <v>28</v>
      </c>
      <c r="B34" s="65" t="s">
        <v>168</v>
      </c>
      <c r="C34" s="39" t="s">
        <v>167</v>
      </c>
      <c r="D34" s="40">
        <v>65150</v>
      </c>
      <c r="E34" s="40">
        <v>889</v>
      </c>
      <c r="F34" s="40">
        <v>0</v>
      </c>
      <c r="G34" s="40">
        <v>0</v>
      </c>
      <c r="H34" s="40">
        <v>14765582</v>
      </c>
      <c r="I34" s="40">
        <v>0</v>
      </c>
      <c r="J34" s="40">
        <v>21986892</v>
      </c>
      <c r="K34" s="40">
        <v>2406563927</v>
      </c>
      <c r="L34" s="40">
        <v>380</v>
      </c>
      <c r="M34" s="40">
        <v>1950033</v>
      </c>
      <c r="N34" s="40">
        <v>3732146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344486</v>
      </c>
      <c r="U34" s="40">
        <v>0</v>
      </c>
      <c r="V34" s="40">
        <v>0</v>
      </c>
      <c r="W34" s="40">
        <v>9887042</v>
      </c>
      <c r="X34" s="40">
        <v>8140035</v>
      </c>
      <c r="Y34" s="40">
        <v>5401897</v>
      </c>
      <c r="Z34" s="40">
        <v>2171191</v>
      </c>
      <c r="AA34" s="40">
        <v>47895209</v>
      </c>
      <c r="AB34" s="40">
        <v>448618377</v>
      </c>
      <c r="AC34" s="40">
        <v>0</v>
      </c>
      <c r="AD34" s="40">
        <v>2169712</v>
      </c>
      <c r="AE34" s="40">
        <v>785004449</v>
      </c>
      <c r="AF34" s="40">
        <v>23455137</v>
      </c>
      <c r="AG34" s="40">
        <v>124161601</v>
      </c>
      <c r="AH34" s="40">
        <v>40848468</v>
      </c>
      <c r="AI34" s="40">
        <v>229012246</v>
      </c>
      <c r="AJ34" s="40">
        <v>65856354</v>
      </c>
      <c r="AK34" s="40">
        <v>122046417</v>
      </c>
      <c r="AL34" s="40">
        <v>48968589</v>
      </c>
      <c r="AM34" s="40">
        <v>3025481</v>
      </c>
      <c r="AN34" s="40">
        <v>36570768</v>
      </c>
      <c r="AO34" s="40">
        <v>14517926</v>
      </c>
      <c r="AP34" s="40">
        <v>174251513</v>
      </c>
      <c r="AQ34" s="40">
        <v>0</v>
      </c>
      <c r="AR34" s="40">
        <v>303113</v>
      </c>
      <c r="AS34" s="40">
        <v>86971309</v>
      </c>
      <c r="AT34" s="40">
        <v>2815330814</v>
      </c>
      <c r="AU34" s="40">
        <v>21492104</v>
      </c>
      <c r="AV34" s="40">
        <v>0</v>
      </c>
      <c r="AW34" s="40">
        <v>0</v>
      </c>
      <c r="AX34" s="40">
        <v>3866861</v>
      </c>
      <c r="AY34" s="40">
        <v>0</v>
      </c>
      <c r="AZ34" s="40">
        <v>0</v>
      </c>
      <c r="BA34" s="40">
        <v>0</v>
      </c>
      <c r="BB34" s="40">
        <v>0</v>
      </c>
      <c r="BC34" s="40">
        <v>0</v>
      </c>
      <c r="BD34" s="40">
        <v>0</v>
      </c>
      <c r="BE34" s="40">
        <v>52138</v>
      </c>
      <c r="BF34" s="40">
        <v>5567463</v>
      </c>
      <c r="BG34" s="40">
        <v>372130640</v>
      </c>
      <c r="BH34" s="40">
        <v>0</v>
      </c>
      <c r="BI34" s="40">
        <v>0</v>
      </c>
      <c r="BJ34" s="40">
        <v>2307791</v>
      </c>
      <c r="BK34" s="40">
        <v>181818648</v>
      </c>
      <c r="BL34" s="40">
        <v>489215</v>
      </c>
      <c r="BM34" s="40">
        <v>0</v>
      </c>
      <c r="BN34" s="40">
        <v>78461</v>
      </c>
      <c r="BO34" s="40">
        <v>201881</v>
      </c>
      <c r="BP34" s="40">
        <v>268</v>
      </c>
      <c r="BQ34" s="40">
        <v>581582</v>
      </c>
      <c r="BR34" s="40">
        <v>0</v>
      </c>
      <c r="BS34" s="40">
        <v>0</v>
      </c>
      <c r="BT34" s="40">
        <v>8132604185</v>
      </c>
      <c r="BU34" s="40">
        <v>0</v>
      </c>
      <c r="BV34" s="40">
        <v>0</v>
      </c>
      <c r="BW34" s="40">
        <v>0</v>
      </c>
      <c r="BX34" s="40">
        <v>0</v>
      </c>
      <c r="BY34" s="40">
        <v>0</v>
      </c>
      <c r="BZ34" s="40">
        <v>1643988279</v>
      </c>
      <c r="CA34" s="40">
        <v>66780654</v>
      </c>
      <c r="CB34" s="40">
        <v>1710768933</v>
      </c>
      <c r="CC34" s="40">
        <v>5945686862</v>
      </c>
      <c r="CD34" s="40">
        <v>7656455795</v>
      </c>
      <c r="CE34" s="40">
        <v>15789059980</v>
      </c>
      <c r="CF34" s="41"/>
      <c r="CG34" s="41"/>
      <c r="CH34" s="42"/>
    </row>
    <row r="35" spans="1:86">
      <c r="A35" s="38">
        <v>29</v>
      </c>
      <c r="B35" s="65" t="s">
        <v>166</v>
      </c>
      <c r="C35" s="39" t="s">
        <v>165</v>
      </c>
      <c r="D35" s="40">
        <v>58874</v>
      </c>
      <c r="E35" s="40">
        <v>0</v>
      </c>
      <c r="F35" s="40">
        <v>128</v>
      </c>
      <c r="G35" s="40">
        <v>0</v>
      </c>
      <c r="H35" s="40">
        <v>31110149</v>
      </c>
      <c r="I35" s="40">
        <v>1477101</v>
      </c>
      <c r="J35" s="40">
        <v>0</v>
      </c>
      <c r="K35" s="40">
        <v>51079</v>
      </c>
      <c r="L35" s="40">
        <v>0</v>
      </c>
      <c r="M35" s="40">
        <v>1370743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10694584</v>
      </c>
      <c r="X35" s="40">
        <v>0</v>
      </c>
      <c r="Y35" s="40">
        <v>0</v>
      </c>
      <c r="Z35" s="40">
        <v>4130</v>
      </c>
      <c r="AA35" s="40">
        <v>90570</v>
      </c>
      <c r="AB35" s="40">
        <v>0</v>
      </c>
      <c r="AC35" s="40">
        <v>0</v>
      </c>
      <c r="AD35" s="40">
        <v>0</v>
      </c>
      <c r="AE35" s="40">
        <v>1350</v>
      </c>
      <c r="AF35" s="40">
        <v>0</v>
      </c>
      <c r="AG35" s="40">
        <v>3149870</v>
      </c>
      <c r="AH35" s="40">
        <v>0</v>
      </c>
      <c r="AI35" s="40">
        <v>3509</v>
      </c>
      <c r="AJ35" s="40">
        <v>36695</v>
      </c>
      <c r="AK35" s="40">
        <v>1332901</v>
      </c>
      <c r="AL35" s="40">
        <v>561276</v>
      </c>
      <c r="AM35" s="40">
        <v>0</v>
      </c>
      <c r="AN35" s="40">
        <v>0</v>
      </c>
      <c r="AO35" s="40">
        <v>42350</v>
      </c>
      <c r="AP35" s="40">
        <v>156743</v>
      </c>
      <c r="AQ35" s="40">
        <v>694037</v>
      </c>
      <c r="AR35" s="40">
        <v>818906</v>
      </c>
      <c r="AS35" s="40">
        <v>2355325</v>
      </c>
      <c r="AT35" s="40">
        <v>4082330</v>
      </c>
      <c r="AU35" s="40">
        <v>0</v>
      </c>
      <c r="AV35" s="40">
        <v>1431836</v>
      </c>
      <c r="AW35" s="40">
        <v>0</v>
      </c>
      <c r="AX35" s="40">
        <v>5700122</v>
      </c>
      <c r="AY35" s="40">
        <v>0</v>
      </c>
      <c r="AZ35" s="40">
        <v>0</v>
      </c>
      <c r="BA35" s="40">
        <v>0</v>
      </c>
      <c r="BB35" s="40">
        <v>0</v>
      </c>
      <c r="BC35" s="40">
        <v>0</v>
      </c>
      <c r="BD35" s="40">
        <v>0</v>
      </c>
      <c r="BE35" s="40">
        <v>0</v>
      </c>
      <c r="BF35" s="40">
        <v>0</v>
      </c>
      <c r="BG35" s="40">
        <v>0</v>
      </c>
      <c r="BH35" s="40">
        <v>0</v>
      </c>
      <c r="BI35" s="40">
        <v>0</v>
      </c>
      <c r="BJ35" s="40">
        <v>336599</v>
      </c>
      <c r="BK35" s="40">
        <v>519053</v>
      </c>
      <c r="BL35" s="40">
        <v>0</v>
      </c>
      <c r="BM35" s="40">
        <v>0</v>
      </c>
      <c r="BN35" s="40">
        <v>0</v>
      </c>
      <c r="BO35" s="40">
        <v>0</v>
      </c>
      <c r="BP35" s="40">
        <v>0</v>
      </c>
      <c r="BQ35" s="40">
        <v>0</v>
      </c>
      <c r="BR35" s="40">
        <v>0</v>
      </c>
      <c r="BS35" s="40">
        <v>0</v>
      </c>
      <c r="BT35" s="40">
        <v>66080260</v>
      </c>
      <c r="BU35" s="40">
        <v>0</v>
      </c>
      <c r="BV35" s="40">
        <v>0</v>
      </c>
      <c r="BW35" s="40">
        <v>0</v>
      </c>
      <c r="BX35" s="40">
        <v>0</v>
      </c>
      <c r="BY35" s="40">
        <v>0</v>
      </c>
      <c r="BZ35" s="40">
        <v>0</v>
      </c>
      <c r="CA35" s="40">
        <v>0</v>
      </c>
      <c r="CB35" s="40">
        <v>0</v>
      </c>
      <c r="CC35" s="40">
        <v>373127</v>
      </c>
      <c r="CD35" s="40">
        <v>373127</v>
      </c>
      <c r="CE35" s="40">
        <v>66453387</v>
      </c>
      <c r="CF35" s="41"/>
      <c r="CG35" s="41"/>
      <c r="CH35" s="42"/>
    </row>
    <row r="36" spans="1:86" ht="22.5">
      <c r="A36" s="38">
        <v>30</v>
      </c>
      <c r="B36" s="65" t="s">
        <v>66</v>
      </c>
      <c r="C36" s="39" t="s">
        <v>65</v>
      </c>
      <c r="D36" s="40">
        <v>12521736</v>
      </c>
      <c r="E36" s="40">
        <v>320326</v>
      </c>
      <c r="F36" s="40">
        <v>408326</v>
      </c>
      <c r="G36" s="40">
        <v>23386619</v>
      </c>
      <c r="H36" s="40">
        <v>124246197</v>
      </c>
      <c r="I36" s="40">
        <v>5749172</v>
      </c>
      <c r="J36" s="40">
        <v>949992</v>
      </c>
      <c r="K36" s="40">
        <v>6374476</v>
      </c>
      <c r="L36" s="40">
        <v>25225906</v>
      </c>
      <c r="M36" s="40">
        <v>4031361</v>
      </c>
      <c r="N36" s="40">
        <v>10711371</v>
      </c>
      <c r="O36" s="40">
        <v>0</v>
      </c>
      <c r="P36" s="40">
        <v>39028</v>
      </c>
      <c r="Q36" s="40">
        <v>24650</v>
      </c>
      <c r="R36" s="40">
        <v>14232</v>
      </c>
      <c r="S36" s="40">
        <v>788667</v>
      </c>
      <c r="T36" s="40">
        <v>0</v>
      </c>
      <c r="U36" s="40">
        <v>0</v>
      </c>
      <c r="V36" s="40">
        <v>474619</v>
      </c>
      <c r="W36" s="40">
        <v>1558184</v>
      </c>
      <c r="X36" s="40">
        <v>60153</v>
      </c>
      <c r="Y36" s="40">
        <v>2156</v>
      </c>
      <c r="Z36" s="40">
        <v>21352</v>
      </c>
      <c r="AA36" s="40">
        <v>16478690</v>
      </c>
      <c r="AB36" s="40">
        <v>541897</v>
      </c>
      <c r="AC36" s="40">
        <v>662</v>
      </c>
      <c r="AD36" s="40">
        <v>2730</v>
      </c>
      <c r="AE36" s="40">
        <v>151239</v>
      </c>
      <c r="AF36" s="40">
        <v>1211</v>
      </c>
      <c r="AG36" s="40">
        <v>1108585</v>
      </c>
      <c r="AH36" s="40">
        <v>4771</v>
      </c>
      <c r="AI36" s="40">
        <v>90560</v>
      </c>
      <c r="AJ36" s="40">
        <v>241149</v>
      </c>
      <c r="AK36" s="40">
        <v>10021528</v>
      </c>
      <c r="AL36" s="40">
        <v>4745079</v>
      </c>
      <c r="AM36" s="40">
        <v>3447255</v>
      </c>
      <c r="AN36" s="40">
        <v>116754</v>
      </c>
      <c r="AO36" s="40">
        <v>9427044</v>
      </c>
      <c r="AP36" s="40">
        <v>7827575</v>
      </c>
      <c r="AQ36" s="40">
        <v>4089276</v>
      </c>
      <c r="AR36" s="40">
        <v>9031040</v>
      </c>
      <c r="AS36" s="40">
        <v>6842202</v>
      </c>
      <c r="AT36" s="40">
        <v>120648273</v>
      </c>
      <c r="AU36" s="40">
        <v>67078516</v>
      </c>
      <c r="AV36" s="40">
        <v>92092725</v>
      </c>
      <c r="AW36" s="40">
        <v>140997551</v>
      </c>
      <c r="AX36" s="40">
        <v>47339024</v>
      </c>
      <c r="AY36" s="40">
        <v>286670</v>
      </c>
      <c r="AZ36" s="40">
        <v>807816</v>
      </c>
      <c r="BA36" s="40">
        <v>24156405</v>
      </c>
      <c r="BB36" s="40">
        <v>769477</v>
      </c>
      <c r="BC36" s="40">
        <v>5285786</v>
      </c>
      <c r="BD36" s="40">
        <v>5735652</v>
      </c>
      <c r="BE36" s="40">
        <v>30411201</v>
      </c>
      <c r="BF36" s="40">
        <v>139802169</v>
      </c>
      <c r="BG36" s="40">
        <v>102648</v>
      </c>
      <c r="BH36" s="40">
        <v>628152</v>
      </c>
      <c r="BI36" s="40">
        <v>12022</v>
      </c>
      <c r="BJ36" s="40">
        <v>174854774</v>
      </c>
      <c r="BK36" s="40">
        <v>93042928</v>
      </c>
      <c r="BL36" s="40">
        <v>22830088</v>
      </c>
      <c r="BM36" s="40">
        <v>45262058</v>
      </c>
      <c r="BN36" s="40">
        <v>47354744</v>
      </c>
      <c r="BO36" s="40">
        <v>14627501</v>
      </c>
      <c r="BP36" s="40">
        <v>961121</v>
      </c>
      <c r="BQ36" s="40">
        <v>39610060</v>
      </c>
      <c r="BR36" s="40">
        <v>12179088</v>
      </c>
      <c r="BS36" s="40">
        <v>0</v>
      </c>
      <c r="BT36" s="40">
        <v>1417954219</v>
      </c>
      <c r="BU36" s="40">
        <v>144987343</v>
      </c>
      <c r="BV36" s="40">
        <v>0</v>
      </c>
      <c r="BW36" s="40">
        <v>0</v>
      </c>
      <c r="BX36" s="40">
        <v>144987343</v>
      </c>
      <c r="BY36" s="40">
        <v>657812371</v>
      </c>
      <c r="BZ36" s="40">
        <v>24181827</v>
      </c>
      <c r="CA36" s="40">
        <v>0</v>
      </c>
      <c r="CB36" s="40">
        <v>681994198</v>
      </c>
      <c r="CC36" s="40">
        <v>185622971</v>
      </c>
      <c r="CD36" s="40">
        <v>1012604512</v>
      </c>
      <c r="CE36" s="40">
        <v>2430558731</v>
      </c>
      <c r="CF36" s="41"/>
      <c r="CG36" s="41"/>
      <c r="CH36" s="42"/>
    </row>
    <row r="37" spans="1:86" ht="22.5">
      <c r="A37" s="38">
        <v>31</v>
      </c>
      <c r="B37" s="65" t="s">
        <v>64</v>
      </c>
      <c r="C37" s="39" t="s">
        <v>135</v>
      </c>
      <c r="D37" s="40">
        <v>116657</v>
      </c>
      <c r="E37" s="40">
        <v>15490</v>
      </c>
      <c r="F37" s="40">
        <v>0</v>
      </c>
      <c r="G37" s="40">
        <v>7</v>
      </c>
      <c r="H37" s="40">
        <v>13119841</v>
      </c>
      <c r="I37" s="40">
        <v>622426</v>
      </c>
      <c r="J37" s="40">
        <v>12566</v>
      </c>
      <c r="K37" s="40">
        <v>44825</v>
      </c>
      <c r="L37" s="40">
        <v>1032</v>
      </c>
      <c r="M37" s="40">
        <v>176917</v>
      </c>
      <c r="N37" s="40">
        <v>17062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92</v>
      </c>
      <c r="U37" s="40">
        <v>677</v>
      </c>
      <c r="V37" s="40">
        <v>0</v>
      </c>
      <c r="W37" s="40">
        <v>87127</v>
      </c>
      <c r="X37" s="40">
        <v>65810</v>
      </c>
      <c r="Y37" s="40">
        <v>21415</v>
      </c>
      <c r="Z37" s="40">
        <v>719</v>
      </c>
      <c r="AA37" s="40">
        <v>1816</v>
      </c>
      <c r="AB37" s="40">
        <v>29887</v>
      </c>
      <c r="AC37" s="40">
        <v>0</v>
      </c>
      <c r="AD37" s="40">
        <v>0</v>
      </c>
      <c r="AE37" s="40">
        <v>22</v>
      </c>
      <c r="AF37" s="40">
        <v>1475</v>
      </c>
      <c r="AG37" s="40">
        <v>1942</v>
      </c>
      <c r="AH37" s="40">
        <v>3340130</v>
      </c>
      <c r="AI37" s="40">
        <v>1514506</v>
      </c>
      <c r="AJ37" s="40">
        <v>483098</v>
      </c>
      <c r="AK37" s="40">
        <v>2898338</v>
      </c>
      <c r="AL37" s="40">
        <v>2716209</v>
      </c>
      <c r="AM37" s="40">
        <v>0</v>
      </c>
      <c r="AN37" s="40">
        <v>0</v>
      </c>
      <c r="AO37" s="40">
        <v>397180</v>
      </c>
      <c r="AP37" s="40">
        <v>4856719</v>
      </c>
      <c r="AQ37" s="40">
        <v>7936</v>
      </c>
      <c r="AR37" s="40">
        <v>6068</v>
      </c>
      <c r="AS37" s="40">
        <v>15219</v>
      </c>
      <c r="AT37" s="40">
        <v>597331</v>
      </c>
      <c r="AU37" s="40">
        <v>375723</v>
      </c>
      <c r="AV37" s="40">
        <v>1112463</v>
      </c>
      <c r="AW37" s="40">
        <v>600148</v>
      </c>
      <c r="AX37" s="40">
        <v>693313</v>
      </c>
      <c r="AY37" s="40">
        <v>19185</v>
      </c>
      <c r="AZ37" s="40">
        <v>578578</v>
      </c>
      <c r="BA37" s="40">
        <v>33704083</v>
      </c>
      <c r="BB37" s="40">
        <v>242162</v>
      </c>
      <c r="BC37" s="40">
        <v>1090827</v>
      </c>
      <c r="BD37" s="40">
        <v>1917886</v>
      </c>
      <c r="BE37" s="40">
        <v>21633583</v>
      </c>
      <c r="BF37" s="40">
        <v>38673992</v>
      </c>
      <c r="BG37" s="40">
        <v>12204150</v>
      </c>
      <c r="BH37" s="40">
        <v>6269313</v>
      </c>
      <c r="BI37" s="40">
        <v>3684601</v>
      </c>
      <c r="BJ37" s="40">
        <v>2534048</v>
      </c>
      <c r="BK37" s="40">
        <v>16050546</v>
      </c>
      <c r="BL37" s="40">
        <v>16363209</v>
      </c>
      <c r="BM37" s="40">
        <v>9525845</v>
      </c>
      <c r="BN37" s="40">
        <v>13754698</v>
      </c>
      <c r="BO37" s="40">
        <v>48974452</v>
      </c>
      <c r="BP37" s="40">
        <v>206933</v>
      </c>
      <c r="BQ37" s="40">
        <v>4201639</v>
      </c>
      <c r="BR37" s="40">
        <v>11200466</v>
      </c>
      <c r="BS37" s="40">
        <v>0</v>
      </c>
      <c r="BT37" s="40">
        <v>276782382</v>
      </c>
      <c r="BU37" s="40">
        <v>1967806622</v>
      </c>
      <c r="BV37" s="40">
        <v>0</v>
      </c>
      <c r="BW37" s="40">
        <v>0</v>
      </c>
      <c r="BX37" s="40">
        <v>1967806622</v>
      </c>
      <c r="BY37" s="40">
        <v>2120811315</v>
      </c>
      <c r="BZ37" s="40">
        <v>-24751007</v>
      </c>
      <c r="CA37" s="40">
        <v>0</v>
      </c>
      <c r="CB37" s="40">
        <v>2096060308</v>
      </c>
      <c r="CC37" s="40">
        <v>438423431</v>
      </c>
      <c r="CD37" s="40">
        <v>4502290361</v>
      </c>
      <c r="CE37" s="40">
        <v>4779072743</v>
      </c>
      <c r="CF37" s="41"/>
      <c r="CG37" s="41"/>
      <c r="CH37" s="42"/>
    </row>
    <row r="38" spans="1:86">
      <c r="A38" s="38">
        <v>32</v>
      </c>
      <c r="B38" s="65" t="s">
        <v>96</v>
      </c>
      <c r="C38" s="39" t="s">
        <v>164</v>
      </c>
      <c r="D38" s="40">
        <v>1232938</v>
      </c>
      <c r="E38" s="40">
        <v>15</v>
      </c>
      <c r="F38" s="40">
        <v>1204</v>
      </c>
      <c r="G38" s="40">
        <v>33758</v>
      </c>
      <c r="H38" s="40">
        <v>54791543</v>
      </c>
      <c r="I38" s="40">
        <v>2601109</v>
      </c>
      <c r="J38" s="40">
        <v>91716</v>
      </c>
      <c r="K38" s="40">
        <v>81347</v>
      </c>
      <c r="L38" s="40">
        <v>2972805</v>
      </c>
      <c r="M38" s="40">
        <v>120962</v>
      </c>
      <c r="N38" s="40">
        <v>2187</v>
      </c>
      <c r="O38" s="40">
        <v>0</v>
      </c>
      <c r="P38" s="40">
        <v>118</v>
      </c>
      <c r="Q38" s="40">
        <v>51</v>
      </c>
      <c r="R38" s="40">
        <v>193</v>
      </c>
      <c r="S38" s="40">
        <v>0</v>
      </c>
      <c r="T38" s="40">
        <v>185</v>
      </c>
      <c r="U38" s="40">
        <v>0</v>
      </c>
      <c r="V38" s="40">
        <v>33912</v>
      </c>
      <c r="W38" s="40">
        <v>233090</v>
      </c>
      <c r="X38" s="40">
        <v>92255</v>
      </c>
      <c r="Y38" s="40">
        <v>0</v>
      </c>
      <c r="Z38" s="40">
        <v>2134</v>
      </c>
      <c r="AA38" s="40">
        <v>12780</v>
      </c>
      <c r="AB38" s="40">
        <v>86290</v>
      </c>
      <c r="AC38" s="40">
        <v>10</v>
      </c>
      <c r="AD38" s="40">
        <v>0</v>
      </c>
      <c r="AE38" s="40">
        <v>72972</v>
      </c>
      <c r="AF38" s="40">
        <v>220</v>
      </c>
      <c r="AG38" s="40">
        <v>13908</v>
      </c>
      <c r="AH38" s="40">
        <v>3527197</v>
      </c>
      <c r="AI38" s="40">
        <v>2737402</v>
      </c>
      <c r="AJ38" s="40">
        <v>937666</v>
      </c>
      <c r="AK38" s="40">
        <v>5875236</v>
      </c>
      <c r="AL38" s="40">
        <v>2727192</v>
      </c>
      <c r="AM38" s="40">
        <v>0</v>
      </c>
      <c r="AN38" s="40">
        <v>0</v>
      </c>
      <c r="AO38" s="40">
        <v>2470045</v>
      </c>
      <c r="AP38" s="40">
        <v>25172030</v>
      </c>
      <c r="AQ38" s="40">
        <v>0</v>
      </c>
      <c r="AR38" s="40">
        <v>107112</v>
      </c>
      <c r="AS38" s="40">
        <v>572254</v>
      </c>
      <c r="AT38" s="40">
        <v>9264534</v>
      </c>
      <c r="AU38" s="40">
        <v>33794098</v>
      </c>
      <c r="AV38" s="40">
        <v>15063009</v>
      </c>
      <c r="AW38" s="40">
        <v>9460236</v>
      </c>
      <c r="AX38" s="40">
        <v>873236</v>
      </c>
      <c r="AY38" s="40">
        <v>485</v>
      </c>
      <c r="AZ38" s="40">
        <v>765617</v>
      </c>
      <c r="BA38" s="40">
        <v>3001088</v>
      </c>
      <c r="BB38" s="40">
        <v>0</v>
      </c>
      <c r="BC38" s="40">
        <v>9194001</v>
      </c>
      <c r="BD38" s="40">
        <v>4400756</v>
      </c>
      <c r="BE38" s="40">
        <v>3861985</v>
      </c>
      <c r="BF38" s="40">
        <v>15865380</v>
      </c>
      <c r="BG38" s="40">
        <v>707232</v>
      </c>
      <c r="BH38" s="40">
        <v>87485</v>
      </c>
      <c r="BI38" s="40">
        <v>152764</v>
      </c>
      <c r="BJ38" s="40">
        <v>32981886</v>
      </c>
      <c r="BK38" s="40">
        <v>7500464</v>
      </c>
      <c r="BL38" s="40">
        <v>36992739</v>
      </c>
      <c r="BM38" s="40">
        <v>10009886</v>
      </c>
      <c r="BN38" s="40">
        <v>21090190</v>
      </c>
      <c r="BO38" s="40">
        <v>8015038</v>
      </c>
      <c r="BP38" s="40">
        <v>186675</v>
      </c>
      <c r="BQ38" s="40">
        <v>31892787</v>
      </c>
      <c r="BR38" s="40">
        <v>10729425</v>
      </c>
      <c r="BS38" s="40">
        <v>0</v>
      </c>
      <c r="BT38" s="40">
        <v>372494832</v>
      </c>
      <c r="BU38" s="40">
        <v>937969350</v>
      </c>
      <c r="BV38" s="40">
        <v>0</v>
      </c>
      <c r="BW38" s="40">
        <v>0</v>
      </c>
      <c r="BX38" s="40">
        <v>937969350</v>
      </c>
      <c r="BY38" s="40">
        <v>1904117493</v>
      </c>
      <c r="BZ38" s="40">
        <v>41675780</v>
      </c>
      <c r="CA38" s="40">
        <v>0</v>
      </c>
      <c r="CB38" s="40">
        <v>1945793273</v>
      </c>
      <c r="CC38" s="40">
        <v>325330959</v>
      </c>
      <c r="CD38" s="40">
        <v>3209093582</v>
      </c>
      <c r="CE38" s="40">
        <v>3581588414</v>
      </c>
      <c r="CF38" s="41"/>
      <c r="CG38" s="41"/>
      <c r="CH38" s="42"/>
    </row>
    <row r="39" spans="1:86" ht="22.5">
      <c r="A39" s="38">
        <v>33</v>
      </c>
      <c r="B39" s="65" t="s">
        <v>95</v>
      </c>
      <c r="C39" s="39" t="s">
        <v>163</v>
      </c>
      <c r="D39" s="40">
        <v>69781348</v>
      </c>
      <c r="E39" s="40">
        <v>22471</v>
      </c>
      <c r="F39" s="40">
        <v>67421</v>
      </c>
      <c r="G39" s="40">
        <v>80762244</v>
      </c>
      <c r="H39" s="40">
        <v>228701244</v>
      </c>
      <c r="I39" s="40">
        <v>6073584</v>
      </c>
      <c r="J39" s="40">
        <v>6075974</v>
      </c>
      <c r="K39" s="40">
        <v>20247366</v>
      </c>
      <c r="L39" s="40">
        <v>17256440</v>
      </c>
      <c r="M39" s="40">
        <v>16117840</v>
      </c>
      <c r="N39" s="40">
        <v>4271925</v>
      </c>
      <c r="O39" s="40">
        <v>132214</v>
      </c>
      <c r="P39" s="40">
        <v>28937</v>
      </c>
      <c r="Q39" s="40">
        <v>2196067</v>
      </c>
      <c r="R39" s="40">
        <v>52</v>
      </c>
      <c r="S39" s="40">
        <v>397</v>
      </c>
      <c r="T39" s="40">
        <v>1365804</v>
      </c>
      <c r="U39" s="40">
        <v>11939</v>
      </c>
      <c r="V39" s="40">
        <v>4012574</v>
      </c>
      <c r="W39" s="40">
        <v>14385857</v>
      </c>
      <c r="X39" s="40">
        <v>22535</v>
      </c>
      <c r="Y39" s="40">
        <v>96443</v>
      </c>
      <c r="Z39" s="40">
        <v>106359</v>
      </c>
      <c r="AA39" s="40">
        <v>8170842</v>
      </c>
      <c r="AB39" s="40">
        <v>7986593</v>
      </c>
      <c r="AC39" s="40">
        <v>97772</v>
      </c>
      <c r="AD39" s="40">
        <v>0</v>
      </c>
      <c r="AE39" s="40">
        <v>872839</v>
      </c>
      <c r="AF39" s="40">
        <v>24</v>
      </c>
      <c r="AG39" s="40">
        <v>17233</v>
      </c>
      <c r="AH39" s="40">
        <v>1857</v>
      </c>
      <c r="AI39" s="40">
        <v>7714</v>
      </c>
      <c r="AJ39" s="40">
        <v>11822990</v>
      </c>
      <c r="AK39" s="40">
        <v>7111581</v>
      </c>
      <c r="AL39" s="40">
        <v>4205252</v>
      </c>
      <c r="AM39" s="40">
        <v>0</v>
      </c>
      <c r="AN39" s="40">
        <v>373</v>
      </c>
      <c r="AO39" s="40">
        <v>1670208</v>
      </c>
      <c r="AP39" s="40">
        <v>1881646</v>
      </c>
      <c r="AQ39" s="40">
        <v>958338</v>
      </c>
      <c r="AR39" s="40">
        <v>5838047</v>
      </c>
      <c r="AS39" s="40">
        <v>848699</v>
      </c>
      <c r="AT39" s="40">
        <v>7009861</v>
      </c>
      <c r="AU39" s="40">
        <v>41089070</v>
      </c>
      <c r="AV39" s="40">
        <v>15404602</v>
      </c>
      <c r="AW39" s="40">
        <v>11170059</v>
      </c>
      <c r="AX39" s="40">
        <v>42556991</v>
      </c>
      <c r="AY39" s="40">
        <v>542017</v>
      </c>
      <c r="AZ39" s="40">
        <v>393656</v>
      </c>
      <c r="BA39" s="40">
        <v>15810992</v>
      </c>
      <c r="BB39" s="40">
        <v>3570</v>
      </c>
      <c r="BC39" s="40">
        <v>5918665</v>
      </c>
      <c r="BD39" s="40">
        <v>9001901</v>
      </c>
      <c r="BE39" s="40">
        <v>4726377</v>
      </c>
      <c r="BF39" s="40">
        <v>6245787</v>
      </c>
      <c r="BG39" s="40">
        <v>1813788</v>
      </c>
      <c r="BH39" s="40">
        <v>1100869</v>
      </c>
      <c r="BI39" s="40">
        <v>441040</v>
      </c>
      <c r="BJ39" s="40">
        <v>329350</v>
      </c>
      <c r="BK39" s="40">
        <v>142922367</v>
      </c>
      <c r="BL39" s="40">
        <v>31267278</v>
      </c>
      <c r="BM39" s="40">
        <v>22344661</v>
      </c>
      <c r="BN39" s="40">
        <v>18327397</v>
      </c>
      <c r="BO39" s="40">
        <v>19140395</v>
      </c>
      <c r="BP39" s="40">
        <v>193268</v>
      </c>
      <c r="BQ39" s="40">
        <v>3375559</v>
      </c>
      <c r="BR39" s="40">
        <v>7405640</v>
      </c>
      <c r="BS39" s="40">
        <v>0</v>
      </c>
      <c r="BT39" s="40">
        <v>931764203</v>
      </c>
      <c r="BU39" s="40">
        <v>199796985</v>
      </c>
      <c r="BV39" s="40">
        <v>0</v>
      </c>
      <c r="BW39" s="40">
        <v>0</v>
      </c>
      <c r="BX39" s="40">
        <v>199796985</v>
      </c>
      <c r="BY39" s="40">
        <v>3910662665</v>
      </c>
      <c r="BZ39" s="40">
        <v>-158034485</v>
      </c>
      <c r="CA39" s="40">
        <v>0</v>
      </c>
      <c r="CB39" s="40">
        <v>3752628180</v>
      </c>
      <c r="CC39" s="40">
        <v>515373480</v>
      </c>
      <c r="CD39" s="40">
        <v>4467798645</v>
      </c>
      <c r="CE39" s="40">
        <v>5399562848</v>
      </c>
      <c r="CF39" s="41"/>
      <c r="CG39" s="41"/>
      <c r="CH39" s="42"/>
    </row>
    <row r="40" spans="1:86">
      <c r="A40" s="38">
        <v>34</v>
      </c>
      <c r="B40" s="65" t="s">
        <v>63</v>
      </c>
      <c r="C40" s="39" t="s">
        <v>62</v>
      </c>
      <c r="D40" s="40">
        <v>5451494</v>
      </c>
      <c r="E40" s="40">
        <v>227</v>
      </c>
      <c r="F40" s="40">
        <v>13197</v>
      </c>
      <c r="G40" s="40">
        <v>518397</v>
      </c>
      <c r="H40" s="40">
        <v>1030836</v>
      </c>
      <c r="I40" s="40">
        <v>48926</v>
      </c>
      <c r="J40" s="40">
        <v>651274</v>
      </c>
      <c r="K40" s="40">
        <v>802706</v>
      </c>
      <c r="L40" s="40">
        <v>148717</v>
      </c>
      <c r="M40" s="40">
        <v>520323</v>
      </c>
      <c r="N40" s="40">
        <v>396886</v>
      </c>
      <c r="O40" s="40">
        <v>0</v>
      </c>
      <c r="P40" s="40">
        <v>657</v>
      </c>
      <c r="Q40" s="40">
        <v>0</v>
      </c>
      <c r="R40" s="40">
        <v>0</v>
      </c>
      <c r="S40" s="40">
        <v>3388</v>
      </c>
      <c r="T40" s="40">
        <v>3068</v>
      </c>
      <c r="U40" s="40">
        <v>923</v>
      </c>
      <c r="V40" s="40">
        <v>138301</v>
      </c>
      <c r="W40" s="40">
        <v>27</v>
      </c>
      <c r="X40" s="40">
        <v>7045</v>
      </c>
      <c r="Y40" s="40">
        <v>0</v>
      </c>
      <c r="Z40" s="40">
        <v>796</v>
      </c>
      <c r="AA40" s="40">
        <v>40356</v>
      </c>
      <c r="AB40" s="40">
        <v>19328</v>
      </c>
      <c r="AC40" s="40">
        <v>0</v>
      </c>
      <c r="AD40" s="40">
        <v>0</v>
      </c>
      <c r="AE40" s="40">
        <v>37331</v>
      </c>
      <c r="AF40" s="40">
        <v>0</v>
      </c>
      <c r="AG40" s="40">
        <v>687</v>
      </c>
      <c r="AH40" s="40">
        <v>0</v>
      </c>
      <c r="AI40" s="40">
        <v>654</v>
      </c>
      <c r="AJ40" s="40">
        <v>3158</v>
      </c>
      <c r="AK40" s="40">
        <v>287838775</v>
      </c>
      <c r="AL40" s="40">
        <v>0</v>
      </c>
      <c r="AM40" s="40">
        <v>0</v>
      </c>
      <c r="AN40" s="40">
        <v>0</v>
      </c>
      <c r="AO40" s="40">
        <v>10864568</v>
      </c>
      <c r="AP40" s="40">
        <v>544141</v>
      </c>
      <c r="AQ40" s="40">
        <v>1634</v>
      </c>
      <c r="AR40" s="40">
        <v>54344</v>
      </c>
      <c r="AS40" s="40">
        <v>863558</v>
      </c>
      <c r="AT40" s="40">
        <v>5577917</v>
      </c>
      <c r="AU40" s="40">
        <v>684784372</v>
      </c>
      <c r="AV40" s="40">
        <v>3195421</v>
      </c>
      <c r="AW40" s="40">
        <v>1341940</v>
      </c>
      <c r="AX40" s="40">
        <v>11443457</v>
      </c>
      <c r="AY40" s="40">
        <v>0</v>
      </c>
      <c r="AZ40" s="40">
        <v>56609</v>
      </c>
      <c r="BA40" s="40">
        <v>6486311</v>
      </c>
      <c r="BB40" s="40">
        <v>204607</v>
      </c>
      <c r="BC40" s="40">
        <v>0</v>
      </c>
      <c r="BD40" s="40">
        <v>3819280</v>
      </c>
      <c r="BE40" s="40">
        <v>217062</v>
      </c>
      <c r="BF40" s="40">
        <v>0</v>
      </c>
      <c r="BG40" s="40">
        <v>77513</v>
      </c>
      <c r="BH40" s="40">
        <v>245612</v>
      </c>
      <c r="BI40" s="40">
        <v>104804</v>
      </c>
      <c r="BJ40" s="40">
        <v>2292978</v>
      </c>
      <c r="BK40" s="40">
        <v>2456892</v>
      </c>
      <c r="BL40" s="40">
        <v>3642864</v>
      </c>
      <c r="BM40" s="40">
        <v>6277663</v>
      </c>
      <c r="BN40" s="40">
        <v>5197795</v>
      </c>
      <c r="BO40" s="40">
        <v>5514824</v>
      </c>
      <c r="BP40" s="40">
        <v>352589</v>
      </c>
      <c r="BQ40" s="40">
        <v>279899</v>
      </c>
      <c r="BR40" s="40">
        <v>148803</v>
      </c>
      <c r="BS40" s="40">
        <v>0</v>
      </c>
      <c r="BT40" s="40">
        <v>1053724934</v>
      </c>
      <c r="BU40" s="40">
        <v>3382770359</v>
      </c>
      <c r="BV40" s="40">
        <v>0</v>
      </c>
      <c r="BW40" s="40">
        <v>0</v>
      </c>
      <c r="BX40" s="40">
        <v>3382770359</v>
      </c>
      <c r="BY40" s="40">
        <v>3580309061</v>
      </c>
      <c r="BZ40" s="40">
        <v>-401230575</v>
      </c>
      <c r="CA40" s="40">
        <v>0</v>
      </c>
      <c r="CB40" s="40">
        <v>3179078486</v>
      </c>
      <c r="CC40" s="40">
        <v>127485797</v>
      </c>
      <c r="CD40" s="40">
        <v>6689334642</v>
      </c>
      <c r="CE40" s="40">
        <v>7743059576</v>
      </c>
      <c r="CF40" s="41"/>
      <c r="CG40" s="41"/>
      <c r="CH40" s="42"/>
    </row>
    <row r="41" spans="1:86">
      <c r="A41" s="38">
        <v>35</v>
      </c>
      <c r="B41" s="65" t="s">
        <v>61</v>
      </c>
      <c r="C41" s="39" t="s">
        <v>60</v>
      </c>
      <c r="D41" s="40">
        <v>5182</v>
      </c>
      <c r="E41" s="40">
        <v>0</v>
      </c>
      <c r="F41" s="40">
        <v>0</v>
      </c>
      <c r="G41" s="40">
        <v>558331</v>
      </c>
      <c r="H41" s="40">
        <v>14237</v>
      </c>
      <c r="I41" s="40">
        <v>666</v>
      </c>
      <c r="J41" s="40">
        <v>622782</v>
      </c>
      <c r="K41" s="40">
        <v>34688</v>
      </c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24291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34564</v>
      </c>
      <c r="AF41" s="40">
        <v>555</v>
      </c>
      <c r="AG41" s="40">
        <v>0</v>
      </c>
      <c r="AH41" s="40">
        <v>0</v>
      </c>
      <c r="AI41" s="40">
        <v>1152</v>
      </c>
      <c r="AJ41" s="40">
        <v>9733</v>
      </c>
      <c r="AK41" s="40">
        <v>0</v>
      </c>
      <c r="AL41" s="40">
        <v>42577324</v>
      </c>
      <c r="AM41" s="40">
        <v>0</v>
      </c>
      <c r="AN41" s="40">
        <v>0</v>
      </c>
      <c r="AO41" s="40">
        <v>1015498</v>
      </c>
      <c r="AP41" s="40">
        <v>7826</v>
      </c>
      <c r="AQ41" s="40">
        <v>0</v>
      </c>
      <c r="AR41" s="40">
        <v>2485</v>
      </c>
      <c r="AS41" s="40">
        <v>0</v>
      </c>
      <c r="AT41" s="40">
        <v>503</v>
      </c>
      <c r="AU41" s="40">
        <v>0</v>
      </c>
      <c r="AV41" s="40">
        <v>0</v>
      </c>
      <c r="AW41" s="40">
        <v>890913</v>
      </c>
      <c r="AX41" s="40">
        <v>93840097</v>
      </c>
      <c r="AY41" s="40">
        <v>0</v>
      </c>
      <c r="AZ41" s="40">
        <v>18533773</v>
      </c>
      <c r="BA41" s="40">
        <v>6529856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2163</v>
      </c>
      <c r="BL41" s="40">
        <v>6037672</v>
      </c>
      <c r="BM41" s="40">
        <v>2377178</v>
      </c>
      <c r="BN41" s="40">
        <v>1445355</v>
      </c>
      <c r="BO41" s="40">
        <v>2476345</v>
      </c>
      <c r="BP41" s="40">
        <v>2375</v>
      </c>
      <c r="BQ41" s="40">
        <v>3166704</v>
      </c>
      <c r="BR41" s="40">
        <v>0</v>
      </c>
      <c r="BS41" s="40">
        <v>0</v>
      </c>
      <c r="BT41" s="40">
        <v>180212248</v>
      </c>
      <c r="BU41" s="40">
        <v>94360700</v>
      </c>
      <c r="BV41" s="40">
        <v>0</v>
      </c>
      <c r="BW41" s="40">
        <v>0</v>
      </c>
      <c r="BX41" s="40">
        <v>94360700</v>
      </c>
      <c r="BY41" s="40">
        <v>2586511840</v>
      </c>
      <c r="BZ41" s="40">
        <v>750170</v>
      </c>
      <c r="CA41" s="40">
        <v>0</v>
      </c>
      <c r="CB41" s="40">
        <v>2587262010</v>
      </c>
      <c r="CC41" s="40">
        <v>572057888</v>
      </c>
      <c r="CD41" s="40">
        <v>3253680598</v>
      </c>
      <c r="CE41" s="40">
        <v>3433892846</v>
      </c>
      <c r="CF41" s="41"/>
      <c r="CG41" s="41"/>
      <c r="CH41" s="42"/>
    </row>
    <row r="42" spans="1:86">
      <c r="A42" s="38">
        <v>36</v>
      </c>
      <c r="B42" s="65" t="s">
        <v>59</v>
      </c>
      <c r="C42" s="39" t="s">
        <v>58</v>
      </c>
      <c r="D42" s="40">
        <v>6541</v>
      </c>
      <c r="E42" s="40">
        <v>10</v>
      </c>
      <c r="F42" s="40">
        <v>0</v>
      </c>
      <c r="G42" s="40">
        <v>0</v>
      </c>
      <c r="H42" s="40">
        <v>1416</v>
      </c>
      <c r="I42" s="40">
        <v>67</v>
      </c>
      <c r="J42" s="40">
        <v>0</v>
      </c>
      <c r="K42" s="40">
        <v>9</v>
      </c>
      <c r="L42" s="40">
        <v>0</v>
      </c>
      <c r="M42" s="40">
        <v>0</v>
      </c>
      <c r="N42" s="40">
        <v>8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40">
        <v>0</v>
      </c>
      <c r="W42" s="40">
        <v>0</v>
      </c>
      <c r="X42" s="40">
        <v>8</v>
      </c>
      <c r="Y42" s="40">
        <v>0</v>
      </c>
      <c r="Z42" s="40">
        <v>0</v>
      </c>
      <c r="AA42" s="40">
        <v>48</v>
      </c>
      <c r="AB42" s="40">
        <v>60</v>
      </c>
      <c r="AC42" s="40">
        <v>0</v>
      </c>
      <c r="AD42" s="40">
        <v>0</v>
      </c>
      <c r="AE42" s="40">
        <v>0</v>
      </c>
      <c r="AF42" s="40">
        <v>0</v>
      </c>
      <c r="AG42" s="40">
        <v>27170</v>
      </c>
      <c r="AH42" s="40">
        <v>0</v>
      </c>
      <c r="AI42" s="40">
        <v>5</v>
      </c>
      <c r="AJ42" s="40">
        <v>0</v>
      </c>
      <c r="AK42" s="40">
        <v>0</v>
      </c>
      <c r="AL42" s="40">
        <v>0</v>
      </c>
      <c r="AM42" s="40">
        <v>0</v>
      </c>
      <c r="AN42" s="40">
        <v>0</v>
      </c>
      <c r="AO42" s="40">
        <v>0</v>
      </c>
      <c r="AP42" s="40">
        <v>7304</v>
      </c>
      <c r="AQ42" s="40">
        <v>0</v>
      </c>
      <c r="AR42" s="40">
        <v>0</v>
      </c>
      <c r="AS42" s="40">
        <v>1110</v>
      </c>
      <c r="AT42" s="40">
        <v>194665</v>
      </c>
      <c r="AU42" s="40">
        <v>0</v>
      </c>
      <c r="AV42" s="40">
        <v>30970</v>
      </c>
      <c r="AW42" s="40">
        <v>9402</v>
      </c>
      <c r="AX42" s="40">
        <v>636</v>
      </c>
      <c r="AY42" s="40">
        <v>0</v>
      </c>
      <c r="AZ42" s="40">
        <v>0</v>
      </c>
      <c r="BA42" s="40">
        <v>44</v>
      </c>
      <c r="BB42" s="40">
        <v>0</v>
      </c>
      <c r="BC42" s="40">
        <v>1182870</v>
      </c>
      <c r="BD42" s="40">
        <v>1174578</v>
      </c>
      <c r="BE42" s="40">
        <v>643</v>
      </c>
      <c r="BF42" s="40">
        <v>0</v>
      </c>
      <c r="BG42" s="40">
        <v>5078</v>
      </c>
      <c r="BH42" s="40">
        <v>0</v>
      </c>
      <c r="BI42" s="40">
        <v>0</v>
      </c>
      <c r="BJ42" s="40">
        <v>92223</v>
      </c>
      <c r="BK42" s="40">
        <v>11006</v>
      </c>
      <c r="BL42" s="40">
        <v>242167</v>
      </c>
      <c r="BM42" s="40">
        <v>3043938</v>
      </c>
      <c r="BN42" s="40">
        <v>4854616</v>
      </c>
      <c r="BO42" s="40">
        <v>896672</v>
      </c>
      <c r="BP42" s="40">
        <v>336078</v>
      </c>
      <c r="BQ42" s="40">
        <v>1020643</v>
      </c>
      <c r="BR42" s="40">
        <v>89545</v>
      </c>
      <c r="BS42" s="40">
        <v>0</v>
      </c>
      <c r="BT42" s="40">
        <v>13229530</v>
      </c>
      <c r="BU42" s="40">
        <v>323418716</v>
      </c>
      <c r="BV42" s="40">
        <v>0</v>
      </c>
      <c r="BW42" s="40">
        <v>0</v>
      </c>
      <c r="BX42" s="40">
        <v>323418716</v>
      </c>
      <c r="BY42" s="40">
        <v>344844487</v>
      </c>
      <c r="BZ42" s="40">
        <v>-1978330</v>
      </c>
      <c r="CA42" s="40">
        <v>0</v>
      </c>
      <c r="CB42" s="40">
        <v>342866157</v>
      </c>
      <c r="CC42" s="40">
        <v>8276342</v>
      </c>
      <c r="CD42" s="40">
        <v>674561215</v>
      </c>
      <c r="CE42" s="40">
        <v>687790745</v>
      </c>
      <c r="CF42" s="41"/>
      <c r="CG42" s="41"/>
      <c r="CH42" s="42"/>
    </row>
    <row r="43" spans="1:86">
      <c r="A43" s="38">
        <v>37</v>
      </c>
      <c r="B43" s="65" t="s">
        <v>57</v>
      </c>
      <c r="C43" s="39" t="s">
        <v>56</v>
      </c>
      <c r="D43" s="40">
        <v>325582</v>
      </c>
      <c r="E43" s="40">
        <v>13</v>
      </c>
      <c r="F43" s="40">
        <v>0</v>
      </c>
      <c r="G43" s="40">
        <v>0</v>
      </c>
      <c r="H43" s="40">
        <v>307422</v>
      </c>
      <c r="I43" s="40">
        <v>14538</v>
      </c>
      <c r="J43" s="40">
        <v>0</v>
      </c>
      <c r="K43" s="40">
        <v>14143</v>
      </c>
      <c r="L43" s="40">
        <v>3</v>
      </c>
      <c r="M43" s="40">
        <v>411</v>
      </c>
      <c r="N43" s="40">
        <v>165540</v>
      </c>
      <c r="O43" s="40">
        <v>0</v>
      </c>
      <c r="P43" s="40">
        <v>48</v>
      </c>
      <c r="Q43" s="40">
        <v>5692701</v>
      </c>
      <c r="R43" s="40">
        <v>40744</v>
      </c>
      <c r="S43" s="40">
        <v>0</v>
      </c>
      <c r="T43" s="40">
        <v>0</v>
      </c>
      <c r="U43" s="40">
        <v>0</v>
      </c>
      <c r="V43" s="40">
        <v>0</v>
      </c>
      <c r="W43" s="40">
        <v>67716</v>
      </c>
      <c r="X43" s="40">
        <v>1455</v>
      </c>
      <c r="Y43" s="40">
        <v>366180</v>
      </c>
      <c r="Z43" s="40">
        <v>128289</v>
      </c>
      <c r="AA43" s="40">
        <v>2091603</v>
      </c>
      <c r="AB43" s="40">
        <v>459</v>
      </c>
      <c r="AC43" s="40">
        <v>0</v>
      </c>
      <c r="AD43" s="40">
        <v>0</v>
      </c>
      <c r="AE43" s="40">
        <v>679</v>
      </c>
      <c r="AF43" s="40">
        <v>0</v>
      </c>
      <c r="AG43" s="40">
        <v>16</v>
      </c>
      <c r="AH43" s="40">
        <v>669013</v>
      </c>
      <c r="AI43" s="40">
        <v>43</v>
      </c>
      <c r="AJ43" s="40">
        <v>511</v>
      </c>
      <c r="AK43" s="40">
        <v>0</v>
      </c>
      <c r="AL43" s="40">
        <v>0</v>
      </c>
      <c r="AM43" s="40">
        <v>0</v>
      </c>
      <c r="AN43" s="40">
        <v>862540</v>
      </c>
      <c r="AO43" s="40">
        <v>3254</v>
      </c>
      <c r="AP43" s="40">
        <v>11962</v>
      </c>
      <c r="AQ43" s="40">
        <v>0</v>
      </c>
      <c r="AR43" s="40">
        <v>426</v>
      </c>
      <c r="AS43" s="40">
        <v>4396</v>
      </c>
      <c r="AT43" s="40">
        <v>528079</v>
      </c>
      <c r="AU43" s="40">
        <v>757863</v>
      </c>
      <c r="AV43" s="40">
        <v>335456</v>
      </c>
      <c r="AW43" s="40">
        <v>2530704</v>
      </c>
      <c r="AX43" s="40">
        <v>893392</v>
      </c>
      <c r="AY43" s="40">
        <v>0</v>
      </c>
      <c r="AZ43" s="40">
        <v>0</v>
      </c>
      <c r="BA43" s="40">
        <v>250021</v>
      </c>
      <c r="BB43" s="40">
        <v>0</v>
      </c>
      <c r="BC43" s="40">
        <v>10050</v>
      </c>
      <c r="BD43" s="40">
        <v>1936261</v>
      </c>
      <c r="BE43" s="40">
        <v>288971</v>
      </c>
      <c r="BF43" s="40">
        <v>351991</v>
      </c>
      <c r="BG43" s="40">
        <v>7244347</v>
      </c>
      <c r="BH43" s="40">
        <v>762757</v>
      </c>
      <c r="BI43" s="40">
        <v>150013</v>
      </c>
      <c r="BJ43" s="40">
        <v>1423565</v>
      </c>
      <c r="BK43" s="40">
        <v>6093441</v>
      </c>
      <c r="BL43" s="40">
        <v>21610358</v>
      </c>
      <c r="BM43" s="40">
        <v>19875069</v>
      </c>
      <c r="BN43" s="40">
        <v>21056630</v>
      </c>
      <c r="BO43" s="40">
        <v>25860385</v>
      </c>
      <c r="BP43" s="40">
        <v>324043</v>
      </c>
      <c r="BQ43" s="40">
        <v>23673051</v>
      </c>
      <c r="BR43" s="40">
        <v>4591627</v>
      </c>
      <c r="BS43" s="40">
        <v>0</v>
      </c>
      <c r="BT43" s="40">
        <v>151317761</v>
      </c>
      <c r="BU43" s="40">
        <v>774783407</v>
      </c>
      <c r="BV43" s="40">
        <v>0</v>
      </c>
      <c r="BW43" s="40">
        <v>0</v>
      </c>
      <c r="BX43" s="40">
        <v>774783407</v>
      </c>
      <c r="BY43" s="40">
        <v>613898175</v>
      </c>
      <c r="BZ43" s="40">
        <v>523405</v>
      </c>
      <c r="CA43" s="40">
        <v>3130957</v>
      </c>
      <c r="CB43" s="40">
        <v>617552537</v>
      </c>
      <c r="CC43" s="40">
        <v>124547901</v>
      </c>
      <c r="CD43" s="40">
        <v>1516883845</v>
      </c>
      <c r="CE43" s="40">
        <v>1668201606</v>
      </c>
      <c r="CF43" s="41"/>
      <c r="CG43" s="41"/>
      <c r="CH43" s="42"/>
    </row>
    <row r="44" spans="1:86" ht="22.5">
      <c r="A44" s="38">
        <v>38</v>
      </c>
      <c r="B44" s="65" t="s">
        <v>55</v>
      </c>
      <c r="C44" s="39" t="s">
        <v>136</v>
      </c>
      <c r="D44" s="40">
        <v>2081740</v>
      </c>
      <c r="E44" s="40">
        <v>0</v>
      </c>
      <c r="F44" s="40">
        <v>0</v>
      </c>
      <c r="G44" s="40">
        <v>1002409</v>
      </c>
      <c r="H44" s="40">
        <v>470169423</v>
      </c>
      <c r="I44" s="40">
        <v>2452863</v>
      </c>
      <c r="J44" s="40">
        <v>3990</v>
      </c>
      <c r="K44" s="40">
        <v>4554556</v>
      </c>
      <c r="L44" s="40">
        <v>3608258</v>
      </c>
      <c r="M44" s="40">
        <v>1463511</v>
      </c>
      <c r="N44" s="40">
        <v>668980</v>
      </c>
      <c r="O44" s="40">
        <v>0</v>
      </c>
      <c r="P44" s="40">
        <v>19129</v>
      </c>
      <c r="Q44" s="40">
        <v>922</v>
      </c>
      <c r="R44" s="40">
        <v>205</v>
      </c>
      <c r="S44" s="40">
        <v>0</v>
      </c>
      <c r="T44" s="40">
        <v>534755</v>
      </c>
      <c r="U44" s="40">
        <v>12815</v>
      </c>
      <c r="V44" s="40">
        <v>0</v>
      </c>
      <c r="W44" s="40">
        <v>12348387</v>
      </c>
      <c r="X44" s="40">
        <v>244751</v>
      </c>
      <c r="Y44" s="40">
        <v>0</v>
      </c>
      <c r="Z44" s="40">
        <v>2585</v>
      </c>
      <c r="AA44" s="40">
        <v>7768737</v>
      </c>
      <c r="AB44" s="40">
        <v>317106</v>
      </c>
      <c r="AC44" s="40">
        <v>0</v>
      </c>
      <c r="AD44" s="40">
        <v>559</v>
      </c>
      <c r="AE44" s="40">
        <v>777217</v>
      </c>
      <c r="AF44" s="40">
        <v>0</v>
      </c>
      <c r="AG44" s="40">
        <v>43718</v>
      </c>
      <c r="AH44" s="40">
        <v>0</v>
      </c>
      <c r="AI44" s="40">
        <v>14224</v>
      </c>
      <c r="AJ44" s="40">
        <v>118735</v>
      </c>
      <c r="AK44" s="40">
        <v>0</v>
      </c>
      <c r="AL44" s="40">
        <v>0</v>
      </c>
      <c r="AM44" s="40">
        <v>0</v>
      </c>
      <c r="AN44" s="40">
        <v>2784</v>
      </c>
      <c r="AO44" s="40">
        <v>8566800</v>
      </c>
      <c r="AP44" s="40">
        <v>33814458</v>
      </c>
      <c r="AQ44" s="40">
        <v>1503211</v>
      </c>
      <c r="AR44" s="40">
        <v>24218094</v>
      </c>
      <c r="AS44" s="40">
        <v>217943</v>
      </c>
      <c r="AT44" s="40">
        <v>2127376</v>
      </c>
      <c r="AU44" s="40">
        <v>5314581</v>
      </c>
      <c r="AV44" s="40">
        <v>48164432</v>
      </c>
      <c r="AW44" s="40">
        <v>24285539</v>
      </c>
      <c r="AX44" s="40">
        <v>484963822</v>
      </c>
      <c r="AY44" s="40">
        <v>3917405</v>
      </c>
      <c r="AZ44" s="40">
        <v>1573934</v>
      </c>
      <c r="BA44" s="40">
        <v>7652491</v>
      </c>
      <c r="BB44" s="40">
        <v>0</v>
      </c>
      <c r="BC44" s="40">
        <v>865805</v>
      </c>
      <c r="BD44" s="40">
        <v>2081538</v>
      </c>
      <c r="BE44" s="40">
        <v>2940293</v>
      </c>
      <c r="BF44" s="40">
        <v>22459482</v>
      </c>
      <c r="BG44" s="40">
        <v>1403472</v>
      </c>
      <c r="BH44" s="40">
        <v>614214</v>
      </c>
      <c r="BI44" s="40">
        <v>2983519</v>
      </c>
      <c r="BJ44" s="40">
        <v>3100139</v>
      </c>
      <c r="BK44" s="40">
        <v>8296009</v>
      </c>
      <c r="BL44" s="40">
        <v>3691487</v>
      </c>
      <c r="BM44" s="40">
        <v>92468319</v>
      </c>
      <c r="BN44" s="40">
        <v>65901344</v>
      </c>
      <c r="BO44" s="40">
        <v>100052950</v>
      </c>
      <c r="BP44" s="40">
        <v>672087</v>
      </c>
      <c r="BQ44" s="40">
        <v>508203</v>
      </c>
      <c r="BR44" s="40">
        <v>2811729</v>
      </c>
      <c r="BS44" s="40">
        <v>0</v>
      </c>
      <c r="BT44" s="40">
        <v>1465383035</v>
      </c>
      <c r="BU44" s="40">
        <v>0</v>
      </c>
      <c r="BV44" s="40">
        <v>0</v>
      </c>
      <c r="BW44" s="40">
        <v>0</v>
      </c>
      <c r="BX44" s="40">
        <v>0</v>
      </c>
      <c r="BY44" s="40">
        <v>0</v>
      </c>
      <c r="BZ44" s="40">
        <v>0</v>
      </c>
      <c r="CA44" s="40">
        <v>0</v>
      </c>
      <c r="CB44" s="40">
        <v>0</v>
      </c>
      <c r="CC44" s="40">
        <v>30745329</v>
      </c>
      <c r="CD44" s="40">
        <v>30745329</v>
      </c>
      <c r="CE44" s="40">
        <v>1496128364</v>
      </c>
      <c r="CF44" s="41"/>
      <c r="CG44" s="41"/>
      <c r="CH44" s="42"/>
    </row>
    <row r="45" spans="1:86" ht="22.5">
      <c r="A45" s="38">
        <v>39</v>
      </c>
      <c r="B45" s="65" t="s">
        <v>54</v>
      </c>
      <c r="C45" s="39" t="s">
        <v>53</v>
      </c>
      <c r="D45" s="40">
        <v>11883335</v>
      </c>
      <c r="E45" s="40">
        <v>2507</v>
      </c>
      <c r="F45" s="40">
        <v>18031</v>
      </c>
      <c r="G45" s="40">
        <v>1433575</v>
      </c>
      <c r="H45" s="40">
        <v>60943228</v>
      </c>
      <c r="I45" s="40">
        <v>1574955</v>
      </c>
      <c r="J45" s="40">
        <v>17228</v>
      </c>
      <c r="K45" s="40">
        <v>4668615</v>
      </c>
      <c r="L45" s="40">
        <v>1831988</v>
      </c>
      <c r="M45" s="40">
        <v>267540</v>
      </c>
      <c r="N45" s="40">
        <v>9072380</v>
      </c>
      <c r="O45" s="40">
        <v>17237019</v>
      </c>
      <c r="P45" s="40">
        <v>136496</v>
      </c>
      <c r="Q45" s="40">
        <v>76648</v>
      </c>
      <c r="R45" s="40">
        <v>10635</v>
      </c>
      <c r="S45" s="40">
        <v>15980</v>
      </c>
      <c r="T45" s="40">
        <v>289039</v>
      </c>
      <c r="U45" s="40">
        <v>48730</v>
      </c>
      <c r="V45" s="40">
        <v>1002994</v>
      </c>
      <c r="W45" s="40">
        <v>44274622</v>
      </c>
      <c r="X45" s="40">
        <v>636638</v>
      </c>
      <c r="Y45" s="40">
        <v>462414</v>
      </c>
      <c r="Z45" s="40">
        <v>328206</v>
      </c>
      <c r="AA45" s="40">
        <v>6027691</v>
      </c>
      <c r="AB45" s="40">
        <v>1433307</v>
      </c>
      <c r="AC45" s="40">
        <v>9065</v>
      </c>
      <c r="AD45" s="40">
        <v>8356</v>
      </c>
      <c r="AE45" s="40">
        <v>579957</v>
      </c>
      <c r="AF45" s="40">
        <v>72859</v>
      </c>
      <c r="AG45" s="40">
        <v>66914</v>
      </c>
      <c r="AH45" s="40">
        <v>201350</v>
      </c>
      <c r="AI45" s="40">
        <v>10195</v>
      </c>
      <c r="AJ45" s="40">
        <v>83517</v>
      </c>
      <c r="AK45" s="40">
        <v>235313</v>
      </c>
      <c r="AL45" s="40">
        <v>248218</v>
      </c>
      <c r="AM45" s="40">
        <v>219665</v>
      </c>
      <c r="AN45" s="40">
        <v>11057</v>
      </c>
      <c r="AO45" s="40">
        <v>336314</v>
      </c>
      <c r="AP45" s="40">
        <v>288360451</v>
      </c>
      <c r="AQ45" s="40">
        <v>18353</v>
      </c>
      <c r="AR45" s="40">
        <v>7616164</v>
      </c>
      <c r="AS45" s="40">
        <v>2909479</v>
      </c>
      <c r="AT45" s="40">
        <v>4940725</v>
      </c>
      <c r="AU45" s="40">
        <v>1821984</v>
      </c>
      <c r="AV45" s="40">
        <v>31233515</v>
      </c>
      <c r="AW45" s="40">
        <v>31335531</v>
      </c>
      <c r="AX45" s="40">
        <v>31448128</v>
      </c>
      <c r="AY45" s="40">
        <v>85536</v>
      </c>
      <c r="AZ45" s="40">
        <v>55930</v>
      </c>
      <c r="BA45" s="40">
        <v>24472476</v>
      </c>
      <c r="BB45" s="40">
        <v>1808</v>
      </c>
      <c r="BC45" s="40">
        <v>8616349</v>
      </c>
      <c r="BD45" s="40">
        <v>3050384</v>
      </c>
      <c r="BE45" s="40">
        <v>265417859</v>
      </c>
      <c r="BF45" s="40">
        <v>28688706</v>
      </c>
      <c r="BG45" s="40">
        <v>15609444</v>
      </c>
      <c r="BH45" s="40">
        <v>15487375</v>
      </c>
      <c r="BI45" s="40">
        <v>15110379</v>
      </c>
      <c r="BJ45" s="40">
        <v>36292576</v>
      </c>
      <c r="BK45" s="40">
        <v>9244358</v>
      </c>
      <c r="BL45" s="40">
        <v>107689003</v>
      </c>
      <c r="BM45" s="40">
        <v>160425828</v>
      </c>
      <c r="BN45" s="40">
        <v>320182680</v>
      </c>
      <c r="BO45" s="40">
        <v>81083260</v>
      </c>
      <c r="BP45" s="40">
        <v>1756570</v>
      </c>
      <c r="BQ45" s="40">
        <v>17433379</v>
      </c>
      <c r="BR45" s="40">
        <v>7742451</v>
      </c>
      <c r="BS45" s="40">
        <v>0</v>
      </c>
      <c r="BT45" s="40">
        <v>1683907262</v>
      </c>
      <c r="BU45" s="40">
        <v>1234399448</v>
      </c>
      <c r="BV45" s="40">
        <v>0</v>
      </c>
      <c r="BW45" s="40">
        <v>0</v>
      </c>
      <c r="BX45" s="40">
        <v>1234399448</v>
      </c>
      <c r="BY45" s="40">
        <v>0</v>
      </c>
      <c r="BZ45" s="40">
        <v>0</v>
      </c>
      <c r="CA45" s="40">
        <v>0</v>
      </c>
      <c r="CB45" s="40">
        <v>0</v>
      </c>
      <c r="CC45" s="40">
        <v>66454626</v>
      </c>
      <c r="CD45" s="40">
        <v>1300854074</v>
      </c>
      <c r="CE45" s="40">
        <v>2984761336</v>
      </c>
      <c r="CF45" s="41"/>
      <c r="CG45" s="41"/>
      <c r="CH45" s="42"/>
    </row>
    <row r="46" spans="1:86" ht="33.75">
      <c r="A46" s="38">
        <v>40</v>
      </c>
      <c r="B46" s="65" t="s">
        <v>52</v>
      </c>
      <c r="C46" s="39" t="s">
        <v>51</v>
      </c>
      <c r="D46" s="40">
        <v>115747</v>
      </c>
      <c r="E46" s="40">
        <v>0</v>
      </c>
      <c r="F46" s="40">
        <v>0</v>
      </c>
      <c r="G46" s="40">
        <v>0</v>
      </c>
      <c r="H46" s="40">
        <v>16632179</v>
      </c>
      <c r="I46" s="40">
        <v>0</v>
      </c>
      <c r="J46" s="40">
        <v>0</v>
      </c>
      <c r="K46" s="40">
        <v>0</v>
      </c>
      <c r="L46" s="40">
        <v>66</v>
      </c>
      <c r="M46" s="40">
        <v>119</v>
      </c>
      <c r="N46" s="40">
        <v>301120</v>
      </c>
      <c r="O46" s="40">
        <v>0</v>
      </c>
      <c r="P46" s="40">
        <v>598</v>
      </c>
      <c r="Q46" s="40">
        <v>0</v>
      </c>
      <c r="R46" s="40">
        <v>0</v>
      </c>
      <c r="S46" s="40">
        <v>0</v>
      </c>
      <c r="T46" s="40">
        <v>0</v>
      </c>
      <c r="U46" s="40">
        <v>1397</v>
      </c>
      <c r="V46" s="40">
        <v>0</v>
      </c>
      <c r="W46" s="40">
        <v>8890571</v>
      </c>
      <c r="X46" s="40">
        <v>46737</v>
      </c>
      <c r="Y46" s="40">
        <v>0</v>
      </c>
      <c r="Z46" s="40">
        <v>487</v>
      </c>
      <c r="AA46" s="40">
        <v>37540</v>
      </c>
      <c r="AB46" s="40">
        <v>0</v>
      </c>
      <c r="AC46" s="40">
        <v>0</v>
      </c>
      <c r="AD46" s="40">
        <v>354</v>
      </c>
      <c r="AE46" s="40">
        <v>0</v>
      </c>
      <c r="AF46" s="40">
        <v>0</v>
      </c>
      <c r="AG46" s="40">
        <v>0</v>
      </c>
      <c r="AH46" s="40">
        <v>0</v>
      </c>
      <c r="AI46" s="40">
        <v>29</v>
      </c>
      <c r="AJ46" s="40">
        <v>2070</v>
      </c>
      <c r="AK46" s="40">
        <v>0</v>
      </c>
      <c r="AL46" s="40">
        <v>16996</v>
      </c>
      <c r="AM46" s="40">
        <v>16201</v>
      </c>
      <c r="AN46" s="40">
        <v>0</v>
      </c>
      <c r="AO46" s="40">
        <v>2194</v>
      </c>
      <c r="AP46" s="40">
        <v>0</v>
      </c>
      <c r="AQ46" s="40">
        <v>0</v>
      </c>
      <c r="AR46" s="40">
        <v>937267</v>
      </c>
      <c r="AS46" s="40">
        <v>3381</v>
      </c>
      <c r="AT46" s="40">
        <v>75844</v>
      </c>
      <c r="AU46" s="40">
        <v>10781</v>
      </c>
      <c r="AV46" s="40">
        <v>6435862</v>
      </c>
      <c r="AW46" s="40">
        <v>6531249</v>
      </c>
      <c r="AX46" s="40">
        <v>1230</v>
      </c>
      <c r="AY46" s="40">
        <v>0</v>
      </c>
      <c r="AZ46" s="40">
        <v>0</v>
      </c>
      <c r="BA46" s="40">
        <v>0</v>
      </c>
      <c r="BB46" s="40">
        <v>135369</v>
      </c>
      <c r="BC46" s="40">
        <v>3344</v>
      </c>
      <c r="BD46" s="40">
        <v>0</v>
      </c>
      <c r="BE46" s="40">
        <v>85517</v>
      </c>
      <c r="BF46" s="40">
        <v>0</v>
      </c>
      <c r="BG46" s="40">
        <v>0</v>
      </c>
      <c r="BH46" s="40">
        <v>0</v>
      </c>
      <c r="BI46" s="40">
        <v>0</v>
      </c>
      <c r="BJ46" s="40">
        <v>122254</v>
      </c>
      <c r="BK46" s="40">
        <v>51341</v>
      </c>
      <c r="BL46" s="40">
        <v>8405</v>
      </c>
      <c r="BM46" s="40">
        <v>7710435</v>
      </c>
      <c r="BN46" s="40">
        <v>66475669</v>
      </c>
      <c r="BO46" s="40">
        <v>15633096</v>
      </c>
      <c r="BP46" s="40">
        <v>70503</v>
      </c>
      <c r="BQ46" s="40">
        <v>245661</v>
      </c>
      <c r="BR46" s="40">
        <v>13410398</v>
      </c>
      <c r="BS46" s="40">
        <v>0</v>
      </c>
      <c r="BT46" s="40">
        <v>144012011</v>
      </c>
      <c r="BU46" s="40">
        <v>226463078</v>
      </c>
      <c r="BV46" s="40">
        <v>0</v>
      </c>
      <c r="BW46" s="40">
        <v>0</v>
      </c>
      <c r="BX46" s="40">
        <v>226463078</v>
      </c>
      <c r="BY46" s="40">
        <v>0</v>
      </c>
      <c r="BZ46" s="40">
        <v>0</v>
      </c>
      <c r="CA46" s="40">
        <v>0</v>
      </c>
      <c r="CB46" s="40">
        <v>0</v>
      </c>
      <c r="CC46" s="40">
        <v>13235357</v>
      </c>
      <c r="CD46" s="40">
        <v>239698435</v>
      </c>
      <c r="CE46" s="40">
        <v>383710446</v>
      </c>
      <c r="CF46" s="41"/>
      <c r="CG46" s="41"/>
      <c r="CH46" s="42"/>
    </row>
    <row r="47" spans="1:86" ht="22.5">
      <c r="A47" s="38">
        <v>41</v>
      </c>
      <c r="B47" s="65" t="s">
        <v>50</v>
      </c>
      <c r="C47" s="39" t="s">
        <v>49</v>
      </c>
      <c r="D47" s="40">
        <v>1494971</v>
      </c>
      <c r="E47" s="40">
        <v>745</v>
      </c>
      <c r="F47" s="40">
        <v>0</v>
      </c>
      <c r="G47" s="40">
        <v>11455</v>
      </c>
      <c r="H47" s="40">
        <v>243893</v>
      </c>
      <c r="I47" s="40">
        <v>11580</v>
      </c>
      <c r="J47" s="40">
        <v>0</v>
      </c>
      <c r="K47" s="40">
        <v>168988</v>
      </c>
      <c r="L47" s="40">
        <v>1777</v>
      </c>
      <c r="M47" s="40">
        <v>0</v>
      </c>
      <c r="N47" s="40">
        <v>121306</v>
      </c>
      <c r="O47" s="40">
        <v>0</v>
      </c>
      <c r="P47" s="40">
        <v>0</v>
      </c>
      <c r="Q47" s="40">
        <v>2039</v>
      </c>
      <c r="R47" s="40">
        <v>0</v>
      </c>
      <c r="S47" s="40">
        <v>0</v>
      </c>
      <c r="T47" s="40">
        <v>10120</v>
      </c>
      <c r="U47" s="40">
        <v>2332</v>
      </c>
      <c r="V47" s="40">
        <v>0</v>
      </c>
      <c r="W47" s="40">
        <v>6994064</v>
      </c>
      <c r="X47" s="40">
        <v>69289</v>
      </c>
      <c r="Y47" s="40">
        <v>58489</v>
      </c>
      <c r="Z47" s="40">
        <v>133</v>
      </c>
      <c r="AA47" s="40">
        <v>36437</v>
      </c>
      <c r="AB47" s="40">
        <v>14102</v>
      </c>
      <c r="AC47" s="40">
        <v>0</v>
      </c>
      <c r="AD47" s="40">
        <v>0</v>
      </c>
      <c r="AE47" s="40">
        <v>36270</v>
      </c>
      <c r="AF47" s="40">
        <v>0</v>
      </c>
      <c r="AG47" s="40">
        <v>340</v>
      </c>
      <c r="AH47" s="40">
        <v>707</v>
      </c>
      <c r="AI47" s="40">
        <v>0</v>
      </c>
      <c r="AJ47" s="40">
        <v>11066</v>
      </c>
      <c r="AK47" s="40">
        <v>0</v>
      </c>
      <c r="AL47" s="40">
        <v>20056</v>
      </c>
      <c r="AM47" s="40">
        <v>32554</v>
      </c>
      <c r="AN47" s="40">
        <v>3823</v>
      </c>
      <c r="AO47" s="40">
        <v>15998</v>
      </c>
      <c r="AP47" s="40">
        <v>138778</v>
      </c>
      <c r="AQ47" s="40">
        <v>0</v>
      </c>
      <c r="AR47" s="40">
        <v>302390</v>
      </c>
      <c r="AS47" s="40">
        <v>516216</v>
      </c>
      <c r="AT47" s="40">
        <v>21822</v>
      </c>
      <c r="AU47" s="40">
        <v>83761</v>
      </c>
      <c r="AV47" s="40">
        <v>40238</v>
      </c>
      <c r="AW47" s="40">
        <v>893555</v>
      </c>
      <c r="AX47" s="40">
        <v>832627</v>
      </c>
      <c r="AY47" s="40">
        <v>0</v>
      </c>
      <c r="AZ47" s="40">
        <v>0</v>
      </c>
      <c r="BA47" s="40">
        <v>501722</v>
      </c>
      <c r="BB47" s="40">
        <v>0</v>
      </c>
      <c r="BC47" s="40">
        <v>195274</v>
      </c>
      <c r="BD47" s="40">
        <v>95317</v>
      </c>
      <c r="BE47" s="40">
        <v>56705</v>
      </c>
      <c r="BF47" s="40">
        <v>2003</v>
      </c>
      <c r="BG47" s="40">
        <v>2584413</v>
      </c>
      <c r="BH47" s="40">
        <v>267178</v>
      </c>
      <c r="BI47" s="40">
        <v>190208</v>
      </c>
      <c r="BJ47" s="40">
        <v>2499653</v>
      </c>
      <c r="BK47" s="40">
        <v>1441452</v>
      </c>
      <c r="BL47" s="40">
        <v>1570336</v>
      </c>
      <c r="BM47" s="40">
        <v>59593294</v>
      </c>
      <c r="BN47" s="40">
        <v>146619176</v>
      </c>
      <c r="BO47" s="40">
        <v>54426106</v>
      </c>
      <c r="BP47" s="40">
        <v>678106</v>
      </c>
      <c r="BQ47" s="40">
        <v>1010005</v>
      </c>
      <c r="BR47" s="40">
        <v>23608792</v>
      </c>
      <c r="BS47" s="40">
        <v>0</v>
      </c>
      <c r="BT47" s="40">
        <v>307531661</v>
      </c>
      <c r="BU47" s="40">
        <v>416101431</v>
      </c>
      <c r="BV47" s="40">
        <v>0</v>
      </c>
      <c r="BW47" s="40">
        <v>0</v>
      </c>
      <c r="BX47" s="40">
        <v>416101431</v>
      </c>
      <c r="BY47" s="40">
        <v>0</v>
      </c>
      <c r="BZ47" s="40">
        <v>0</v>
      </c>
      <c r="CA47" s="40">
        <v>0</v>
      </c>
      <c r="CB47" s="40">
        <v>0</v>
      </c>
      <c r="CC47" s="40">
        <v>22538226</v>
      </c>
      <c r="CD47" s="40">
        <v>438639657</v>
      </c>
      <c r="CE47" s="40">
        <v>746171318</v>
      </c>
      <c r="CF47" s="41"/>
      <c r="CG47" s="41"/>
      <c r="CH47" s="42"/>
    </row>
    <row r="48" spans="1:86" ht="33.75">
      <c r="A48" s="38">
        <v>42</v>
      </c>
      <c r="B48" s="65" t="s">
        <v>94</v>
      </c>
      <c r="C48" s="39" t="s">
        <v>162</v>
      </c>
      <c r="D48" s="40">
        <v>1773482</v>
      </c>
      <c r="E48" s="40">
        <v>2491</v>
      </c>
      <c r="F48" s="40">
        <v>0</v>
      </c>
      <c r="G48" s="40">
        <v>37682</v>
      </c>
      <c r="H48" s="40">
        <v>27921109</v>
      </c>
      <c r="I48" s="40">
        <v>1326928</v>
      </c>
      <c r="J48" s="40">
        <v>11638</v>
      </c>
      <c r="K48" s="40">
        <v>1215197</v>
      </c>
      <c r="L48" s="40">
        <v>60353</v>
      </c>
      <c r="M48" s="40">
        <v>8009376</v>
      </c>
      <c r="N48" s="40">
        <v>1077663</v>
      </c>
      <c r="O48" s="40">
        <v>11650</v>
      </c>
      <c r="P48" s="40">
        <v>15</v>
      </c>
      <c r="Q48" s="40">
        <v>2755</v>
      </c>
      <c r="R48" s="40">
        <v>2249</v>
      </c>
      <c r="S48" s="40">
        <v>745</v>
      </c>
      <c r="T48" s="40">
        <v>3210</v>
      </c>
      <c r="U48" s="40">
        <v>81</v>
      </c>
      <c r="V48" s="40">
        <v>743</v>
      </c>
      <c r="W48" s="40">
        <v>366571</v>
      </c>
      <c r="X48" s="40">
        <v>279508</v>
      </c>
      <c r="Y48" s="40">
        <v>625624</v>
      </c>
      <c r="Z48" s="40">
        <v>81400</v>
      </c>
      <c r="AA48" s="40">
        <v>3222643</v>
      </c>
      <c r="AB48" s="40">
        <v>106236617</v>
      </c>
      <c r="AC48" s="40">
        <v>107</v>
      </c>
      <c r="AD48" s="40">
        <v>12459527</v>
      </c>
      <c r="AE48" s="40">
        <v>51963</v>
      </c>
      <c r="AF48" s="40">
        <v>882</v>
      </c>
      <c r="AG48" s="40">
        <v>2754725</v>
      </c>
      <c r="AH48" s="40">
        <v>4134</v>
      </c>
      <c r="AI48" s="40">
        <v>1236</v>
      </c>
      <c r="AJ48" s="40">
        <v>6727</v>
      </c>
      <c r="AK48" s="40">
        <v>9536</v>
      </c>
      <c r="AL48" s="40">
        <v>4578</v>
      </c>
      <c r="AM48" s="40">
        <v>876</v>
      </c>
      <c r="AN48" s="40">
        <v>2934</v>
      </c>
      <c r="AO48" s="40">
        <v>969754</v>
      </c>
      <c r="AP48" s="40">
        <v>22322396</v>
      </c>
      <c r="AQ48" s="40">
        <v>5559</v>
      </c>
      <c r="AR48" s="40">
        <v>4862326</v>
      </c>
      <c r="AS48" s="40">
        <v>23038842</v>
      </c>
      <c r="AT48" s="40">
        <v>12162619</v>
      </c>
      <c r="AU48" s="40">
        <v>42031793</v>
      </c>
      <c r="AV48" s="40">
        <v>1178920</v>
      </c>
      <c r="AW48" s="40">
        <v>2351368</v>
      </c>
      <c r="AX48" s="40">
        <v>12700935</v>
      </c>
      <c r="AY48" s="40">
        <v>957</v>
      </c>
      <c r="AZ48" s="40">
        <v>67827</v>
      </c>
      <c r="BA48" s="40">
        <v>5185245</v>
      </c>
      <c r="BB48" s="40">
        <v>27616</v>
      </c>
      <c r="BC48" s="40">
        <v>2040610</v>
      </c>
      <c r="BD48" s="40">
        <v>713044</v>
      </c>
      <c r="BE48" s="40">
        <v>566756</v>
      </c>
      <c r="BF48" s="40">
        <v>506221</v>
      </c>
      <c r="BG48" s="40">
        <v>663385</v>
      </c>
      <c r="BH48" s="40">
        <v>389712</v>
      </c>
      <c r="BI48" s="40">
        <v>377533</v>
      </c>
      <c r="BJ48" s="40">
        <v>6452900</v>
      </c>
      <c r="BK48" s="40">
        <v>5503852</v>
      </c>
      <c r="BL48" s="40">
        <v>16865872</v>
      </c>
      <c r="BM48" s="40">
        <v>46580335</v>
      </c>
      <c r="BN48" s="40">
        <v>32698628</v>
      </c>
      <c r="BO48" s="40">
        <v>71969180</v>
      </c>
      <c r="BP48" s="40">
        <v>307121</v>
      </c>
      <c r="BQ48" s="40">
        <v>1655428</v>
      </c>
      <c r="BR48" s="40">
        <v>3308394</v>
      </c>
      <c r="BS48" s="40">
        <v>0</v>
      </c>
      <c r="BT48" s="40">
        <v>485072083</v>
      </c>
      <c r="BU48" s="40">
        <v>264876849</v>
      </c>
      <c r="BV48" s="40">
        <v>0</v>
      </c>
      <c r="BW48" s="40">
        <v>0</v>
      </c>
      <c r="BX48" s="40">
        <v>264876849</v>
      </c>
      <c r="BY48" s="40">
        <v>0</v>
      </c>
      <c r="BZ48" s="40">
        <v>6730974</v>
      </c>
      <c r="CA48" s="40">
        <v>0</v>
      </c>
      <c r="CB48" s="40">
        <v>6730974</v>
      </c>
      <c r="CC48" s="40">
        <v>55376279</v>
      </c>
      <c r="CD48" s="40">
        <v>326984102</v>
      </c>
      <c r="CE48" s="40">
        <v>812056185</v>
      </c>
      <c r="CF48" s="41"/>
      <c r="CG48" s="41"/>
      <c r="CH48" s="42"/>
    </row>
    <row r="49" spans="1:86">
      <c r="A49" s="38">
        <v>43</v>
      </c>
      <c r="B49" s="65" t="s">
        <v>48</v>
      </c>
      <c r="C49" s="39" t="s">
        <v>47</v>
      </c>
      <c r="D49" s="40">
        <v>15822986</v>
      </c>
      <c r="E49" s="40">
        <v>619</v>
      </c>
      <c r="F49" s="40">
        <v>5770649</v>
      </c>
      <c r="G49" s="40">
        <v>39883194</v>
      </c>
      <c r="H49" s="40">
        <v>126628712</v>
      </c>
      <c r="I49" s="40">
        <v>5770724</v>
      </c>
      <c r="J49" s="40">
        <v>231012</v>
      </c>
      <c r="K49" s="40">
        <v>267302</v>
      </c>
      <c r="L49" s="40">
        <v>505702</v>
      </c>
      <c r="M49" s="40">
        <v>796402</v>
      </c>
      <c r="N49" s="40">
        <v>507291</v>
      </c>
      <c r="O49" s="40">
        <v>0</v>
      </c>
      <c r="P49" s="40">
        <v>0</v>
      </c>
      <c r="Q49" s="40">
        <v>4229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156881</v>
      </c>
      <c r="X49" s="40">
        <v>900862</v>
      </c>
      <c r="Y49" s="40">
        <v>0</v>
      </c>
      <c r="Z49" s="40">
        <v>1221</v>
      </c>
      <c r="AA49" s="40">
        <v>21239269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1659439</v>
      </c>
      <c r="AH49" s="40">
        <v>71473</v>
      </c>
      <c r="AI49" s="40">
        <v>67279</v>
      </c>
      <c r="AJ49" s="40">
        <v>428</v>
      </c>
      <c r="AK49" s="40">
        <v>0</v>
      </c>
      <c r="AL49" s="40">
        <v>0</v>
      </c>
      <c r="AM49" s="40">
        <v>0</v>
      </c>
      <c r="AN49" s="40">
        <v>0</v>
      </c>
      <c r="AO49" s="40">
        <v>4393468</v>
      </c>
      <c r="AP49" s="40">
        <v>121886598</v>
      </c>
      <c r="AQ49" s="40">
        <v>0</v>
      </c>
      <c r="AR49" s="40">
        <v>94690400</v>
      </c>
      <c r="AS49" s="40">
        <v>78645311</v>
      </c>
      <c r="AT49" s="40">
        <v>749924329</v>
      </c>
      <c r="AU49" s="40">
        <v>0</v>
      </c>
      <c r="AV49" s="40">
        <v>27284000</v>
      </c>
      <c r="AW49" s="40">
        <v>66708955</v>
      </c>
      <c r="AX49" s="40">
        <v>14001564</v>
      </c>
      <c r="AY49" s="40">
        <v>6908330</v>
      </c>
      <c r="AZ49" s="40">
        <v>65070</v>
      </c>
      <c r="BA49" s="40">
        <v>51276290</v>
      </c>
      <c r="BB49" s="40">
        <v>0</v>
      </c>
      <c r="BC49" s="40">
        <v>20003885</v>
      </c>
      <c r="BD49" s="40">
        <v>128848</v>
      </c>
      <c r="BE49" s="40">
        <v>1336768</v>
      </c>
      <c r="BF49" s="40">
        <v>0</v>
      </c>
      <c r="BG49" s="40">
        <v>6814174</v>
      </c>
      <c r="BH49" s="40">
        <v>0</v>
      </c>
      <c r="BI49" s="40">
        <v>0</v>
      </c>
      <c r="BJ49" s="40">
        <v>507635691</v>
      </c>
      <c r="BK49" s="40">
        <v>63408334</v>
      </c>
      <c r="BL49" s="40">
        <v>144261026</v>
      </c>
      <c r="BM49" s="40">
        <v>184306363</v>
      </c>
      <c r="BN49" s="40">
        <v>474546839</v>
      </c>
      <c r="BO49" s="40">
        <v>262472705</v>
      </c>
      <c r="BP49" s="40">
        <v>17035364</v>
      </c>
      <c r="BQ49" s="40">
        <v>17490978</v>
      </c>
      <c r="BR49" s="40">
        <v>0</v>
      </c>
      <c r="BS49" s="40">
        <v>0</v>
      </c>
      <c r="BT49" s="40">
        <v>3135510964</v>
      </c>
      <c r="BU49" s="40">
        <v>76684685</v>
      </c>
      <c r="BV49" s="40">
        <v>0</v>
      </c>
      <c r="BW49" s="40">
        <v>0</v>
      </c>
      <c r="BX49" s="40">
        <v>76684685</v>
      </c>
      <c r="BY49" s="40">
        <v>11829119489</v>
      </c>
      <c r="BZ49" s="40">
        <v>402773</v>
      </c>
      <c r="CA49" s="40">
        <v>0</v>
      </c>
      <c r="CB49" s="40">
        <v>11829522262</v>
      </c>
      <c r="CC49" s="40">
        <v>65238124</v>
      </c>
      <c r="CD49" s="40">
        <v>11971445071</v>
      </c>
      <c r="CE49" s="40">
        <v>15106956035</v>
      </c>
      <c r="CF49" s="41"/>
      <c r="CG49" s="41"/>
      <c r="CH49" s="42"/>
    </row>
    <row r="50" spans="1:86" ht="33.75">
      <c r="A50" s="38">
        <v>44</v>
      </c>
      <c r="B50" s="65" t="s">
        <v>46</v>
      </c>
      <c r="C50" s="39" t="s">
        <v>137</v>
      </c>
      <c r="D50" s="40">
        <v>488035</v>
      </c>
      <c r="E50" s="40">
        <v>263</v>
      </c>
      <c r="F50" s="40">
        <v>0</v>
      </c>
      <c r="G50" s="40">
        <v>17077</v>
      </c>
      <c r="H50" s="40">
        <v>5647050</v>
      </c>
      <c r="I50" s="40">
        <v>0</v>
      </c>
      <c r="J50" s="40">
        <v>0</v>
      </c>
      <c r="K50" s="40">
        <v>5901</v>
      </c>
      <c r="L50" s="40">
        <v>194</v>
      </c>
      <c r="M50" s="40">
        <v>22754</v>
      </c>
      <c r="N50" s="40">
        <v>65672</v>
      </c>
      <c r="O50" s="40">
        <v>0</v>
      </c>
      <c r="P50" s="40">
        <v>0</v>
      </c>
      <c r="Q50" s="40">
        <v>603</v>
      </c>
      <c r="R50" s="40">
        <v>0</v>
      </c>
      <c r="S50" s="40">
        <v>0</v>
      </c>
      <c r="T50" s="40">
        <v>0</v>
      </c>
      <c r="U50" s="40">
        <v>3106</v>
      </c>
      <c r="V50" s="40">
        <v>0</v>
      </c>
      <c r="W50" s="40">
        <v>0</v>
      </c>
      <c r="X50" s="40">
        <v>3830</v>
      </c>
      <c r="Y50" s="40">
        <v>0</v>
      </c>
      <c r="Z50" s="40">
        <v>1399</v>
      </c>
      <c r="AA50" s="40">
        <v>22545</v>
      </c>
      <c r="AB50" s="40">
        <v>46</v>
      </c>
      <c r="AC50" s="40">
        <v>0</v>
      </c>
      <c r="AD50" s="40">
        <v>0</v>
      </c>
      <c r="AE50" s="40">
        <v>634</v>
      </c>
      <c r="AF50" s="40">
        <v>0</v>
      </c>
      <c r="AG50" s="40">
        <v>18</v>
      </c>
      <c r="AH50" s="40">
        <v>0</v>
      </c>
      <c r="AI50" s="40">
        <v>76</v>
      </c>
      <c r="AJ50" s="40">
        <v>784</v>
      </c>
      <c r="AK50" s="40">
        <v>0</v>
      </c>
      <c r="AL50" s="40">
        <v>0</v>
      </c>
      <c r="AM50" s="40">
        <v>18755</v>
      </c>
      <c r="AN50" s="40">
        <v>119</v>
      </c>
      <c r="AO50" s="40">
        <v>13443</v>
      </c>
      <c r="AP50" s="40">
        <v>44376</v>
      </c>
      <c r="AQ50" s="40">
        <v>1183</v>
      </c>
      <c r="AR50" s="40">
        <v>1448</v>
      </c>
      <c r="AS50" s="40">
        <v>19094</v>
      </c>
      <c r="AT50" s="40">
        <v>186717</v>
      </c>
      <c r="AU50" s="40">
        <v>17313596</v>
      </c>
      <c r="AV50" s="40">
        <v>12444794</v>
      </c>
      <c r="AW50" s="40">
        <v>2772596</v>
      </c>
      <c r="AX50" s="40">
        <v>22476564</v>
      </c>
      <c r="AY50" s="40">
        <v>0</v>
      </c>
      <c r="AZ50" s="40">
        <v>42950</v>
      </c>
      <c r="BA50" s="40">
        <v>1078782</v>
      </c>
      <c r="BB50" s="40">
        <v>26400</v>
      </c>
      <c r="BC50" s="40">
        <v>9383</v>
      </c>
      <c r="BD50" s="40">
        <v>16322</v>
      </c>
      <c r="BE50" s="40">
        <v>10268</v>
      </c>
      <c r="BF50" s="40">
        <v>0</v>
      </c>
      <c r="BG50" s="40">
        <v>1604385</v>
      </c>
      <c r="BH50" s="40">
        <v>0</v>
      </c>
      <c r="BI50" s="40">
        <v>167396</v>
      </c>
      <c r="BJ50" s="40">
        <v>270589</v>
      </c>
      <c r="BK50" s="40">
        <v>232025</v>
      </c>
      <c r="BL50" s="40">
        <v>16130491</v>
      </c>
      <c r="BM50" s="40">
        <v>8372209</v>
      </c>
      <c r="BN50" s="40">
        <v>2925563</v>
      </c>
      <c r="BO50" s="40">
        <v>1614726</v>
      </c>
      <c r="BP50" s="40">
        <v>41171</v>
      </c>
      <c r="BQ50" s="40">
        <v>135817</v>
      </c>
      <c r="BR50" s="40">
        <v>7763178</v>
      </c>
      <c r="BS50" s="40">
        <v>0</v>
      </c>
      <c r="BT50" s="40">
        <v>102014327</v>
      </c>
      <c r="BU50" s="40">
        <v>251554939</v>
      </c>
      <c r="BV50" s="40">
        <v>0</v>
      </c>
      <c r="BW50" s="40">
        <v>0</v>
      </c>
      <c r="BX50" s="40">
        <v>251554939</v>
      </c>
      <c r="BY50" s="40">
        <v>0</v>
      </c>
      <c r="BZ50" s="40">
        <v>0</v>
      </c>
      <c r="CA50" s="40">
        <v>0</v>
      </c>
      <c r="CB50" s="40">
        <v>0</v>
      </c>
      <c r="CC50" s="40">
        <v>6972746</v>
      </c>
      <c r="CD50" s="40">
        <v>258527685</v>
      </c>
      <c r="CE50" s="40">
        <v>360542012</v>
      </c>
      <c r="CF50" s="41"/>
      <c r="CG50" s="41"/>
      <c r="CH50" s="42"/>
    </row>
    <row r="51" spans="1:86" ht="22.5">
      <c r="A51" s="38">
        <v>45</v>
      </c>
      <c r="B51" s="65" t="s">
        <v>45</v>
      </c>
      <c r="C51" s="39" t="s">
        <v>44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40">
        <v>0</v>
      </c>
      <c r="S51" s="40">
        <v>0</v>
      </c>
      <c r="T51" s="40">
        <v>0</v>
      </c>
      <c r="U51" s="40">
        <v>0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40">
        <v>0</v>
      </c>
      <c r="AI51" s="40">
        <v>0</v>
      </c>
      <c r="AJ51" s="40">
        <v>0</v>
      </c>
      <c r="AK51" s="40">
        <v>0</v>
      </c>
      <c r="AL51" s="40">
        <v>0</v>
      </c>
      <c r="AM51" s="40">
        <v>0</v>
      </c>
      <c r="AN51" s="40">
        <v>0</v>
      </c>
      <c r="AO51" s="40">
        <v>0</v>
      </c>
      <c r="AP51" s="40">
        <v>0</v>
      </c>
      <c r="AQ51" s="40">
        <v>0</v>
      </c>
      <c r="AR51" s="40">
        <v>0</v>
      </c>
      <c r="AS51" s="40">
        <v>0</v>
      </c>
      <c r="AT51" s="40">
        <v>0</v>
      </c>
      <c r="AU51" s="40">
        <v>0</v>
      </c>
      <c r="AV51" s="40">
        <v>0</v>
      </c>
      <c r="AW51" s="40">
        <v>0</v>
      </c>
      <c r="AX51" s="40">
        <v>0</v>
      </c>
      <c r="AY51" s="40">
        <v>0</v>
      </c>
      <c r="AZ51" s="40">
        <v>0</v>
      </c>
      <c r="BA51" s="40">
        <v>0</v>
      </c>
      <c r="BB51" s="40">
        <v>0</v>
      </c>
      <c r="BC51" s="40">
        <v>0</v>
      </c>
      <c r="BD51" s="40">
        <v>0</v>
      </c>
      <c r="BE51" s="40">
        <v>0</v>
      </c>
      <c r="BF51" s="40">
        <v>0</v>
      </c>
      <c r="BG51" s="40">
        <v>0</v>
      </c>
      <c r="BH51" s="40">
        <v>0</v>
      </c>
      <c r="BI51" s="40">
        <v>0</v>
      </c>
      <c r="BJ51" s="40">
        <v>0</v>
      </c>
      <c r="BK51" s="40">
        <v>0</v>
      </c>
      <c r="BL51" s="40">
        <v>0</v>
      </c>
      <c r="BM51" s="40">
        <v>0</v>
      </c>
      <c r="BN51" s="40">
        <v>0</v>
      </c>
      <c r="BO51" s="40">
        <v>0</v>
      </c>
      <c r="BP51" s="40">
        <v>0</v>
      </c>
      <c r="BQ51" s="40">
        <v>0</v>
      </c>
      <c r="BR51" s="40">
        <v>0</v>
      </c>
      <c r="BS51" s="40">
        <v>0</v>
      </c>
      <c r="BT51" s="40">
        <v>0</v>
      </c>
      <c r="BU51" s="40">
        <v>0</v>
      </c>
      <c r="BV51" s="40">
        <v>0</v>
      </c>
      <c r="BW51" s="40">
        <v>0</v>
      </c>
      <c r="BX51" s="40">
        <v>0</v>
      </c>
      <c r="BY51" s="40">
        <v>0</v>
      </c>
      <c r="BZ51" s="40">
        <v>0</v>
      </c>
      <c r="CA51" s="40">
        <v>0</v>
      </c>
      <c r="CB51" s="40">
        <v>0</v>
      </c>
      <c r="CC51" s="40">
        <v>0</v>
      </c>
      <c r="CD51" s="40">
        <v>0</v>
      </c>
      <c r="CE51" s="40">
        <v>0</v>
      </c>
      <c r="CF51" s="41"/>
      <c r="CG51" s="41"/>
      <c r="CH51" s="42"/>
    </row>
    <row r="52" spans="1:86" ht="33.75">
      <c r="A52" s="38">
        <v>46</v>
      </c>
      <c r="B52" s="65" t="s">
        <v>43</v>
      </c>
      <c r="C52" s="39" t="s">
        <v>42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40">
        <v>0</v>
      </c>
      <c r="AJ52" s="40">
        <v>0</v>
      </c>
      <c r="AK52" s="40">
        <v>0</v>
      </c>
      <c r="AL52" s="40">
        <v>0</v>
      </c>
      <c r="AM52" s="40">
        <v>0</v>
      </c>
      <c r="AN52" s="40">
        <v>0</v>
      </c>
      <c r="AO52" s="40">
        <v>0</v>
      </c>
      <c r="AP52" s="40">
        <v>0</v>
      </c>
      <c r="AQ52" s="40">
        <v>0</v>
      </c>
      <c r="AR52" s="40">
        <v>0</v>
      </c>
      <c r="AS52" s="40">
        <v>0</v>
      </c>
      <c r="AT52" s="40">
        <v>0</v>
      </c>
      <c r="AU52" s="40">
        <v>0</v>
      </c>
      <c r="AV52" s="40">
        <v>0</v>
      </c>
      <c r="AW52" s="40">
        <v>0</v>
      </c>
      <c r="AX52" s="40">
        <v>0</v>
      </c>
      <c r="AY52" s="40">
        <v>0</v>
      </c>
      <c r="AZ52" s="40">
        <v>0</v>
      </c>
      <c r="BA52" s="40">
        <v>0</v>
      </c>
      <c r="BB52" s="40">
        <v>0</v>
      </c>
      <c r="BC52" s="40">
        <v>0</v>
      </c>
      <c r="BD52" s="40">
        <v>0</v>
      </c>
      <c r="BE52" s="40">
        <v>0</v>
      </c>
      <c r="BF52" s="40">
        <v>0</v>
      </c>
      <c r="BG52" s="40">
        <v>0</v>
      </c>
      <c r="BH52" s="40">
        <v>0</v>
      </c>
      <c r="BI52" s="40">
        <v>0</v>
      </c>
      <c r="BJ52" s="40">
        <v>0</v>
      </c>
      <c r="BK52" s="40">
        <v>0</v>
      </c>
      <c r="BL52" s="40">
        <v>0</v>
      </c>
      <c r="BM52" s="40">
        <v>0</v>
      </c>
      <c r="BN52" s="40">
        <v>0</v>
      </c>
      <c r="BO52" s="40">
        <v>0</v>
      </c>
      <c r="BP52" s="40">
        <v>0</v>
      </c>
      <c r="BQ52" s="40">
        <v>0</v>
      </c>
      <c r="BR52" s="40">
        <v>0</v>
      </c>
      <c r="BS52" s="40">
        <v>0</v>
      </c>
      <c r="BT52" s="40">
        <v>0</v>
      </c>
      <c r="BU52" s="40">
        <v>0</v>
      </c>
      <c r="BV52" s="40">
        <v>0</v>
      </c>
      <c r="BW52" s="40">
        <v>0</v>
      </c>
      <c r="BX52" s="40">
        <v>0</v>
      </c>
      <c r="BY52" s="40">
        <v>0</v>
      </c>
      <c r="BZ52" s="40">
        <v>0</v>
      </c>
      <c r="CA52" s="40">
        <v>0</v>
      </c>
      <c r="CB52" s="40">
        <v>0</v>
      </c>
      <c r="CC52" s="40">
        <v>0</v>
      </c>
      <c r="CD52" s="40">
        <v>0</v>
      </c>
      <c r="CE52" s="40">
        <v>0</v>
      </c>
      <c r="CF52" s="41"/>
      <c r="CG52" s="41"/>
      <c r="CH52" s="42"/>
    </row>
    <row r="53" spans="1:86" ht="22.5">
      <c r="A53" s="38">
        <v>47</v>
      </c>
      <c r="B53" s="65" t="s">
        <v>41</v>
      </c>
      <c r="C53" s="39" t="s">
        <v>40</v>
      </c>
      <c r="D53" s="40">
        <v>97421546</v>
      </c>
      <c r="E53" s="40">
        <v>5400</v>
      </c>
      <c r="F53" s="40">
        <v>0</v>
      </c>
      <c r="G53" s="40">
        <v>8137080</v>
      </c>
      <c r="H53" s="40">
        <v>888321036</v>
      </c>
      <c r="I53" s="40">
        <v>13792044</v>
      </c>
      <c r="J53" s="40">
        <v>779523</v>
      </c>
      <c r="K53" s="40">
        <v>1828295</v>
      </c>
      <c r="L53" s="40">
        <v>6250788</v>
      </c>
      <c r="M53" s="40">
        <v>510583</v>
      </c>
      <c r="N53" s="40">
        <v>5297239</v>
      </c>
      <c r="O53" s="40">
        <v>0</v>
      </c>
      <c r="P53" s="40">
        <v>12243</v>
      </c>
      <c r="Q53" s="40">
        <v>10795</v>
      </c>
      <c r="R53" s="40">
        <v>3349</v>
      </c>
      <c r="S53" s="40">
        <v>0</v>
      </c>
      <c r="T53" s="40">
        <v>357569</v>
      </c>
      <c r="U53" s="40">
        <v>311</v>
      </c>
      <c r="V53" s="40">
        <v>0</v>
      </c>
      <c r="W53" s="40">
        <v>1701953</v>
      </c>
      <c r="X53" s="40">
        <v>159234</v>
      </c>
      <c r="Y53" s="40">
        <v>0</v>
      </c>
      <c r="Z53" s="40">
        <v>23080</v>
      </c>
      <c r="AA53" s="40">
        <v>2135892</v>
      </c>
      <c r="AB53" s="40">
        <v>486423</v>
      </c>
      <c r="AC53" s="40">
        <v>0</v>
      </c>
      <c r="AD53" s="40">
        <v>4287</v>
      </c>
      <c r="AE53" s="40">
        <v>585146</v>
      </c>
      <c r="AF53" s="40">
        <v>896</v>
      </c>
      <c r="AG53" s="40">
        <v>13753</v>
      </c>
      <c r="AH53" s="40">
        <v>10542</v>
      </c>
      <c r="AI53" s="40">
        <v>1896</v>
      </c>
      <c r="AJ53" s="40">
        <v>56958</v>
      </c>
      <c r="AK53" s="40">
        <v>25021</v>
      </c>
      <c r="AL53" s="40">
        <v>3028</v>
      </c>
      <c r="AM53" s="40">
        <v>37761</v>
      </c>
      <c r="AN53" s="40">
        <v>3</v>
      </c>
      <c r="AO53" s="40">
        <v>325715</v>
      </c>
      <c r="AP53" s="40">
        <v>870829</v>
      </c>
      <c r="AQ53" s="40">
        <v>0</v>
      </c>
      <c r="AR53" s="40">
        <v>161526</v>
      </c>
      <c r="AS53" s="40">
        <v>113759</v>
      </c>
      <c r="AT53" s="40">
        <v>8054828</v>
      </c>
      <c r="AU53" s="40">
        <v>30895876</v>
      </c>
      <c r="AV53" s="40">
        <v>492262107</v>
      </c>
      <c r="AW53" s="40">
        <v>94134719</v>
      </c>
      <c r="AX53" s="40">
        <v>14773603</v>
      </c>
      <c r="AY53" s="40">
        <v>1350160</v>
      </c>
      <c r="AZ53" s="40">
        <v>0</v>
      </c>
      <c r="BA53" s="40">
        <v>128336473</v>
      </c>
      <c r="BB53" s="40">
        <v>7845486</v>
      </c>
      <c r="BC53" s="40">
        <v>14736</v>
      </c>
      <c r="BD53" s="40">
        <v>2672555</v>
      </c>
      <c r="BE53" s="40">
        <v>440952</v>
      </c>
      <c r="BF53" s="40">
        <v>164587</v>
      </c>
      <c r="BG53" s="40">
        <v>7267795</v>
      </c>
      <c r="BH53" s="40">
        <v>6121787</v>
      </c>
      <c r="BI53" s="40">
        <v>2290719</v>
      </c>
      <c r="BJ53" s="40">
        <v>501230956</v>
      </c>
      <c r="BK53" s="40">
        <v>6608036</v>
      </c>
      <c r="BL53" s="40">
        <v>114066431</v>
      </c>
      <c r="BM53" s="40">
        <v>8235938</v>
      </c>
      <c r="BN53" s="40">
        <v>3359540</v>
      </c>
      <c r="BO53" s="40">
        <v>294525</v>
      </c>
      <c r="BP53" s="40">
        <v>23671</v>
      </c>
      <c r="BQ53" s="40">
        <v>149953</v>
      </c>
      <c r="BR53" s="40">
        <v>20542933</v>
      </c>
      <c r="BS53" s="40">
        <v>0</v>
      </c>
      <c r="BT53" s="40">
        <v>2480583869</v>
      </c>
      <c r="BU53" s="40">
        <v>363955179</v>
      </c>
      <c r="BV53" s="40">
        <v>0</v>
      </c>
      <c r="BW53" s="40">
        <v>0</v>
      </c>
      <c r="BX53" s="40">
        <v>363955179</v>
      </c>
      <c r="BY53" s="40">
        <v>0</v>
      </c>
      <c r="BZ53" s="40">
        <v>0</v>
      </c>
      <c r="CA53" s="40">
        <v>0</v>
      </c>
      <c r="CB53" s="40">
        <v>0</v>
      </c>
      <c r="CC53" s="40">
        <v>2008029456</v>
      </c>
      <c r="CD53" s="40">
        <v>2371984635</v>
      </c>
      <c r="CE53" s="40">
        <v>4852568504</v>
      </c>
      <c r="CF53" s="41"/>
      <c r="CG53" s="41"/>
      <c r="CH53" s="42"/>
    </row>
    <row r="54" spans="1:86">
      <c r="A54" s="38">
        <v>48</v>
      </c>
      <c r="B54" s="65" t="s">
        <v>39</v>
      </c>
      <c r="C54" s="39" t="s">
        <v>38</v>
      </c>
      <c r="D54" s="40">
        <v>0</v>
      </c>
      <c r="E54" s="40">
        <v>0</v>
      </c>
      <c r="F54" s="40">
        <v>18083646</v>
      </c>
      <c r="G54" s="40">
        <v>13728</v>
      </c>
      <c r="H54" s="40">
        <v>10250320</v>
      </c>
      <c r="I54" s="40">
        <v>484248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40">
        <v>0</v>
      </c>
      <c r="U54" s="40">
        <v>0</v>
      </c>
      <c r="V54" s="40">
        <v>792520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40">
        <v>0</v>
      </c>
      <c r="AJ54" s="40">
        <v>0</v>
      </c>
      <c r="AK54" s="40">
        <v>0</v>
      </c>
      <c r="AL54" s="40">
        <v>0</v>
      </c>
      <c r="AM54" s="40">
        <v>0</v>
      </c>
      <c r="AN54" s="40">
        <v>0</v>
      </c>
      <c r="AO54" s="40">
        <v>0</v>
      </c>
      <c r="AP54" s="40">
        <v>0</v>
      </c>
      <c r="AQ54" s="40">
        <v>0</v>
      </c>
      <c r="AR54" s="40">
        <v>0</v>
      </c>
      <c r="AS54" s="40">
        <v>0</v>
      </c>
      <c r="AT54" s="40">
        <v>0</v>
      </c>
      <c r="AU54" s="40">
        <v>0</v>
      </c>
      <c r="AV54" s="40">
        <v>0</v>
      </c>
      <c r="AW54" s="40">
        <v>0</v>
      </c>
      <c r="AX54" s="40">
        <v>0</v>
      </c>
      <c r="AY54" s="40">
        <v>0</v>
      </c>
      <c r="AZ54" s="40">
        <v>0</v>
      </c>
      <c r="BA54" s="40">
        <v>0</v>
      </c>
      <c r="BB54" s="40">
        <v>0</v>
      </c>
      <c r="BC54" s="40">
        <v>0</v>
      </c>
      <c r="BD54" s="40">
        <v>0</v>
      </c>
      <c r="BE54" s="40">
        <v>0</v>
      </c>
      <c r="BF54" s="40">
        <v>0</v>
      </c>
      <c r="BG54" s="40">
        <v>0</v>
      </c>
      <c r="BH54" s="40">
        <v>0</v>
      </c>
      <c r="BI54" s="40">
        <v>0</v>
      </c>
      <c r="BJ54" s="40">
        <v>0</v>
      </c>
      <c r="BK54" s="40">
        <v>0</v>
      </c>
      <c r="BL54" s="40">
        <v>0</v>
      </c>
      <c r="BM54" s="40">
        <v>6739</v>
      </c>
      <c r="BN54" s="40">
        <v>0</v>
      </c>
      <c r="BO54" s="40">
        <v>0</v>
      </c>
      <c r="BP54" s="40">
        <v>0</v>
      </c>
      <c r="BQ54" s="40">
        <v>0</v>
      </c>
      <c r="BR54" s="40">
        <v>0</v>
      </c>
      <c r="BS54" s="40">
        <v>0</v>
      </c>
      <c r="BT54" s="40">
        <v>29631201</v>
      </c>
      <c r="BU54" s="40">
        <v>83861</v>
      </c>
      <c r="BV54" s="40">
        <v>0</v>
      </c>
      <c r="BW54" s="40">
        <v>0</v>
      </c>
      <c r="BX54" s="40">
        <v>83861</v>
      </c>
      <c r="BY54" s="40">
        <v>0</v>
      </c>
      <c r="BZ54" s="40">
        <v>0</v>
      </c>
      <c r="CA54" s="40">
        <v>0</v>
      </c>
      <c r="CB54" s="40">
        <v>0</v>
      </c>
      <c r="CC54" s="40">
        <v>30373327</v>
      </c>
      <c r="CD54" s="40">
        <v>30457188</v>
      </c>
      <c r="CE54" s="40">
        <v>60088389</v>
      </c>
      <c r="CF54" s="41"/>
      <c r="CG54" s="41"/>
      <c r="CH54" s="42"/>
    </row>
    <row r="55" spans="1:86">
      <c r="A55" s="38">
        <v>49</v>
      </c>
      <c r="B55" s="65" t="s">
        <v>37</v>
      </c>
      <c r="C55" s="39" t="s">
        <v>36</v>
      </c>
      <c r="D55" s="40">
        <v>6587</v>
      </c>
      <c r="E55" s="40">
        <v>0</v>
      </c>
      <c r="F55" s="40">
        <v>0</v>
      </c>
      <c r="G55" s="40">
        <v>3239</v>
      </c>
      <c r="H55" s="40">
        <v>1965475</v>
      </c>
      <c r="I55" s="40">
        <v>92435</v>
      </c>
      <c r="J55" s="40">
        <v>974</v>
      </c>
      <c r="K55" s="40">
        <v>27600</v>
      </c>
      <c r="L55" s="40">
        <v>6953</v>
      </c>
      <c r="M55" s="40">
        <v>54144</v>
      </c>
      <c r="N55" s="40">
        <v>71491</v>
      </c>
      <c r="O55" s="40">
        <v>0</v>
      </c>
      <c r="P55" s="40">
        <v>0</v>
      </c>
      <c r="Q55" s="40">
        <v>279</v>
      </c>
      <c r="R55" s="40">
        <v>153</v>
      </c>
      <c r="S55" s="40">
        <v>0</v>
      </c>
      <c r="T55" s="40">
        <v>0</v>
      </c>
      <c r="U55" s="40">
        <v>115</v>
      </c>
      <c r="V55" s="40">
        <v>0</v>
      </c>
      <c r="W55" s="40">
        <v>0</v>
      </c>
      <c r="X55" s="40">
        <v>1253</v>
      </c>
      <c r="Y55" s="40">
        <v>0</v>
      </c>
      <c r="Z55" s="40">
        <v>0</v>
      </c>
      <c r="AA55" s="40">
        <v>16</v>
      </c>
      <c r="AB55" s="40">
        <v>0</v>
      </c>
      <c r="AC55" s="40">
        <v>0</v>
      </c>
      <c r="AD55" s="40">
        <v>0</v>
      </c>
      <c r="AE55" s="40">
        <v>0</v>
      </c>
      <c r="AF55" s="40">
        <v>0</v>
      </c>
      <c r="AG55" s="40">
        <v>0</v>
      </c>
      <c r="AH55" s="40">
        <v>0</v>
      </c>
      <c r="AI55" s="40">
        <v>40</v>
      </c>
      <c r="AJ55" s="40">
        <v>0</v>
      </c>
      <c r="AK55" s="40">
        <v>0</v>
      </c>
      <c r="AL55" s="40">
        <v>0</v>
      </c>
      <c r="AM55" s="40">
        <v>0</v>
      </c>
      <c r="AN55" s="40">
        <v>228</v>
      </c>
      <c r="AO55" s="40">
        <v>3291</v>
      </c>
      <c r="AP55" s="40">
        <v>6118</v>
      </c>
      <c r="AQ55" s="40">
        <v>0</v>
      </c>
      <c r="AR55" s="40">
        <v>0</v>
      </c>
      <c r="AS55" s="40">
        <v>1287</v>
      </c>
      <c r="AT55" s="40">
        <v>474254</v>
      </c>
      <c r="AU55" s="40">
        <v>8508131</v>
      </c>
      <c r="AV55" s="40">
        <v>35038978</v>
      </c>
      <c r="AW55" s="40">
        <v>22219677</v>
      </c>
      <c r="AX55" s="40">
        <v>0</v>
      </c>
      <c r="AY55" s="40">
        <v>0</v>
      </c>
      <c r="AZ55" s="40">
        <v>1441772</v>
      </c>
      <c r="BA55" s="40">
        <v>5821399</v>
      </c>
      <c r="BB55" s="40">
        <v>8616799</v>
      </c>
      <c r="BC55" s="40">
        <v>0</v>
      </c>
      <c r="BD55" s="40">
        <v>0</v>
      </c>
      <c r="BE55" s="40">
        <v>47219</v>
      </c>
      <c r="BF55" s="40">
        <v>2164246</v>
      </c>
      <c r="BG55" s="40">
        <v>4786974</v>
      </c>
      <c r="BH55" s="40">
        <v>0</v>
      </c>
      <c r="BI55" s="40">
        <v>0</v>
      </c>
      <c r="BJ55" s="40">
        <v>29941</v>
      </c>
      <c r="BK55" s="40">
        <v>17335530</v>
      </c>
      <c r="BL55" s="40">
        <v>95577117</v>
      </c>
      <c r="BM55" s="40">
        <v>125573242</v>
      </c>
      <c r="BN55" s="40">
        <v>22403385</v>
      </c>
      <c r="BO55" s="40">
        <v>1767491</v>
      </c>
      <c r="BP55" s="40">
        <v>0</v>
      </c>
      <c r="BQ55" s="40">
        <v>9947446</v>
      </c>
      <c r="BR55" s="40">
        <v>1193622</v>
      </c>
      <c r="BS55" s="40">
        <v>0</v>
      </c>
      <c r="BT55" s="40">
        <v>365188901</v>
      </c>
      <c r="BU55" s="40">
        <v>591918167</v>
      </c>
      <c r="BV55" s="40">
        <v>0</v>
      </c>
      <c r="BW55" s="40">
        <v>0</v>
      </c>
      <c r="BX55" s="40">
        <v>591918167</v>
      </c>
      <c r="BY55" s="40">
        <v>0</v>
      </c>
      <c r="BZ55" s="40">
        <v>0</v>
      </c>
      <c r="CA55" s="40">
        <v>0</v>
      </c>
      <c r="CB55" s="40">
        <v>0</v>
      </c>
      <c r="CC55" s="40">
        <v>189968080</v>
      </c>
      <c r="CD55" s="40">
        <v>781886247</v>
      </c>
      <c r="CE55" s="40">
        <v>1147075148</v>
      </c>
      <c r="CF55" s="41"/>
      <c r="CG55" s="41"/>
      <c r="CH55" s="42"/>
    </row>
    <row r="56" spans="1:86" ht="22.5">
      <c r="A56" s="38">
        <v>50</v>
      </c>
      <c r="B56" s="65" t="s">
        <v>35</v>
      </c>
      <c r="C56" s="39" t="s">
        <v>34</v>
      </c>
      <c r="D56" s="40">
        <v>141865007</v>
      </c>
      <c r="E56" s="40">
        <v>0</v>
      </c>
      <c r="F56" s="40">
        <v>0</v>
      </c>
      <c r="G56" s="40">
        <v>0</v>
      </c>
      <c r="H56" s="40">
        <v>478225144</v>
      </c>
      <c r="I56" s="40">
        <v>917631</v>
      </c>
      <c r="J56" s="40">
        <v>492395</v>
      </c>
      <c r="K56" s="40">
        <v>957648</v>
      </c>
      <c r="L56" s="40">
        <v>717525</v>
      </c>
      <c r="M56" s="40">
        <v>381473</v>
      </c>
      <c r="N56" s="40">
        <v>153461</v>
      </c>
      <c r="O56" s="40">
        <v>0</v>
      </c>
      <c r="P56" s="40">
        <v>0</v>
      </c>
      <c r="Q56" s="40">
        <v>6743</v>
      </c>
      <c r="R56" s="40">
        <v>7019</v>
      </c>
      <c r="S56" s="40">
        <v>0</v>
      </c>
      <c r="T56" s="40">
        <v>9132</v>
      </c>
      <c r="U56" s="40">
        <v>0</v>
      </c>
      <c r="V56" s="40">
        <v>0</v>
      </c>
      <c r="W56" s="40">
        <v>4264529</v>
      </c>
      <c r="X56" s="40">
        <v>2890</v>
      </c>
      <c r="Y56" s="40">
        <v>0</v>
      </c>
      <c r="Z56" s="40">
        <v>1970</v>
      </c>
      <c r="AA56" s="40">
        <v>240096</v>
      </c>
      <c r="AB56" s="40">
        <v>290307</v>
      </c>
      <c r="AC56" s="40">
        <v>15033</v>
      </c>
      <c r="AD56" s="40">
        <v>0</v>
      </c>
      <c r="AE56" s="40">
        <v>2</v>
      </c>
      <c r="AF56" s="40">
        <v>0</v>
      </c>
      <c r="AG56" s="40">
        <v>102</v>
      </c>
      <c r="AH56" s="40">
        <v>0</v>
      </c>
      <c r="AI56" s="40">
        <v>10669</v>
      </c>
      <c r="AJ56" s="40">
        <v>420</v>
      </c>
      <c r="AK56" s="40">
        <v>0</v>
      </c>
      <c r="AL56" s="40">
        <v>9941</v>
      </c>
      <c r="AM56" s="40">
        <v>0</v>
      </c>
      <c r="AN56" s="40">
        <v>2374</v>
      </c>
      <c r="AO56" s="40">
        <v>4560</v>
      </c>
      <c r="AP56" s="40">
        <v>98902</v>
      </c>
      <c r="AQ56" s="40">
        <v>0</v>
      </c>
      <c r="AR56" s="40">
        <v>243693</v>
      </c>
      <c r="AS56" s="40">
        <v>149470</v>
      </c>
      <c r="AT56" s="40">
        <v>924603</v>
      </c>
      <c r="AU56" s="40">
        <v>83312414</v>
      </c>
      <c r="AV56" s="40">
        <v>784098515</v>
      </c>
      <c r="AW56" s="40">
        <v>211265567</v>
      </c>
      <c r="AX56" s="40">
        <v>108803346</v>
      </c>
      <c r="AY56" s="40">
        <v>2326216</v>
      </c>
      <c r="AZ56" s="40">
        <v>158785675</v>
      </c>
      <c r="BA56" s="40">
        <v>27446759</v>
      </c>
      <c r="BB56" s="40">
        <v>0</v>
      </c>
      <c r="BC56" s="40">
        <v>633</v>
      </c>
      <c r="BD56" s="40">
        <v>7942</v>
      </c>
      <c r="BE56" s="40">
        <v>380220</v>
      </c>
      <c r="BF56" s="40">
        <v>1186435</v>
      </c>
      <c r="BG56" s="40">
        <v>693927</v>
      </c>
      <c r="BH56" s="40">
        <v>1532486</v>
      </c>
      <c r="BI56" s="40">
        <v>493810</v>
      </c>
      <c r="BJ56" s="40">
        <v>100442</v>
      </c>
      <c r="BK56" s="40">
        <v>72103044</v>
      </c>
      <c r="BL56" s="40">
        <v>921254</v>
      </c>
      <c r="BM56" s="40">
        <v>103689040</v>
      </c>
      <c r="BN56" s="40">
        <v>2631446</v>
      </c>
      <c r="BO56" s="40">
        <v>541465</v>
      </c>
      <c r="BP56" s="40">
        <v>595043</v>
      </c>
      <c r="BQ56" s="40">
        <v>107884</v>
      </c>
      <c r="BR56" s="40">
        <v>1560</v>
      </c>
      <c r="BS56" s="40">
        <v>0</v>
      </c>
      <c r="BT56" s="40">
        <v>2191017862</v>
      </c>
      <c r="BU56" s="40">
        <v>726189461</v>
      </c>
      <c r="BV56" s="40">
        <v>0</v>
      </c>
      <c r="BW56" s="40">
        <v>0</v>
      </c>
      <c r="BX56" s="40">
        <v>726189461</v>
      </c>
      <c r="BY56" s="40">
        <v>0</v>
      </c>
      <c r="BZ56" s="40">
        <v>0</v>
      </c>
      <c r="CA56" s="40">
        <v>0</v>
      </c>
      <c r="CB56" s="40">
        <v>0</v>
      </c>
      <c r="CC56" s="40">
        <v>452747448</v>
      </c>
      <c r="CD56" s="40">
        <v>1178936909</v>
      </c>
      <c r="CE56" s="40">
        <v>3369954771</v>
      </c>
      <c r="CF56" s="41"/>
      <c r="CG56" s="41"/>
      <c r="CH56" s="42"/>
    </row>
    <row r="57" spans="1:86">
      <c r="A57" s="38">
        <v>51</v>
      </c>
      <c r="B57" s="65" t="s">
        <v>33</v>
      </c>
      <c r="C57" s="39" t="s">
        <v>32</v>
      </c>
      <c r="D57" s="40">
        <v>2177</v>
      </c>
      <c r="E57" s="40">
        <v>93</v>
      </c>
      <c r="F57" s="40">
        <v>0</v>
      </c>
      <c r="G57" s="40">
        <v>31</v>
      </c>
      <c r="H57" s="40">
        <v>2245</v>
      </c>
      <c r="I57" s="40">
        <v>96</v>
      </c>
      <c r="J57" s="40">
        <v>0</v>
      </c>
      <c r="K57" s="40">
        <v>108</v>
      </c>
      <c r="L57" s="40">
        <v>115</v>
      </c>
      <c r="M57" s="40">
        <v>52</v>
      </c>
      <c r="N57" s="40">
        <v>7775</v>
      </c>
      <c r="O57" s="40">
        <v>0</v>
      </c>
      <c r="P57" s="40">
        <v>0</v>
      </c>
      <c r="Q57" s="40">
        <v>85</v>
      </c>
      <c r="R57" s="40">
        <v>59</v>
      </c>
      <c r="S57" s="40">
        <v>0</v>
      </c>
      <c r="T57" s="40">
        <v>157</v>
      </c>
      <c r="U57" s="40">
        <v>158</v>
      </c>
      <c r="V57" s="40">
        <v>0</v>
      </c>
      <c r="W57" s="40">
        <v>0</v>
      </c>
      <c r="X57" s="40">
        <v>263</v>
      </c>
      <c r="Y57" s="40">
        <v>0</v>
      </c>
      <c r="Z57" s="40">
        <v>0</v>
      </c>
      <c r="AA57" s="40">
        <v>131</v>
      </c>
      <c r="AB57" s="40">
        <v>831</v>
      </c>
      <c r="AC57" s="40">
        <v>9</v>
      </c>
      <c r="AD57" s="40">
        <v>6</v>
      </c>
      <c r="AE57" s="40">
        <v>42</v>
      </c>
      <c r="AF57" s="40">
        <v>0</v>
      </c>
      <c r="AG57" s="40">
        <v>348</v>
      </c>
      <c r="AH57" s="40">
        <v>0</v>
      </c>
      <c r="AI57" s="40">
        <v>1897</v>
      </c>
      <c r="AJ57" s="40">
        <v>16</v>
      </c>
      <c r="AK57" s="40">
        <v>0</v>
      </c>
      <c r="AL57" s="40">
        <v>26</v>
      </c>
      <c r="AM57" s="40">
        <v>1831</v>
      </c>
      <c r="AN57" s="40">
        <v>22</v>
      </c>
      <c r="AO57" s="40">
        <v>252</v>
      </c>
      <c r="AP57" s="40">
        <v>1894</v>
      </c>
      <c r="AQ57" s="40">
        <v>3</v>
      </c>
      <c r="AR57" s="40">
        <v>63</v>
      </c>
      <c r="AS57" s="40">
        <v>226</v>
      </c>
      <c r="AT57" s="40">
        <v>6981</v>
      </c>
      <c r="AU57" s="40">
        <v>1155</v>
      </c>
      <c r="AV57" s="40">
        <v>756260</v>
      </c>
      <c r="AW57" s="40">
        <v>7495118</v>
      </c>
      <c r="AX57" s="40">
        <v>1288</v>
      </c>
      <c r="AY57" s="40">
        <v>0</v>
      </c>
      <c r="AZ57" s="40">
        <v>281</v>
      </c>
      <c r="BA57" s="40">
        <v>863853</v>
      </c>
      <c r="BB57" s="40">
        <v>121331</v>
      </c>
      <c r="BC57" s="40">
        <v>1380</v>
      </c>
      <c r="BD57" s="40">
        <v>33637</v>
      </c>
      <c r="BE57" s="40">
        <v>7302</v>
      </c>
      <c r="BF57" s="40">
        <v>51143</v>
      </c>
      <c r="BG57" s="40">
        <v>1560621</v>
      </c>
      <c r="BH57" s="40">
        <v>1345813</v>
      </c>
      <c r="BI57" s="40">
        <v>250240</v>
      </c>
      <c r="BJ57" s="40">
        <v>18633</v>
      </c>
      <c r="BK57" s="40">
        <v>54756</v>
      </c>
      <c r="BL57" s="40">
        <v>281481</v>
      </c>
      <c r="BM57" s="40">
        <v>4798687</v>
      </c>
      <c r="BN57" s="40">
        <v>2335968</v>
      </c>
      <c r="BO57" s="40">
        <v>2452320</v>
      </c>
      <c r="BP57" s="40">
        <v>22827</v>
      </c>
      <c r="BQ57" s="40">
        <v>3067</v>
      </c>
      <c r="BR57" s="40">
        <v>1513348</v>
      </c>
      <c r="BS57" s="40">
        <v>0</v>
      </c>
      <c r="BT57" s="40">
        <v>23998501</v>
      </c>
      <c r="BU57" s="40">
        <v>61691300</v>
      </c>
      <c r="BV57" s="40">
        <v>0</v>
      </c>
      <c r="BW57" s="40">
        <v>0</v>
      </c>
      <c r="BX57" s="40">
        <v>61691300</v>
      </c>
      <c r="BY57" s="40">
        <v>0</v>
      </c>
      <c r="BZ57" s="40">
        <v>0</v>
      </c>
      <c r="CA57" s="40">
        <v>0</v>
      </c>
      <c r="CB57" s="40">
        <v>0</v>
      </c>
      <c r="CC57" s="40">
        <v>16329325</v>
      </c>
      <c r="CD57" s="40">
        <v>78020625</v>
      </c>
      <c r="CE57" s="40">
        <v>102019126</v>
      </c>
      <c r="CF57" s="41"/>
      <c r="CG57" s="41"/>
      <c r="CH57" s="42"/>
    </row>
    <row r="58" spans="1:86">
      <c r="A58" s="38">
        <v>52</v>
      </c>
      <c r="B58" s="65" t="s">
        <v>31</v>
      </c>
      <c r="C58" s="39" t="s">
        <v>30</v>
      </c>
      <c r="D58" s="40">
        <v>129</v>
      </c>
      <c r="E58" s="40">
        <v>0</v>
      </c>
      <c r="F58" s="40">
        <v>0</v>
      </c>
      <c r="G58" s="40">
        <v>454</v>
      </c>
      <c r="H58" s="40">
        <v>409366</v>
      </c>
      <c r="I58" s="40">
        <v>18635</v>
      </c>
      <c r="J58" s="40">
        <v>126</v>
      </c>
      <c r="K58" s="40">
        <v>14931</v>
      </c>
      <c r="L58" s="40">
        <v>1298</v>
      </c>
      <c r="M58" s="40">
        <v>24302</v>
      </c>
      <c r="N58" s="40">
        <v>53566</v>
      </c>
      <c r="O58" s="40">
        <v>0</v>
      </c>
      <c r="P58" s="40">
        <v>0</v>
      </c>
      <c r="Q58" s="40">
        <v>189</v>
      </c>
      <c r="R58" s="40">
        <v>269</v>
      </c>
      <c r="S58" s="40">
        <v>0</v>
      </c>
      <c r="T58" s="40">
        <v>0</v>
      </c>
      <c r="U58" s="40">
        <v>172</v>
      </c>
      <c r="V58" s="40">
        <v>0</v>
      </c>
      <c r="W58" s="40">
        <v>0</v>
      </c>
      <c r="X58" s="40">
        <v>17</v>
      </c>
      <c r="Y58" s="40">
        <v>0</v>
      </c>
      <c r="Z58" s="40">
        <v>0</v>
      </c>
      <c r="AA58" s="40">
        <v>1666</v>
      </c>
      <c r="AB58" s="40">
        <v>2368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3213</v>
      </c>
      <c r="AI58" s="40">
        <v>965</v>
      </c>
      <c r="AJ58" s="40">
        <v>114</v>
      </c>
      <c r="AK58" s="40">
        <v>0</v>
      </c>
      <c r="AL58" s="40">
        <v>0</v>
      </c>
      <c r="AM58" s="40">
        <v>10701</v>
      </c>
      <c r="AN58" s="40">
        <v>99</v>
      </c>
      <c r="AO58" s="40">
        <v>30840</v>
      </c>
      <c r="AP58" s="40">
        <v>840</v>
      </c>
      <c r="AQ58" s="40">
        <v>0</v>
      </c>
      <c r="AR58" s="40">
        <v>70</v>
      </c>
      <c r="AS58" s="40">
        <v>1956</v>
      </c>
      <c r="AT58" s="40">
        <v>6974</v>
      </c>
      <c r="AU58" s="40">
        <v>1144</v>
      </c>
      <c r="AV58" s="40">
        <v>75650</v>
      </c>
      <c r="AW58" s="40">
        <v>110161</v>
      </c>
      <c r="AX58" s="40">
        <v>85040</v>
      </c>
      <c r="AY58" s="40">
        <v>35013</v>
      </c>
      <c r="AZ58" s="40">
        <v>133124</v>
      </c>
      <c r="BA58" s="40">
        <v>30551</v>
      </c>
      <c r="BB58" s="40">
        <v>57330</v>
      </c>
      <c r="BC58" s="40">
        <v>1187902</v>
      </c>
      <c r="BD58" s="40">
        <v>0</v>
      </c>
      <c r="BE58" s="40">
        <v>705273</v>
      </c>
      <c r="BF58" s="40">
        <v>889970</v>
      </c>
      <c r="BG58" s="40">
        <v>4359697</v>
      </c>
      <c r="BH58" s="40">
        <v>1831961</v>
      </c>
      <c r="BI58" s="40">
        <v>652606</v>
      </c>
      <c r="BJ58" s="40">
        <v>84094</v>
      </c>
      <c r="BK58" s="40">
        <v>5464901</v>
      </c>
      <c r="BL58" s="40">
        <v>10375916</v>
      </c>
      <c r="BM58" s="40">
        <v>14659687</v>
      </c>
      <c r="BN58" s="40">
        <v>7425024</v>
      </c>
      <c r="BO58" s="40">
        <v>10215</v>
      </c>
      <c r="BP58" s="40">
        <v>86</v>
      </c>
      <c r="BQ58" s="40">
        <v>10694119</v>
      </c>
      <c r="BR58" s="40">
        <v>121447326</v>
      </c>
      <c r="BS58" s="40">
        <v>0</v>
      </c>
      <c r="BT58" s="40">
        <v>180900050</v>
      </c>
      <c r="BU58" s="40">
        <v>422483250</v>
      </c>
      <c r="BV58" s="40">
        <v>0</v>
      </c>
      <c r="BW58" s="40">
        <v>0</v>
      </c>
      <c r="BX58" s="40">
        <v>422483250</v>
      </c>
      <c r="BY58" s="40">
        <v>0</v>
      </c>
      <c r="BZ58" s="40">
        <v>0</v>
      </c>
      <c r="CA58" s="40">
        <v>0</v>
      </c>
      <c r="CB58" s="40">
        <v>0</v>
      </c>
      <c r="CC58" s="40">
        <v>249238700</v>
      </c>
      <c r="CD58" s="40">
        <v>671721950</v>
      </c>
      <c r="CE58" s="40">
        <v>852622000</v>
      </c>
      <c r="CF58" s="41"/>
      <c r="CG58" s="41"/>
      <c r="CH58" s="42"/>
    </row>
    <row r="59" spans="1:86" ht="22.5">
      <c r="A59" s="38">
        <v>53</v>
      </c>
      <c r="B59" s="65" t="s">
        <v>29</v>
      </c>
      <c r="C59" s="39" t="s">
        <v>28</v>
      </c>
      <c r="D59" s="40">
        <v>92794</v>
      </c>
      <c r="E59" s="40">
        <v>0</v>
      </c>
      <c r="F59" s="40">
        <v>0</v>
      </c>
      <c r="G59" s="40">
        <v>59927</v>
      </c>
      <c r="H59" s="40">
        <v>4939096</v>
      </c>
      <c r="I59" s="40">
        <v>229421</v>
      </c>
      <c r="J59" s="40">
        <v>3288</v>
      </c>
      <c r="K59" s="40">
        <v>120339</v>
      </c>
      <c r="L59" s="40">
        <v>245371</v>
      </c>
      <c r="M59" s="40">
        <v>256172</v>
      </c>
      <c r="N59" s="40">
        <v>126214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9375</v>
      </c>
      <c r="X59" s="40">
        <v>0</v>
      </c>
      <c r="Y59" s="40">
        <v>0</v>
      </c>
      <c r="Z59" s="40">
        <v>0</v>
      </c>
      <c r="AA59" s="40">
        <v>1830</v>
      </c>
      <c r="AB59" s="40">
        <v>15833</v>
      </c>
      <c r="AC59" s="40">
        <v>1009</v>
      </c>
      <c r="AD59" s="40">
        <v>0</v>
      </c>
      <c r="AE59" s="40">
        <v>9807</v>
      </c>
      <c r="AF59" s="40">
        <v>0</v>
      </c>
      <c r="AG59" s="40">
        <v>0</v>
      </c>
      <c r="AH59" s="40">
        <v>0</v>
      </c>
      <c r="AI59" s="40">
        <v>0</v>
      </c>
      <c r="AJ59" s="40">
        <v>7</v>
      </c>
      <c r="AK59" s="40">
        <v>0</v>
      </c>
      <c r="AL59" s="40">
        <v>0</v>
      </c>
      <c r="AM59" s="40">
        <v>0</v>
      </c>
      <c r="AN59" s="40">
        <v>103</v>
      </c>
      <c r="AO59" s="40">
        <v>108650</v>
      </c>
      <c r="AP59" s="40">
        <v>13756</v>
      </c>
      <c r="AQ59" s="40">
        <v>0</v>
      </c>
      <c r="AR59" s="40">
        <v>1181</v>
      </c>
      <c r="AS59" s="40">
        <v>3352</v>
      </c>
      <c r="AT59" s="40">
        <v>1924252</v>
      </c>
      <c r="AU59" s="40">
        <v>0</v>
      </c>
      <c r="AV59" s="40">
        <v>4061693</v>
      </c>
      <c r="AW59" s="40">
        <v>3090364</v>
      </c>
      <c r="AX59" s="40">
        <v>746669</v>
      </c>
      <c r="AY59" s="40">
        <v>324163</v>
      </c>
      <c r="AZ59" s="40">
        <v>3124390</v>
      </c>
      <c r="BA59" s="40">
        <v>91853</v>
      </c>
      <c r="BB59" s="40">
        <v>0</v>
      </c>
      <c r="BC59" s="40">
        <v>5230450</v>
      </c>
      <c r="BD59" s="40">
        <v>0</v>
      </c>
      <c r="BE59" s="40">
        <v>50013</v>
      </c>
      <c r="BF59" s="40">
        <v>921771</v>
      </c>
      <c r="BG59" s="40">
        <v>1979997</v>
      </c>
      <c r="BH59" s="40">
        <v>0</v>
      </c>
      <c r="BI59" s="40">
        <v>0</v>
      </c>
      <c r="BJ59" s="40">
        <v>1604887</v>
      </c>
      <c r="BK59" s="40">
        <v>6810727</v>
      </c>
      <c r="BL59" s="40">
        <v>1605947</v>
      </c>
      <c r="BM59" s="40">
        <v>38857283</v>
      </c>
      <c r="BN59" s="40">
        <v>58219400</v>
      </c>
      <c r="BO59" s="40">
        <v>733017</v>
      </c>
      <c r="BP59" s="40">
        <v>527563</v>
      </c>
      <c r="BQ59" s="40">
        <v>31848993</v>
      </c>
      <c r="BR59" s="40">
        <v>3956529</v>
      </c>
      <c r="BS59" s="40">
        <v>0</v>
      </c>
      <c r="BT59" s="40">
        <v>171947486</v>
      </c>
      <c r="BU59" s="40">
        <v>2337068717</v>
      </c>
      <c r="BV59" s="40">
        <v>0</v>
      </c>
      <c r="BW59" s="40">
        <v>0</v>
      </c>
      <c r="BX59" s="40">
        <v>2337068717</v>
      </c>
      <c r="BY59" s="40">
        <v>0</v>
      </c>
      <c r="BZ59" s="40">
        <v>0</v>
      </c>
      <c r="CA59" s="40">
        <v>0</v>
      </c>
      <c r="CB59" s="40">
        <v>0</v>
      </c>
      <c r="CC59" s="40">
        <v>185501128</v>
      </c>
      <c r="CD59" s="40">
        <v>2522569845</v>
      </c>
      <c r="CE59" s="40">
        <v>2694517331</v>
      </c>
      <c r="CF59" s="41"/>
      <c r="CG59" s="41"/>
      <c r="CH59" s="42"/>
    </row>
    <row r="60" spans="1:86" ht="21.75" customHeight="1">
      <c r="A60" s="38">
        <v>54</v>
      </c>
      <c r="B60" s="67" t="s">
        <v>198</v>
      </c>
      <c r="C60" s="39" t="s">
        <v>161</v>
      </c>
      <c r="D60" s="40">
        <v>186118</v>
      </c>
      <c r="E60" s="40">
        <v>1040</v>
      </c>
      <c r="F60" s="40">
        <v>0</v>
      </c>
      <c r="G60" s="40">
        <v>0</v>
      </c>
      <c r="H60" s="40">
        <v>4549132</v>
      </c>
      <c r="I60" s="40">
        <v>206547</v>
      </c>
      <c r="J60" s="40">
        <v>144</v>
      </c>
      <c r="K60" s="40">
        <v>8157</v>
      </c>
      <c r="L60" s="40">
        <v>12778</v>
      </c>
      <c r="M60" s="40">
        <v>2201</v>
      </c>
      <c r="N60" s="40">
        <v>77619</v>
      </c>
      <c r="O60" s="40">
        <v>0</v>
      </c>
      <c r="P60" s="40">
        <v>0</v>
      </c>
      <c r="Q60" s="40">
        <v>3072</v>
      </c>
      <c r="R60" s="40">
        <v>1</v>
      </c>
      <c r="S60" s="40">
        <v>0</v>
      </c>
      <c r="T60" s="40">
        <v>0</v>
      </c>
      <c r="U60" s="40">
        <v>1093</v>
      </c>
      <c r="V60" s="40">
        <v>0</v>
      </c>
      <c r="W60" s="40">
        <v>1546295</v>
      </c>
      <c r="X60" s="40">
        <v>29336</v>
      </c>
      <c r="Y60" s="40">
        <v>295058</v>
      </c>
      <c r="Z60" s="40">
        <v>0</v>
      </c>
      <c r="AA60" s="40">
        <v>35571</v>
      </c>
      <c r="AB60" s="40">
        <v>88909</v>
      </c>
      <c r="AC60" s="40">
        <v>0</v>
      </c>
      <c r="AD60" s="40">
        <v>0</v>
      </c>
      <c r="AE60" s="40">
        <v>313</v>
      </c>
      <c r="AF60" s="40">
        <v>24</v>
      </c>
      <c r="AG60" s="40">
        <v>78</v>
      </c>
      <c r="AH60" s="40">
        <v>0</v>
      </c>
      <c r="AI60" s="40">
        <v>890</v>
      </c>
      <c r="AJ60" s="40">
        <v>4772</v>
      </c>
      <c r="AK60" s="40">
        <v>240</v>
      </c>
      <c r="AL60" s="40">
        <v>519</v>
      </c>
      <c r="AM60" s="40">
        <v>21102</v>
      </c>
      <c r="AN60" s="40">
        <v>597</v>
      </c>
      <c r="AO60" s="40">
        <v>7452</v>
      </c>
      <c r="AP60" s="40">
        <v>203416</v>
      </c>
      <c r="AQ60" s="40">
        <v>41557</v>
      </c>
      <c r="AR60" s="40">
        <v>934</v>
      </c>
      <c r="AS60" s="40">
        <v>2465</v>
      </c>
      <c r="AT60" s="40">
        <v>165212</v>
      </c>
      <c r="AU60" s="40">
        <v>1027</v>
      </c>
      <c r="AV60" s="40">
        <v>34155171</v>
      </c>
      <c r="AW60" s="40">
        <v>18530538</v>
      </c>
      <c r="AX60" s="40">
        <v>291356</v>
      </c>
      <c r="AY60" s="40">
        <v>16993</v>
      </c>
      <c r="AZ60" s="40">
        <v>4821477</v>
      </c>
      <c r="BA60" s="40">
        <v>441170</v>
      </c>
      <c r="BB60" s="40">
        <v>20839</v>
      </c>
      <c r="BC60" s="40">
        <v>312001</v>
      </c>
      <c r="BD60" s="40">
        <v>13083047</v>
      </c>
      <c r="BE60" s="40">
        <v>68584872</v>
      </c>
      <c r="BF60" s="40">
        <v>8746567</v>
      </c>
      <c r="BG60" s="40">
        <v>99838645</v>
      </c>
      <c r="BH60" s="40">
        <v>94404168</v>
      </c>
      <c r="BI60" s="40">
        <v>14267308</v>
      </c>
      <c r="BJ60" s="40">
        <v>6844837</v>
      </c>
      <c r="BK60" s="40">
        <v>33121588</v>
      </c>
      <c r="BL60" s="40">
        <v>1325434</v>
      </c>
      <c r="BM60" s="40">
        <v>629955345</v>
      </c>
      <c r="BN60" s="40">
        <v>148992983</v>
      </c>
      <c r="BO60" s="40">
        <v>16313012</v>
      </c>
      <c r="BP60" s="40">
        <v>634862</v>
      </c>
      <c r="BQ60" s="40">
        <v>16372019</v>
      </c>
      <c r="BR60" s="40">
        <v>18986189</v>
      </c>
      <c r="BS60" s="40">
        <v>0</v>
      </c>
      <c r="BT60" s="40">
        <v>1237554090</v>
      </c>
      <c r="BU60" s="40">
        <v>138997640</v>
      </c>
      <c r="BV60" s="40">
        <v>0</v>
      </c>
      <c r="BW60" s="40">
        <v>0</v>
      </c>
      <c r="BX60" s="40">
        <v>138997640</v>
      </c>
      <c r="BY60" s="40">
        <v>1265254651</v>
      </c>
      <c r="BZ60" s="40">
        <v>856778</v>
      </c>
      <c r="CA60" s="40">
        <v>0</v>
      </c>
      <c r="CB60" s="40">
        <v>1266111429</v>
      </c>
      <c r="CC60" s="40">
        <v>434845636</v>
      </c>
      <c r="CD60" s="40">
        <v>1839954705</v>
      </c>
      <c r="CE60" s="40">
        <v>3077508795</v>
      </c>
      <c r="CF60" s="41"/>
      <c r="CG60" s="41"/>
      <c r="CH60" s="42"/>
    </row>
    <row r="61" spans="1:86">
      <c r="A61" s="38">
        <v>55</v>
      </c>
      <c r="B61" s="65" t="s">
        <v>27</v>
      </c>
      <c r="C61" s="39" t="s">
        <v>26</v>
      </c>
      <c r="D61" s="40">
        <v>80450</v>
      </c>
      <c r="E61" s="40">
        <v>104</v>
      </c>
      <c r="F61" s="40">
        <v>324</v>
      </c>
      <c r="G61" s="40">
        <v>850</v>
      </c>
      <c r="H61" s="40">
        <v>113960</v>
      </c>
      <c r="I61" s="40">
        <v>5203</v>
      </c>
      <c r="J61" s="40">
        <v>720</v>
      </c>
      <c r="K61" s="40">
        <v>1548</v>
      </c>
      <c r="L61" s="40">
        <v>774</v>
      </c>
      <c r="M61" s="40">
        <v>4244</v>
      </c>
      <c r="N61" s="40">
        <v>52567</v>
      </c>
      <c r="O61" s="40">
        <v>38007</v>
      </c>
      <c r="P61" s="40">
        <v>96</v>
      </c>
      <c r="Q61" s="40">
        <v>1109</v>
      </c>
      <c r="R61" s="40">
        <v>67</v>
      </c>
      <c r="S61" s="40">
        <v>0</v>
      </c>
      <c r="T61" s="40">
        <v>2382</v>
      </c>
      <c r="U61" s="40">
        <v>257</v>
      </c>
      <c r="V61" s="40">
        <v>0</v>
      </c>
      <c r="W61" s="40">
        <v>143</v>
      </c>
      <c r="X61" s="40">
        <v>726</v>
      </c>
      <c r="Y61" s="40">
        <v>355</v>
      </c>
      <c r="Z61" s="40">
        <v>414</v>
      </c>
      <c r="AA61" s="40">
        <v>12520</v>
      </c>
      <c r="AB61" s="40">
        <v>1453</v>
      </c>
      <c r="AC61" s="40">
        <v>66</v>
      </c>
      <c r="AD61" s="40">
        <v>65</v>
      </c>
      <c r="AE61" s="40">
        <v>29086</v>
      </c>
      <c r="AF61" s="40">
        <v>26</v>
      </c>
      <c r="AG61" s="40">
        <v>585</v>
      </c>
      <c r="AH61" s="40">
        <v>55</v>
      </c>
      <c r="AI61" s="40">
        <v>203</v>
      </c>
      <c r="AJ61" s="40">
        <v>310</v>
      </c>
      <c r="AK61" s="40">
        <v>160</v>
      </c>
      <c r="AL61" s="40">
        <v>273</v>
      </c>
      <c r="AM61" s="40">
        <v>1216</v>
      </c>
      <c r="AN61" s="40">
        <v>95</v>
      </c>
      <c r="AO61" s="40">
        <v>560846</v>
      </c>
      <c r="AP61" s="40">
        <v>36003</v>
      </c>
      <c r="AQ61" s="40">
        <v>179</v>
      </c>
      <c r="AR61" s="40">
        <v>1869</v>
      </c>
      <c r="AS61" s="40">
        <v>11142</v>
      </c>
      <c r="AT61" s="40">
        <v>85273</v>
      </c>
      <c r="AU61" s="40">
        <v>33236</v>
      </c>
      <c r="AV61" s="40">
        <v>580405</v>
      </c>
      <c r="AW61" s="40">
        <v>1056160</v>
      </c>
      <c r="AX61" s="40">
        <v>592301</v>
      </c>
      <c r="AY61" s="40">
        <v>67915</v>
      </c>
      <c r="AZ61" s="40">
        <v>13100</v>
      </c>
      <c r="BA61" s="40">
        <v>109543</v>
      </c>
      <c r="BB61" s="40">
        <v>1984</v>
      </c>
      <c r="BC61" s="40">
        <v>224120</v>
      </c>
      <c r="BD61" s="40">
        <v>129609</v>
      </c>
      <c r="BE61" s="40">
        <v>679751</v>
      </c>
      <c r="BF61" s="40">
        <v>45017985</v>
      </c>
      <c r="BG61" s="40">
        <v>33364212</v>
      </c>
      <c r="BH61" s="40">
        <v>22688542</v>
      </c>
      <c r="BI61" s="40">
        <v>11111841</v>
      </c>
      <c r="BJ61" s="40">
        <v>405452</v>
      </c>
      <c r="BK61" s="40">
        <v>639046</v>
      </c>
      <c r="BL61" s="40">
        <v>201208</v>
      </c>
      <c r="BM61" s="40">
        <v>218286497</v>
      </c>
      <c r="BN61" s="40">
        <v>56014078</v>
      </c>
      <c r="BO61" s="40">
        <v>9049548</v>
      </c>
      <c r="BP61" s="40">
        <v>356577</v>
      </c>
      <c r="BQ61" s="40">
        <v>165481</v>
      </c>
      <c r="BR61" s="40">
        <v>5254368</v>
      </c>
      <c r="BS61" s="40">
        <v>0</v>
      </c>
      <c r="BT61" s="40">
        <v>407088684</v>
      </c>
      <c r="BU61" s="40">
        <v>1425716138</v>
      </c>
      <c r="BV61" s="40">
        <v>0</v>
      </c>
      <c r="BW61" s="40">
        <v>0</v>
      </c>
      <c r="BX61" s="40">
        <v>1425716138</v>
      </c>
      <c r="BY61" s="40">
        <v>0</v>
      </c>
      <c r="BZ61" s="40">
        <v>0</v>
      </c>
      <c r="CA61" s="40">
        <v>0</v>
      </c>
      <c r="CB61" s="40">
        <v>0</v>
      </c>
      <c r="CC61" s="40">
        <v>119604035</v>
      </c>
      <c r="CD61" s="40">
        <v>1545320173</v>
      </c>
      <c r="CE61" s="40">
        <v>1952408857</v>
      </c>
      <c r="CF61" s="41"/>
      <c r="CG61" s="41"/>
      <c r="CH61" s="42"/>
    </row>
    <row r="62" spans="1:86" ht="22.5">
      <c r="A62" s="38">
        <v>56</v>
      </c>
      <c r="B62" s="65" t="s">
        <v>25</v>
      </c>
      <c r="C62" s="39" t="s">
        <v>24</v>
      </c>
      <c r="D62" s="40">
        <v>145579709</v>
      </c>
      <c r="E62" s="40">
        <v>16258</v>
      </c>
      <c r="F62" s="40">
        <v>1083266</v>
      </c>
      <c r="G62" s="40">
        <v>368144</v>
      </c>
      <c r="H62" s="40">
        <v>19633498</v>
      </c>
      <c r="I62" s="40">
        <v>1158077</v>
      </c>
      <c r="J62" s="40">
        <v>219826</v>
      </c>
      <c r="K62" s="40">
        <v>799494</v>
      </c>
      <c r="L62" s="40">
        <v>136525</v>
      </c>
      <c r="M62" s="40">
        <v>105294</v>
      </c>
      <c r="N62" s="40">
        <v>24836454</v>
      </c>
      <c r="O62" s="40">
        <v>5211317</v>
      </c>
      <c r="P62" s="40">
        <v>292906</v>
      </c>
      <c r="Q62" s="40">
        <v>155570</v>
      </c>
      <c r="R62" s="40">
        <v>15766</v>
      </c>
      <c r="S62" s="40">
        <v>68109</v>
      </c>
      <c r="T62" s="40">
        <v>316791</v>
      </c>
      <c r="U62" s="40">
        <v>124567</v>
      </c>
      <c r="V62" s="40">
        <v>575647</v>
      </c>
      <c r="W62" s="40">
        <v>19195996</v>
      </c>
      <c r="X62" s="40">
        <v>732999</v>
      </c>
      <c r="Y62" s="40">
        <v>70920</v>
      </c>
      <c r="Z62" s="40">
        <v>312236</v>
      </c>
      <c r="AA62" s="40">
        <v>2269525</v>
      </c>
      <c r="AB62" s="40">
        <v>116635</v>
      </c>
      <c r="AC62" s="40">
        <v>14925</v>
      </c>
      <c r="AD62" s="40">
        <v>15169</v>
      </c>
      <c r="AE62" s="40">
        <v>30563</v>
      </c>
      <c r="AF62" s="40">
        <v>740</v>
      </c>
      <c r="AG62" s="40">
        <v>178742</v>
      </c>
      <c r="AH62" s="40">
        <v>137810</v>
      </c>
      <c r="AI62" s="40">
        <v>18367</v>
      </c>
      <c r="AJ62" s="40">
        <v>45525</v>
      </c>
      <c r="AK62" s="40">
        <v>3588440</v>
      </c>
      <c r="AL62" s="40">
        <v>921488</v>
      </c>
      <c r="AM62" s="40">
        <v>546915</v>
      </c>
      <c r="AN62" s="40">
        <v>50614</v>
      </c>
      <c r="AO62" s="40">
        <v>827952</v>
      </c>
      <c r="AP62" s="40">
        <v>5538274</v>
      </c>
      <c r="AQ62" s="40">
        <v>2269106</v>
      </c>
      <c r="AR62" s="40">
        <v>979053</v>
      </c>
      <c r="AS62" s="40">
        <v>2511107</v>
      </c>
      <c r="AT62" s="40">
        <v>34420915</v>
      </c>
      <c r="AU62" s="40">
        <v>31990829</v>
      </c>
      <c r="AV62" s="40">
        <v>233250059</v>
      </c>
      <c r="AW62" s="40">
        <v>76813985</v>
      </c>
      <c r="AX62" s="40">
        <v>65681083</v>
      </c>
      <c r="AY62" s="40">
        <v>1246580</v>
      </c>
      <c r="AZ62" s="40">
        <v>2865912</v>
      </c>
      <c r="BA62" s="40">
        <v>16392030</v>
      </c>
      <c r="BB62" s="40">
        <v>815703</v>
      </c>
      <c r="BC62" s="40">
        <v>13628686</v>
      </c>
      <c r="BD62" s="40">
        <v>28447397</v>
      </c>
      <c r="BE62" s="40">
        <v>33890619</v>
      </c>
      <c r="BF62" s="40">
        <v>14211735</v>
      </c>
      <c r="BG62" s="40">
        <v>58040622</v>
      </c>
      <c r="BH62" s="40">
        <v>33904300</v>
      </c>
      <c r="BI62" s="40">
        <v>24149242</v>
      </c>
      <c r="BJ62" s="40">
        <v>1276367160</v>
      </c>
      <c r="BK62" s="40">
        <v>108011733</v>
      </c>
      <c r="BL62" s="40">
        <v>45332487</v>
      </c>
      <c r="BM62" s="40">
        <v>205508001</v>
      </c>
      <c r="BN62" s="40">
        <v>204956450</v>
      </c>
      <c r="BO62" s="40">
        <v>83047492</v>
      </c>
      <c r="BP62" s="40">
        <v>185070</v>
      </c>
      <c r="BQ62" s="40">
        <v>1358353</v>
      </c>
      <c r="BR62" s="40">
        <v>71318593</v>
      </c>
      <c r="BS62" s="40">
        <v>0</v>
      </c>
      <c r="BT62" s="40">
        <v>2906905355</v>
      </c>
      <c r="BU62" s="40">
        <v>1578102562</v>
      </c>
      <c r="BV62" s="40">
        <v>33575800</v>
      </c>
      <c r="BW62" s="40">
        <v>0</v>
      </c>
      <c r="BX62" s="40">
        <v>1611678362</v>
      </c>
      <c r="BY62" s="40">
        <v>0</v>
      </c>
      <c r="BZ62" s="40">
        <v>0</v>
      </c>
      <c r="CA62" s="40">
        <v>0</v>
      </c>
      <c r="CB62" s="40">
        <v>0</v>
      </c>
      <c r="CC62" s="40">
        <v>436661686</v>
      </c>
      <c r="CD62" s="40">
        <v>2048340048</v>
      </c>
      <c r="CE62" s="40">
        <v>4955245403</v>
      </c>
      <c r="CF62" s="41"/>
      <c r="CG62" s="41"/>
      <c r="CH62" s="42"/>
    </row>
    <row r="63" spans="1:86" ht="45">
      <c r="A63" s="38">
        <v>57</v>
      </c>
      <c r="B63" s="65" t="s">
        <v>23</v>
      </c>
      <c r="C63" s="39" t="s">
        <v>138</v>
      </c>
      <c r="D63" s="40">
        <v>86696487</v>
      </c>
      <c r="E63" s="40">
        <v>63484</v>
      </c>
      <c r="F63" s="40">
        <v>49311</v>
      </c>
      <c r="G63" s="40">
        <v>275100</v>
      </c>
      <c r="H63" s="40">
        <v>159266850</v>
      </c>
      <c r="I63" s="40">
        <v>7538611</v>
      </c>
      <c r="J63" s="40">
        <v>494663</v>
      </c>
      <c r="K63" s="40">
        <v>246075</v>
      </c>
      <c r="L63" s="40">
        <v>134286</v>
      </c>
      <c r="M63" s="40">
        <v>27976</v>
      </c>
      <c r="N63" s="40">
        <v>249991</v>
      </c>
      <c r="O63" s="40">
        <v>185264</v>
      </c>
      <c r="P63" s="40">
        <v>0</v>
      </c>
      <c r="Q63" s="40">
        <v>458</v>
      </c>
      <c r="R63" s="40">
        <v>0</v>
      </c>
      <c r="S63" s="40">
        <v>0</v>
      </c>
      <c r="T63" s="40">
        <v>0</v>
      </c>
      <c r="U63" s="40">
        <v>35</v>
      </c>
      <c r="V63" s="40">
        <v>0</v>
      </c>
      <c r="W63" s="40">
        <v>21618</v>
      </c>
      <c r="X63" s="40">
        <v>13412</v>
      </c>
      <c r="Y63" s="40">
        <v>0</v>
      </c>
      <c r="Z63" s="40">
        <v>1075</v>
      </c>
      <c r="AA63" s="40">
        <v>60103</v>
      </c>
      <c r="AB63" s="40">
        <v>156464</v>
      </c>
      <c r="AC63" s="40">
        <v>0</v>
      </c>
      <c r="AD63" s="40">
        <v>401</v>
      </c>
      <c r="AE63" s="40">
        <v>562306</v>
      </c>
      <c r="AF63" s="40">
        <v>0</v>
      </c>
      <c r="AG63" s="40">
        <v>968</v>
      </c>
      <c r="AH63" s="40">
        <v>3867</v>
      </c>
      <c r="AI63" s="40">
        <v>1256</v>
      </c>
      <c r="AJ63" s="40">
        <v>2629</v>
      </c>
      <c r="AK63" s="40">
        <v>0</v>
      </c>
      <c r="AL63" s="40">
        <v>15841</v>
      </c>
      <c r="AM63" s="40">
        <v>404</v>
      </c>
      <c r="AN63" s="40">
        <v>19</v>
      </c>
      <c r="AO63" s="40">
        <v>106923</v>
      </c>
      <c r="AP63" s="40">
        <v>419700</v>
      </c>
      <c r="AQ63" s="40">
        <v>254712</v>
      </c>
      <c r="AR63" s="40">
        <v>107168</v>
      </c>
      <c r="AS63" s="40">
        <v>107926</v>
      </c>
      <c r="AT63" s="40">
        <v>415788</v>
      </c>
      <c r="AU63" s="40">
        <v>2184156</v>
      </c>
      <c r="AV63" s="40">
        <v>171442025</v>
      </c>
      <c r="AW63" s="40">
        <v>37742089</v>
      </c>
      <c r="AX63" s="40">
        <v>66797811</v>
      </c>
      <c r="AY63" s="40">
        <v>764109</v>
      </c>
      <c r="AZ63" s="40">
        <v>7534038</v>
      </c>
      <c r="BA63" s="40">
        <v>5120152</v>
      </c>
      <c r="BB63" s="40">
        <v>44334</v>
      </c>
      <c r="BC63" s="40">
        <v>125356</v>
      </c>
      <c r="BD63" s="40">
        <v>42262</v>
      </c>
      <c r="BE63" s="40">
        <v>124673706</v>
      </c>
      <c r="BF63" s="40">
        <v>3390948</v>
      </c>
      <c r="BG63" s="40">
        <v>214114187</v>
      </c>
      <c r="BH63" s="40">
        <v>64409861</v>
      </c>
      <c r="BI63" s="40">
        <v>676726</v>
      </c>
      <c r="BJ63" s="40">
        <v>16234259</v>
      </c>
      <c r="BK63" s="40">
        <v>3625466</v>
      </c>
      <c r="BL63" s="40">
        <v>70036475</v>
      </c>
      <c r="BM63" s="40">
        <v>18038917</v>
      </c>
      <c r="BN63" s="40">
        <v>180369</v>
      </c>
      <c r="BO63" s="40">
        <v>1210</v>
      </c>
      <c r="BP63" s="40">
        <v>14304</v>
      </c>
      <c r="BQ63" s="40">
        <v>83772935</v>
      </c>
      <c r="BR63" s="40">
        <v>18309578</v>
      </c>
      <c r="BS63" s="40">
        <v>0</v>
      </c>
      <c r="BT63" s="40">
        <v>1166756444</v>
      </c>
      <c r="BU63" s="40">
        <v>543632470</v>
      </c>
      <c r="BV63" s="40">
        <v>0</v>
      </c>
      <c r="BW63" s="40">
        <v>0</v>
      </c>
      <c r="BX63" s="40">
        <v>543632470</v>
      </c>
      <c r="BY63" s="40">
        <v>0</v>
      </c>
      <c r="BZ63" s="40">
        <v>0</v>
      </c>
      <c r="CA63" s="40">
        <v>0</v>
      </c>
      <c r="CB63" s="40">
        <v>0</v>
      </c>
      <c r="CC63" s="40">
        <v>124623107</v>
      </c>
      <c r="CD63" s="40">
        <v>668255577</v>
      </c>
      <c r="CE63" s="40">
        <v>1835012021</v>
      </c>
      <c r="CF63" s="41"/>
      <c r="CG63" s="41"/>
      <c r="CH63" s="42"/>
    </row>
    <row r="64" spans="1:86" ht="33.75">
      <c r="A64" s="38">
        <v>58</v>
      </c>
      <c r="B64" s="65" t="s">
        <v>22</v>
      </c>
      <c r="C64" s="39" t="s">
        <v>139</v>
      </c>
      <c r="D64" s="40">
        <v>32503</v>
      </c>
      <c r="E64" s="40">
        <v>0</v>
      </c>
      <c r="F64" s="40">
        <v>0</v>
      </c>
      <c r="G64" s="40">
        <v>0</v>
      </c>
      <c r="H64" s="40">
        <v>38789989</v>
      </c>
      <c r="I64" s="40">
        <v>1800956</v>
      </c>
      <c r="J64" s="40">
        <v>0</v>
      </c>
      <c r="K64" s="40">
        <v>6312</v>
      </c>
      <c r="L64" s="40">
        <v>0</v>
      </c>
      <c r="M64" s="40">
        <v>111</v>
      </c>
      <c r="N64" s="40">
        <v>22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T64" s="40">
        <v>0</v>
      </c>
      <c r="U64" s="40">
        <v>90</v>
      </c>
      <c r="V64" s="40">
        <v>0</v>
      </c>
      <c r="W64" s="40">
        <v>0</v>
      </c>
      <c r="X64" s="40">
        <v>40</v>
      </c>
      <c r="Y64" s="40">
        <v>0</v>
      </c>
      <c r="Z64" s="40">
        <v>25</v>
      </c>
      <c r="AA64" s="40">
        <v>663</v>
      </c>
      <c r="AB64" s="40">
        <v>0</v>
      </c>
      <c r="AC64" s="40">
        <v>0</v>
      </c>
      <c r="AD64" s="40">
        <v>0</v>
      </c>
      <c r="AE64" s="40">
        <v>0</v>
      </c>
      <c r="AF64" s="40">
        <v>93</v>
      </c>
      <c r="AG64" s="40">
        <v>0</v>
      </c>
      <c r="AH64" s="40">
        <v>0</v>
      </c>
      <c r="AI64" s="40">
        <v>4</v>
      </c>
      <c r="AJ64" s="40">
        <v>0</v>
      </c>
      <c r="AK64" s="40">
        <v>0</v>
      </c>
      <c r="AL64" s="40">
        <v>0</v>
      </c>
      <c r="AM64" s="40">
        <v>1040</v>
      </c>
      <c r="AN64" s="40">
        <v>0</v>
      </c>
      <c r="AO64" s="40">
        <v>845</v>
      </c>
      <c r="AP64" s="40">
        <v>594</v>
      </c>
      <c r="AQ64" s="40">
        <v>0</v>
      </c>
      <c r="AR64" s="40">
        <v>11</v>
      </c>
      <c r="AS64" s="40">
        <v>749</v>
      </c>
      <c r="AT64" s="40">
        <v>163163</v>
      </c>
      <c r="AU64" s="40">
        <v>597425</v>
      </c>
      <c r="AV64" s="40">
        <v>141939747</v>
      </c>
      <c r="AW64" s="40">
        <v>71515437</v>
      </c>
      <c r="AX64" s="40">
        <v>48638</v>
      </c>
      <c r="AY64" s="40">
        <v>0</v>
      </c>
      <c r="AZ64" s="40">
        <v>782</v>
      </c>
      <c r="BA64" s="40">
        <v>776408</v>
      </c>
      <c r="BB64" s="40">
        <v>0</v>
      </c>
      <c r="BC64" s="40">
        <v>66066</v>
      </c>
      <c r="BD64" s="40">
        <v>0</v>
      </c>
      <c r="BE64" s="40">
        <v>28482</v>
      </c>
      <c r="BF64" s="40">
        <v>24591</v>
      </c>
      <c r="BG64" s="40">
        <v>186387234</v>
      </c>
      <c r="BH64" s="40">
        <v>75086204</v>
      </c>
      <c r="BI64" s="40">
        <v>2509860</v>
      </c>
      <c r="BJ64" s="40">
        <v>16111</v>
      </c>
      <c r="BK64" s="40">
        <v>27410220</v>
      </c>
      <c r="BL64" s="40">
        <v>4670</v>
      </c>
      <c r="BM64" s="40">
        <v>127362</v>
      </c>
      <c r="BN64" s="40">
        <v>71</v>
      </c>
      <c r="BO64" s="40">
        <v>0</v>
      </c>
      <c r="BP64" s="40">
        <v>4532</v>
      </c>
      <c r="BQ64" s="40">
        <v>927</v>
      </c>
      <c r="BR64" s="40">
        <v>852751</v>
      </c>
      <c r="BS64" s="40">
        <v>0</v>
      </c>
      <c r="BT64" s="40">
        <v>548194728</v>
      </c>
      <c r="BU64" s="40">
        <v>0</v>
      </c>
      <c r="BV64" s="40">
        <v>0</v>
      </c>
      <c r="BW64" s="40">
        <v>0</v>
      </c>
      <c r="BX64" s="40">
        <v>0</v>
      </c>
      <c r="BY64" s="40">
        <v>0</v>
      </c>
      <c r="BZ64" s="40">
        <v>0</v>
      </c>
      <c r="CA64" s="40">
        <v>0</v>
      </c>
      <c r="CB64" s="40">
        <v>0</v>
      </c>
      <c r="CC64" s="40">
        <v>0</v>
      </c>
      <c r="CD64" s="40">
        <v>0</v>
      </c>
      <c r="CE64" s="40">
        <v>548194728</v>
      </c>
      <c r="CF64" s="41"/>
      <c r="CG64" s="41"/>
      <c r="CH64" s="42"/>
    </row>
    <row r="65" spans="1:86" ht="22.5">
      <c r="A65" s="38">
        <v>59</v>
      </c>
      <c r="B65" s="65" t="s">
        <v>21</v>
      </c>
      <c r="C65" s="39" t="s">
        <v>20</v>
      </c>
      <c r="D65" s="40">
        <v>4067881</v>
      </c>
      <c r="E65" s="40">
        <v>70</v>
      </c>
      <c r="F65" s="40">
        <v>0</v>
      </c>
      <c r="G65" s="40">
        <v>6010</v>
      </c>
      <c r="H65" s="40">
        <v>761187</v>
      </c>
      <c r="I65" s="40">
        <v>34374</v>
      </c>
      <c r="J65" s="40">
        <v>19854</v>
      </c>
      <c r="K65" s="40">
        <v>50615</v>
      </c>
      <c r="L65" s="40">
        <v>100124</v>
      </c>
      <c r="M65" s="40">
        <v>165860</v>
      </c>
      <c r="N65" s="40">
        <v>1329801</v>
      </c>
      <c r="O65" s="40">
        <v>2809616</v>
      </c>
      <c r="P65" s="40">
        <v>659</v>
      </c>
      <c r="Q65" s="40">
        <v>16047</v>
      </c>
      <c r="R65" s="40">
        <v>2840</v>
      </c>
      <c r="S65" s="40">
        <v>0</v>
      </c>
      <c r="T65" s="40">
        <v>399401</v>
      </c>
      <c r="U65" s="40">
        <v>642</v>
      </c>
      <c r="V65" s="40">
        <v>0</v>
      </c>
      <c r="W65" s="40">
        <v>1660</v>
      </c>
      <c r="X65" s="40">
        <v>49709</v>
      </c>
      <c r="Y65" s="40">
        <v>149859</v>
      </c>
      <c r="Z65" s="40">
        <v>31472</v>
      </c>
      <c r="AA65" s="40">
        <v>155734</v>
      </c>
      <c r="AB65" s="40">
        <v>9757</v>
      </c>
      <c r="AC65" s="40">
        <v>0</v>
      </c>
      <c r="AD65" s="40">
        <v>1440</v>
      </c>
      <c r="AE65" s="40">
        <v>25942</v>
      </c>
      <c r="AF65" s="40">
        <v>0</v>
      </c>
      <c r="AG65" s="40">
        <v>43199</v>
      </c>
      <c r="AH65" s="40">
        <v>19009</v>
      </c>
      <c r="AI65" s="40">
        <v>6569</v>
      </c>
      <c r="AJ65" s="40">
        <v>2758</v>
      </c>
      <c r="AK65" s="40">
        <v>151335</v>
      </c>
      <c r="AL65" s="40">
        <v>2398</v>
      </c>
      <c r="AM65" s="40">
        <v>172857</v>
      </c>
      <c r="AN65" s="40">
        <v>1277</v>
      </c>
      <c r="AO65" s="40">
        <v>402926</v>
      </c>
      <c r="AP65" s="40">
        <v>119329</v>
      </c>
      <c r="AQ65" s="40">
        <v>3648</v>
      </c>
      <c r="AR65" s="40">
        <v>26720</v>
      </c>
      <c r="AS65" s="40">
        <v>409628</v>
      </c>
      <c r="AT65" s="40">
        <v>4911460</v>
      </c>
      <c r="AU65" s="40">
        <v>18045564</v>
      </c>
      <c r="AV65" s="40">
        <v>92565061</v>
      </c>
      <c r="AW65" s="40">
        <v>221419435</v>
      </c>
      <c r="AX65" s="40">
        <v>8236397</v>
      </c>
      <c r="AY65" s="40">
        <v>14120</v>
      </c>
      <c r="AZ65" s="40">
        <v>10490507</v>
      </c>
      <c r="BA65" s="40">
        <v>9371115</v>
      </c>
      <c r="BB65" s="40">
        <v>360502</v>
      </c>
      <c r="BC65" s="40">
        <v>9442161</v>
      </c>
      <c r="BD65" s="40">
        <v>9736835</v>
      </c>
      <c r="BE65" s="40">
        <v>108068454</v>
      </c>
      <c r="BF65" s="40">
        <v>12549043</v>
      </c>
      <c r="BG65" s="40">
        <v>177734107</v>
      </c>
      <c r="BH65" s="40">
        <v>173761945</v>
      </c>
      <c r="BI65" s="40">
        <v>135054442</v>
      </c>
      <c r="BJ65" s="40">
        <v>119965073</v>
      </c>
      <c r="BK65" s="40">
        <v>78283301</v>
      </c>
      <c r="BL65" s="40">
        <v>64906845</v>
      </c>
      <c r="BM65" s="40">
        <v>118099762</v>
      </c>
      <c r="BN65" s="40">
        <v>151136297</v>
      </c>
      <c r="BO65" s="40">
        <v>20986822</v>
      </c>
      <c r="BP65" s="40">
        <v>13928468</v>
      </c>
      <c r="BQ65" s="40">
        <v>133916564</v>
      </c>
      <c r="BR65" s="40">
        <v>738280840</v>
      </c>
      <c r="BS65" s="40">
        <v>0</v>
      </c>
      <c r="BT65" s="40">
        <v>2442817327</v>
      </c>
      <c r="BU65" s="40">
        <v>14070875226</v>
      </c>
      <c r="BV65" s="40">
        <v>0</v>
      </c>
      <c r="BW65" s="40">
        <v>0</v>
      </c>
      <c r="BX65" s="40">
        <v>14070875226</v>
      </c>
      <c r="BY65" s="40">
        <v>0</v>
      </c>
      <c r="BZ65" s="40">
        <v>0</v>
      </c>
      <c r="CA65" s="40">
        <v>0</v>
      </c>
      <c r="CB65" s="40">
        <v>0</v>
      </c>
      <c r="CC65" s="40">
        <v>67882265</v>
      </c>
      <c r="CD65" s="40">
        <v>14138757491</v>
      </c>
      <c r="CE65" s="40">
        <v>16581574818</v>
      </c>
      <c r="CF65" s="41"/>
      <c r="CG65" s="41"/>
      <c r="CH65" s="42"/>
    </row>
    <row r="66" spans="1:86" ht="22.5">
      <c r="A66" s="38">
        <v>60</v>
      </c>
      <c r="B66" s="65" t="s">
        <v>160</v>
      </c>
      <c r="C66" s="39" t="s">
        <v>159</v>
      </c>
      <c r="D66" s="40">
        <v>131128754</v>
      </c>
      <c r="E66" s="40">
        <v>157</v>
      </c>
      <c r="F66" s="40">
        <v>0</v>
      </c>
      <c r="G66" s="40">
        <v>19585</v>
      </c>
      <c r="H66" s="40">
        <v>204410690</v>
      </c>
      <c r="I66" s="40">
        <v>9687413</v>
      </c>
      <c r="J66" s="40">
        <v>177474</v>
      </c>
      <c r="K66" s="40">
        <v>1523025</v>
      </c>
      <c r="L66" s="40">
        <v>96824</v>
      </c>
      <c r="M66" s="40">
        <v>565880</v>
      </c>
      <c r="N66" s="40">
        <v>3866123</v>
      </c>
      <c r="O66" s="40">
        <v>0</v>
      </c>
      <c r="P66" s="40">
        <v>84053</v>
      </c>
      <c r="Q66" s="40">
        <v>2635</v>
      </c>
      <c r="R66" s="40">
        <v>1432</v>
      </c>
      <c r="S66" s="40">
        <v>0</v>
      </c>
      <c r="T66" s="40">
        <v>7</v>
      </c>
      <c r="U66" s="40">
        <v>75278</v>
      </c>
      <c r="V66" s="40">
        <v>327871</v>
      </c>
      <c r="W66" s="40">
        <v>230966</v>
      </c>
      <c r="X66" s="40">
        <v>28857</v>
      </c>
      <c r="Y66" s="40">
        <v>5644</v>
      </c>
      <c r="Z66" s="40">
        <v>6881</v>
      </c>
      <c r="AA66" s="40">
        <v>23555</v>
      </c>
      <c r="AB66" s="40">
        <v>478727</v>
      </c>
      <c r="AC66" s="40">
        <v>313</v>
      </c>
      <c r="AD66" s="40">
        <v>1295</v>
      </c>
      <c r="AE66" s="40">
        <v>61447</v>
      </c>
      <c r="AF66" s="40">
        <v>0</v>
      </c>
      <c r="AG66" s="40">
        <v>7339</v>
      </c>
      <c r="AH66" s="40">
        <v>433011</v>
      </c>
      <c r="AI66" s="40">
        <v>4282</v>
      </c>
      <c r="AJ66" s="40">
        <v>5201</v>
      </c>
      <c r="AK66" s="40">
        <v>17603</v>
      </c>
      <c r="AL66" s="40">
        <v>43338</v>
      </c>
      <c r="AM66" s="40">
        <v>22212</v>
      </c>
      <c r="AN66" s="40">
        <v>3571</v>
      </c>
      <c r="AO66" s="40">
        <v>611527</v>
      </c>
      <c r="AP66" s="40">
        <v>1326418</v>
      </c>
      <c r="AQ66" s="40">
        <v>32375</v>
      </c>
      <c r="AR66" s="40">
        <v>34019</v>
      </c>
      <c r="AS66" s="40">
        <v>534641</v>
      </c>
      <c r="AT66" s="40">
        <v>88601921</v>
      </c>
      <c r="AU66" s="40">
        <v>63369966</v>
      </c>
      <c r="AV66" s="40">
        <v>1345966873</v>
      </c>
      <c r="AW66" s="40">
        <v>637100101</v>
      </c>
      <c r="AX66" s="40">
        <v>66896618</v>
      </c>
      <c r="AY66" s="40">
        <v>147126</v>
      </c>
      <c r="AZ66" s="40">
        <v>320622</v>
      </c>
      <c r="BA66" s="40">
        <v>7422915</v>
      </c>
      <c r="BB66" s="40">
        <v>138084</v>
      </c>
      <c r="BC66" s="40">
        <v>3188481</v>
      </c>
      <c r="BD66" s="40">
        <v>9074161</v>
      </c>
      <c r="BE66" s="40">
        <v>148148738</v>
      </c>
      <c r="BF66" s="40">
        <v>54285857</v>
      </c>
      <c r="BG66" s="40">
        <v>51842413</v>
      </c>
      <c r="BH66" s="40">
        <v>23348675</v>
      </c>
      <c r="BI66" s="40">
        <v>31216376</v>
      </c>
      <c r="BJ66" s="40">
        <v>158819054</v>
      </c>
      <c r="BK66" s="40">
        <v>208756069</v>
      </c>
      <c r="BL66" s="40">
        <v>184401811</v>
      </c>
      <c r="BM66" s="40">
        <v>996797016</v>
      </c>
      <c r="BN66" s="40">
        <v>85761871</v>
      </c>
      <c r="BO66" s="40">
        <v>28704482</v>
      </c>
      <c r="BP66" s="40">
        <v>4929924</v>
      </c>
      <c r="BQ66" s="40">
        <v>78392567</v>
      </c>
      <c r="BR66" s="40">
        <v>103363403</v>
      </c>
      <c r="BS66" s="40">
        <v>0</v>
      </c>
      <c r="BT66" s="40">
        <v>4736875547</v>
      </c>
      <c r="BU66" s="40">
        <v>30310419</v>
      </c>
      <c r="BV66" s="40">
        <v>21901062</v>
      </c>
      <c r="BW66" s="40">
        <v>0</v>
      </c>
      <c r="BX66" s="40">
        <v>52211481</v>
      </c>
      <c r="BY66" s="40">
        <v>2097138006</v>
      </c>
      <c r="BZ66" s="40">
        <v>-43208</v>
      </c>
      <c r="CA66" s="40">
        <v>0</v>
      </c>
      <c r="CB66" s="40">
        <v>2097094798</v>
      </c>
      <c r="CC66" s="40">
        <v>197210208</v>
      </c>
      <c r="CD66" s="40">
        <v>2346516487</v>
      </c>
      <c r="CE66" s="40">
        <v>7083392034</v>
      </c>
      <c r="CF66" s="41"/>
      <c r="CG66" s="41"/>
      <c r="CH66" s="42"/>
    </row>
    <row r="67" spans="1:86" ht="22.5">
      <c r="A67" s="38">
        <v>61</v>
      </c>
      <c r="B67" s="65" t="s">
        <v>158</v>
      </c>
      <c r="C67" s="39" t="s">
        <v>157</v>
      </c>
      <c r="D67" s="40">
        <v>39895710</v>
      </c>
      <c r="E67" s="40">
        <v>930</v>
      </c>
      <c r="F67" s="40">
        <v>0</v>
      </c>
      <c r="G67" s="40">
        <v>3734835</v>
      </c>
      <c r="H67" s="40">
        <v>197058567</v>
      </c>
      <c r="I67" s="40">
        <v>19507415</v>
      </c>
      <c r="J67" s="40">
        <v>35334</v>
      </c>
      <c r="K67" s="40">
        <v>1248416</v>
      </c>
      <c r="L67" s="40">
        <v>26307609</v>
      </c>
      <c r="M67" s="40">
        <v>1246192</v>
      </c>
      <c r="N67" s="40">
        <v>9476746</v>
      </c>
      <c r="O67" s="40">
        <v>26554641</v>
      </c>
      <c r="P67" s="40">
        <v>2451</v>
      </c>
      <c r="Q67" s="40">
        <v>28733</v>
      </c>
      <c r="R67" s="40">
        <v>6391</v>
      </c>
      <c r="S67" s="40">
        <v>0</v>
      </c>
      <c r="T67" s="40">
        <v>31522</v>
      </c>
      <c r="U67" s="40">
        <v>5713</v>
      </c>
      <c r="V67" s="40">
        <v>0</v>
      </c>
      <c r="W67" s="40">
        <v>4782492</v>
      </c>
      <c r="X67" s="40">
        <v>280727</v>
      </c>
      <c r="Y67" s="40">
        <v>11737</v>
      </c>
      <c r="Z67" s="40">
        <v>1229</v>
      </c>
      <c r="AA67" s="40">
        <v>122448</v>
      </c>
      <c r="AB67" s="40">
        <v>72034</v>
      </c>
      <c r="AC67" s="40">
        <v>2256</v>
      </c>
      <c r="AD67" s="40">
        <v>3749</v>
      </c>
      <c r="AE67" s="40">
        <v>252631</v>
      </c>
      <c r="AF67" s="40">
        <v>32369</v>
      </c>
      <c r="AG67" s="40">
        <v>7802</v>
      </c>
      <c r="AH67" s="40">
        <v>1015</v>
      </c>
      <c r="AI67" s="40">
        <v>4766</v>
      </c>
      <c r="AJ67" s="40">
        <v>3267</v>
      </c>
      <c r="AK67" s="40">
        <v>35474</v>
      </c>
      <c r="AL67" s="40">
        <v>38531</v>
      </c>
      <c r="AM67" s="40">
        <v>66569</v>
      </c>
      <c r="AN67" s="40">
        <v>1261</v>
      </c>
      <c r="AO67" s="40">
        <v>1518773</v>
      </c>
      <c r="AP67" s="40">
        <v>1706076</v>
      </c>
      <c r="AQ67" s="40">
        <v>6294</v>
      </c>
      <c r="AR67" s="40">
        <v>78394</v>
      </c>
      <c r="AS67" s="40">
        <v>2046091</v>
      </c>
      <c r="AT67" s="40">
        <v>24604978</v>
      </c>
      <c r="AU67" s="40">
        <v>11072202</v>
      </c>
      <c r="AV67" s="40">
        <v>444618548</v>
      </c>
      <c r="AW67" s="40">
        <v>469863802</v>
      </c>
      <c r="AX67" s="40">
        <v>176086973</v>
      </c>
      <c r="AY67" s="40">
        <v>910333</v>
      </c>
      <c r="AZ67" s="40">
        <v>9483258</v>
      </c>
      <c r="BA67" s="40">
        <v>3981206</v>
      </c>
      <c r="BB67" s="40">
        <v>77722</v>
      </c>
      <c r="BC67" s="40">
        <v>4249517</v>
      </c>
      <c r="BD67" s="40">
        <v>1344821</v>
      </c>
      <c r="BE67" s="40">
        <v>79993483</v>
      </c>
      <c r="BF67" s="40">
        <v>28296458</v>
      </c>
      <c r="BG67" s="40">
        <v>156997548</v>
      </c>
      <c r="BH67" s="40">
        <v>20798944</v>
      </c>
      <c r="BI67" s="40">
        <v>37988444</v>
      </c>
      <c r="BJ67" s="40">
        <v>161032912</v>
      </c>
      <c r="BK67" s="40">
        <v>463084404</v>
      </c>
      <c r="BL67" s="40">
        <v>102263281</v>
      </c>
      <c r="BM67" s="40">
        <v>945663352</v>
      </c>
      <c r="BN67" s="40">
        <v>184328594</v>
      </c>
      <c r="BO67" s="40">
        <v>46624670</v>
      </c>
      <c r="BP67" s="40">
        <v>1416026</v>
      </c>
      <c r="BQ67" s="40">
        <v>232735144</v>
      </c>
      <c r="BR67" s="40">
        <v>70019082</v>
      </c>
      <c r="BS67" s="40">
        <v>0</v>
      </c>
      <c r="BT67" s="40">
        <v>4013752892</v>
      </c>
      <c r="BU67" s="40">
        <v>729522968</v>
      </c>
      <c r="BV67" s="40">
        <v>0</v>
      </c>
      <c r="BW67" s="40">
        <v>0</v>
      </c>
      <c r="BX67" s="40">
        <v>729522968</v>
      </c>
      <c r="BY67" s="40">
        <v>0</v>
      </c>
      <c r="BZ67" s="40">
        <v>0</v>
      </c>
      <c r="CA67" s="40">
        <v>0</v>
      </c>
      <c r="CB67" s="40">
        <v>0</v>
      </c>
      <c r="CC67" s="40">
        <v>64332535</v>
      </c>
      <c r="CD67" s="40">
        <v>793855503</v>
      </c>
      <c r="CE67" s="40">
        <v>4807608395</v>
      </c>
      <c r="CF67" s="41"/>
      <c r="CG67" s="41"/>
      <c r="CH67" s="42"/>
    </row>
    <row r="68" spans="1:86" ht="33.75">
      <c r="A68" s="38">
        <v>62</v>
      </c>
      <c r="B68" s="65" t="s">
        <v>19</v>
      </c>
      <c r="C68" s="39" t="s">
        <v>18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40">
        <v>0</v>
      </c>
      <c r="AJ68" s="40">
        <v>0</v>
      </c>
      <c r="AK68" s="40">
        <v>0</v>
      </c>
      <c r="AL68" s="40">
        <v>0</v>
      </c>
      <c r="AM68" s="40">
        <v>0</v>
      </c>
      <c r="AN68" s="40">
        <v>0</v>
      </c>
      <c r="AO68" s="40">
        <v>0</v>
      </c>
      <c r="AP68" s="40">
        <v>0</v>
      </c>
      <c r="AQ68" s="40">
        <v>0</v>
      </c>
      <c r="AR68" s="40">
        <v>0</v>
      </c>
      <c r="AS68" s="40">
        <v>0</v>
      </c>
      <c r="AT68" s="40">
        <v>0</v>
      </c>
      <c r="AU68" s="40">
        <v>0</v>
      </c>
      <c r="AV68" s="40">
        <v>0</v>
      </c>
      <c r="AW68" s="40">
        <v>0</v>
      </c>
      <c r="AX68" s="40">
        <v>0</v>
      </c>
      <c r="AY68" s="40">
        <v>0</v>
      </c>
      <c r="AZ68" s="40">
        <v>0</v>
      </c>
      <c r="BA68" s="40">
        <v>0</v>
      </c>
      <c r="BB68" s="40">
        <v>0</v>
      </c>
      <c r="BC68" s="40">
        <v>0</v>
      </c>
      <c r="BD68" s="40">
        <v>0</v>
      </c>
      <c r="BE68" s="40">
        <v>0</v>
      </c>
      <c r="BF68" s="40">
        <v>0</v>
      </c>
      <c r="BG68" s="40">
        <v>0</v>
      </c>
      <c r="BH68" s="40">
        <v>0</v>
      </c>
      <c r="BI68" s="40">
        <v>0</v>
      </c>
      <c r="BJ68" s="40">
        <v>0</v>
      </c>
      <c r="BK68" s="40">
        <v>0</v>
      </c>
      <c r="BL68" s="40">
        <v>0</v>
      </c>
      <c r="BM68" s="40">
        <v>0</v>
      </c>
      <c r="BN68" s="40">
        <v>0</v>
      </c>
      <c r="BO68" s="40">
        <v>0</v>
      </c>
      <c r="BP68" s="40">
        <v>0</v>
      </c>
      <c r="BQ68" s="40">
        <v>0</v>
      </c>
      <c r="BR68" s="40">
        <v>0</v>
      </c>
      <c r="BS68" s="40">
        <v>0</v>
      </c>
      <c r="BT68" s="40">
        <v>0</v>
      </c>
      <c r="BU68" s="40">
        <v>0</v>
      </c>
      <c r="BV68" s="40">
        <v>7183532954</v>
      </c>
      <c r="BW68" s="40">
        <v>0</v>
      </c>
      <c r="BX68" s="40">
        <v>7183532954</v>
      </c>
      <c r="BY68" s="40">
        <v>0</v>
      </c>
      <c r="BZ68" s="40">
        <v>0</v>
      </c>
      <c r="CA68" s="40">
        <v>0</v>
      </c>
      <c r="CB68" s="40">
        <v>0</v>
      </c>
      <c r="CC68" s="40">
        <v>0</v>
      </c>
      <c r="CD68" s="40">
        <v>7183532954</v>
      </c>
      <c r="CE68" s="40">
        <v>7183532954</v>
      </c>
      <c r="CF68" s="41"/>
      <c r="CG68" s="41"/>
      <c r="CH68" s="42"/>
    </row>
    <row r="69" spans="1:86">
      <c r="A69" s="38">
        <v>63</v>
      </c>
      <c r="B69" s="65" t="s">
        <v>17</v>
      </c>
      <c r="C69" s="39" t="s">
        <v>16</v>
      </c>
      <c r="D69" s="40">
        <v>16665</v>
      </c>
      <c r="E69" s="40">
        <v>38</v>
      </c>
      <c r="F69" s="40">
        <v>0</v>
      </c>
      <c r="G69" s="40">
        <v>1025</v>
      </c>
      <c r="H69" s="40">
        <v>493100</v>
      </c>
      <c r="I69" s="40">
        <v>23238</v>
      </c>
      <c r="J69" s="40">
        <v>60</v>
      </c>
      <c r="K69" s="40">
        <v>5056</v>
      </c>
      <c r="L69" s="40">
        <v>1535</v>
      </c>
      <c r="M69" s="40">
        <v>18011</v>
      </c>
      <c r="N69" s="40">
        <v>39003</v>
      </c>
      <c r="O69" s="40">
        <v>1712950</v>
      </c>
      <c r="P69" s="40">
        <v>0</v>
      </c>
      <c r="Q69" s="40">
        <v>393</v>
      </c>
      <c r="R69" s="40">
        <v>0</v>
      </c>
      <c r="S69" s="40">
        <v>0</v>
      </c>
      <c r="T69" s="40">
        <v>0</v>
      </c>
      <c r="U69" s="40">
        <v>0</v>
      </c>
      <c r="V69" s="40">
        <v>0</v>
      </c>
      <c r="W69" s="40">
        <v>0</v>
      </c>
      <c r="X69" s="40">
        <v>3715</v>
      </c>
      <c r="Y69" s="40">
        <v>0</v>
      </c>
      <c r="Z69" s="40">
        <v>104</v>
      </c>
      <c r="AA69" s="40">
        <v>592</v>
      </c>
      <c r="AB69" s="40">
        <v>6001</v>
      </c>
      <c r="AC69" s="40">
        <v>117</v>
      </c>
      <c r="AD69" s="40">
        <v>0</v>
      </c>
      <c r="AE69" s="40">
        <v>58</v>
      </c>
      <c r="AF69" s="40">
        <v>0</v>
      </c>
      <c r="AG69" s="40">
        <v>0</v>
      </c>
      <c r="AH69" s="40">
        <v>0</v>
      </c>
      <c r="AI69" s="40">
        <v>14</v>
      </c>
      <c r="AJ69" s="40">
        <v>192</v>
      </c>
      <c r="AK69" s="40">
        <v>5</v>
      </c>
      <c r="AL69" s="40">
        <v>0</v>
      </c>
      <c r="AM69" s="40">
        <v>0</v>
      </c>
      <c r="AN69" s="40">
        <v>86</v>
      </c>
      <c r="AO69" s="40">
        <v>941</v>
      </c>
      <c r="AP69" s="40">
        <v>10201</v>
      </c>
      <c r="AQ69" s="40">
        <v>760</v>
      </c>
      <c r="AR69" s="40">
        <v>222</v>
      </c>
      <c r="AS69" s="40">
        <v>366</v>
      </c>
      <c r="AT69" s="40">
        <v>21337</v>
      </c>
      <c r="AU69" s="40">
        <v>1051</v>
      </c>
      <c r="AV69" s="40">
        <v>16680</v>
      </c>
      <c r="AW69" s="40">
        <v>449435</v>
      </c>
      <c r="AX69" s="40">
        <v>130378</v>
      </c>
      <c r="AY69" s="40">
        <v>0</v>
      </c>
      <c r="AZ69" s="40">
        <v>809041</v>
      </c>
      <c r="BA69" s="40">
        <v>5934</v>
      </c>
      <c r="BB69" s="40">
        <v>0</v>
      </c>
      <c r="BC69" s="40">
        <v>0</v>
      </c>
      <c r="BD69" s="40">
        <v>0</v>
      </c>
      <c r="BE69" s="40">
        <v>227</v>
      </c>
      <c r="BF69" s="40">
        <v>255393</v>
      </c>
      <c r="BG69" s="40">
        <v>6687397</v>
      </c>
      <c r="BH69" s="40">
        <v>1181553</v>
      </c>
      <c r="BI69" s="40">
        <v>824794</v>
      </c>
      <c r="BJ69" s="40">
        <v>13551</v>
      </c>
      <c r="BK69" s="40">
        <v>676433</v>
      </c>
      <c r="BL69" s="40">
        <v>1576646</v>
      </c>
      <c r="BM69" s="40">
        <v>16414378</v>
      </c>
      <c r="BN69" s="40">
        <v>7916240</v>
      </c>
      <c r="BO69" s="40">
        <v>2540675</v>
      </c>
      <c r="BP69" s="40">
        <v>576988</v>
      </c>
      <c r="BQ69" s="40">
        <v>832</v>
      </c>
      <c r="BR69" s="40">
        <v>0</v>
      </c>
      <c r="BS69" s="40">
        <v>0</v>
      </c>
      <c r="BT69" s="40">
        <v>42433411</v>
      </c>
      <c r="BU69" s="40">
        <v>3490181221</v>
      </c>
      <c r="BV69" s="40">
        <v>5382766050</v>
      </c>
      <c r="BW69" s="40">
        <v>1847401</v>
      </c>
      <c r="BX69" s="40">
        <v>8874794672</v>
      </c>
      <c r="BY69" s="40">
        <v>0</v>
      </c>
      <c r="BZ69" s="40">
        <v>0</v>
      </c>
      <c r="CA69" s="40">
        <v>0</v>
      </c>
      <c r="CB69" s="40">
        <v>0</v>
      </c>
      <c r="CC69" s="40">
        <v>16730084</v>
      </c>
      <c r="CD69" s="40">
        <v>8891524756</v>
      </c>
      <c r="CE69" s="40">
        <v>8933958167</v>
      </c>
      <c r="CF69" s="41"/>
      <c r="CG69" s="41"/>
      <c r="CH69" s="42"/>
    </row>
    <row r="70" spans="1:86">
      <c r="A70" s="38">
        <v>64</v>
      </c>
      <c r="B70" s="65" t="s">
        <v>15</v>
      </c>
      <c r="C70" s="39" t="s">
        <v>14</v>
      </c>
      <c r="D70" s="40">
        <v>644</v>
      </c>
      <c r="E70" s="40">
        <v>0</v>
      </c>
      <c r="F70" s="40">
        <v>0</v>
      </c>
      <c r="G70" s="40">
        <v>95502</v>
      </c>
      <c r="H70" s="40">
        <v>649497</v>
      </c>
      <c r="I70" s="40">
        <v>30826</v>
      </c>
      <c r="J70" s="40">
        <v>0</v>
      </c>
      <c r="K70" s="40">
        <v>37858</v>
      </c>
      <c r="L70" s="40">
        <v>0</v>
      </c>
      <c r="M70" s="40">
        <v>41682</v>
      </c>
      <c r="N70" s="40">
        <v>3530</v>
      </c>
      <c r="O70" s="40">
        <v>0</v>
      </c>
      <c r="P70" s="40">
        <v>0</v>
      </c>
      <c r="Q70" s="40">
        <v>50</v>
      </c>
      <c r="R70" s="40">
        <v>654</v>
      </c>
      <c r="S70" s="40">
        <v>0</v>
      </c>
      <c r="T70" s="40">
        <v>0</v>
      </c>
      <c r="U70" s="40">
        <v>0</v>
      </c>
      <c r="V70" s="40">
        <v>0</v>
      </c>
      <c r="W70" s="40">
        <v>351885</v>
      </c>
      <c r="X70" s="40">
        <v>8787</v>
      </c>
      <c r="Y70" s="40">
        <v>0</v>
      </c>
      <c r="Z70" s="40">
        <v>86</v>
      </c>
      <c r="AA70" s="40">
        <v>2035</v>
      </c>
      <c r="AB70" s="40">
        <v>99582</v>
      </c>
      <c r="AC70" s="40">
        <v>71</v>
      </c>
      <c r="AD70" s="40">
        <v>0</v>
      </c>
      <c r="AE70" s="40">
        <v>1508</v>
      </c>
      <c r="AF70" s="40">
        <v>0</v>
      </c>
      <c r="AG70" s="40">
        <v>12</v>
      </c>
      <c r="AH70" s="40">
        <v>0</v>
      </c>
      <c r="AI70" s="40">
        <v>17</v>
      </c>
      <c r="AJ70" s="40">
        <v>30</v>
      </c>
      <c r="AK70" s="40">
        <v>0</v>
      </c>
      <c r="AL70" s="40">
        <v>0</v>
      </c>
      <c r="AM70" s="40">
        <v>0</v>
      </c>
      <c r="AN70" s="40">
        <v>1657</v>
      </c>
      <c r="AO70" s="40">
        <v>11013</v>
      </c>
      <c r="AP70" s="40">
        <v>215178</v>
      </c>
      <c r="AQ70" s="40">
        <v>7985</v>
      </c>
      <c r="AR70" s="40">
        <v>6334</v>
      </c>
      <c r="AS70" s="40">
        <v>4937</v>
      </c>
      <c r="AT70" s="40">
        <v>193404</v>
      </c>
      <c r="AU70" s="40">
        <v>6504</v>
      </c>
      <c r="AV70" s="40">
        <v>13502</v>
      </c>
      <c r="AW70" s="40">
        <v>5964</v>
      </c>
      <c r="AX70" s="40">
        <v>408074</v>
      </c>
      <c r="AY70" s="40">
        <v>0</v>
      </c>
      <c r="AZ70" s="40">
        <v>32796</v>
      </c>
      <c r="BA70" s="40">
        <v>776341</v>
      </c>
      <c r="BB70" s="40">
        <v>0</v>
      </c>
      <c r="BC70" s="40">
        <v>1155</v>
      </c>
      <c r="BD70" s="40">
        <v>188409</v>
      </c>
      <c r="BE70" s="40">
        <v>4034</v>
      </c>
      <c r="BF70" s="40">
        <v>18755</v>
      </c>
      <c r="BG70" s="40">
        <v>0</v>
      </c>
      <c r="BH70" s="40">
        <v>0</v>
      </c>
      <c r="BI70" s="40">
        <v>0</v>
      </c>
      <c r="BJ70" s="40">
        <v>491174</v>
      </c>
      <c r="BK70" s="40">
        <v>123079</v>
      </c>
      <c r="BL70" s="40">
        <v>1195640</v>
      </c>
      <c r="BM70" s="40">
        <v>0</v>
      </c>
      <c r="BN70" s="40">
        <v>0</v>
      </c>
      <c r="BO70" s="40">
        <v>0</v>
      </c>
      <c r="BP70" s="40">
        <v>0</v>
      </c>
      <c r="BQ70" s="40">
        <v>270</v>
      </c>
      <c r="BR70" s="40">
        <v>0</v>
      </c>
      <c r="BS70" s="40">
        <v>0</v>
      </c>
      <c r="BT70" s="40">
        <v>5030461</v>
      </c>
      <c r="BU70" s="40">
        <v>4438017002</v>
      </c>
      <c r="BV70" s="40">
        <v>1617598896</v>
      </c>
      <c r="BW70" s="40">
        <v>498500</v>
      </c>
      <c r="BX70" s="40">
        <v>6056114398</v>
      </c>
      <c r="BY70" s="40">
        <v>0</v>
      </c>
      <c r="BZ70" s="40">
        <v>0</v>
      </c>
      <c r="CA70" s="40">
        <v>0</v>
      </c>
      <c r="CB70" s="40">
        <v>0</v>
      </c>
      <c r="CC70" s="40">
        <v>1042999</v>
      </c>
      <c r="CD70" s="40">
        <v>6057157397</v>
      </c>
      <c r="CE70" s="40">
        <v>6062187858</v>
      </c>
      <c r="CF70" s="41"/>
      <c r="CG70" s="41"/>
      <c r="CH70" s="42"/>
    </row>
    <row r="71" spans="1:86">
      <c r="A71" s="38">
        <v>65</v>
      </c>
      <c r="B71" s="65" t="s">
        <v>13</v>
      </c>
      <c r="C71" s="39" t="s">
        <v>12</v>
      </c>
      <c r="D71" s="40">
        <v>0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 s="40">
        <v>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  <c r="AA71" s="40">
        <v>0</v>
      </c>
      <c r="AB71" s="40">
        <v>0</v>
      </c>
      <c r="AC71" s="40">
        <v>0</v>
      </c>
      <c r="AD71" s="40">
        <v>0</v>
      </c>
      <c r="AE71" s="40">
        <v>0</v>
      </c>
      <c r="AF71" s="40">
        <v>0</v>
      </c>
      <c r="AG71" s="40">
        <v>0</v>
      </c>
      <c r="AH71" s="40">
        <v>0</v>
      </c>
      <c r="AI71" s="40">
        <v>0</v>
      </c>
      <c r="AJ71" s="40">
        <v>0</v>
      </c>
      <c r="AK71" s="40">
        <v>0</v>
      </c>
      <c r="AL71" s="40">
        <v>0</v>
      </c>
      <c r="AM71" s="40">
        <v>0</v>
      </c>
      <c r="AN71" s="40">
        <v>0</v>
      </c>
      <c r="AO71" s="40">
        <v>0</v>
      </c>
      <c r="AP71" s="40">
        <v>0</v>
      </c>
      <c r="AQ71" s="40">
        <v>0</v>
      </c>
      <c r="AR71" s="40">
        <v>0</v>
      </c>
      <c r="AS71" s="40">
        <v>0</v>
      </c>
      <c r="AT71" s="40">
        <v>0</v>
      </c>
      <c r="AU71" s="40">
        <v>0</v>
      </c>
      <c r="AV71" s="40">
        <v>0</v>
      </c>
      <c r="AW71" s="40">
        <v>0</v>
      </c>
      <c r="AX71" s="40">
        <v>0</v>
      </c>
      <c r="AY71" s="40">
        <v>0</v>
      </c>
      <c r="AZ71" s="40">
        <v>0</v>
      </c>
      <c r="BA71" s="40">
        <v>0</v>
      </c>
      <c r="BB71" s="40">
        <v>0</v>
      </c>
      <c r="BC71" s="40">
        <v>0</v>
      </c>
      <c r="BD71" s="40">
        <v>0</v>
      </c>
      <c r="BE71" s="40">
        <v>0</v>
      </c>
      <c r="BF71" s="40">
        <v>0</v>
      </c>
      <c r="BG71" s="40">
        <v>0</v>
      </c>
      <c r="BH71" s="40">
        <v>0</v>
      </c>
      <c r="BI71" s="40">
        <v>0</v>
      </c>
      <c r="BJ71" s="40">
        <v>0</v>
      </c>
      <c r="BK71" s="40">
        <v>0</v>
      </c>
      <c r="BL71" s="40">
        <v>0</v>
      </c>
      <c r="BM71" s="40">
        <v>0</v>
      </c>
      <c r="BN71" s="40">
        <v>0</v>
      </c>
      <c r="BO71" s="40">
        <v>0</v>
      </c>
      <c r="BP71" s="40">
        <v>0</v>
      </c>
      <c r="BQ71" s="40">
        <v>0</v>
      </c>
      <c r="BR71" s="40">
        <v>0</v>
      </c>
      <c r="BS71" s="40">
        <v>0</v>
      </c>
      <c r="BT71" s="40">
        <v>0</v>
      </c>
      <c r="BU71" s="40">
        <v>14930141</v>
      </c>
      <c r="BV71" s="40">
        <v>104396351</v>
      </c>
      <c r="BW71" s="40">
        <v>1528000</v>
      </c>
      <c r="BX71" s="40">
        <v>120854492</v>
      </c>
      <c r="BY71" s="40">
        <v>0</v>
      </c>
      <c r="BZ71" s="40">
        <v>0</v>
      </c>
      <c r="CA71" s="40">
        <v>0</v>
      </c>
      <c r="CB71" s="40">
        <v>0</v>
      </c>
      <c r="CC71" s="40">
        <v>0</v>
      </c>
      <c r="CD71" s="40">
        <v>120854492</v>
      </c>
      <c r="CE71" s="40">
        <v>120854492</v>
      </c>
      <c r="CF71" s="41"/>
      <c r="CG71" s="41"/>
      <c r="CH71" s="42"/>
    </row>
    <row r="72" spans="1:86" ht="22.5">
      <c r="A72" s="38">
        <v>66</v>
      </c>
      <c r="B72" s="65" t="s">
        <v>93</v>
      </c>
      <c r="C72" s="39" t="s">
        <v>156</v>
      </c>
      <c r="D72" s="40">
        <v>0</v>
      </c>
      <c r="E72" s="40">
        <v>0</v>
      </c>
      <c r="F72" s="40">
        <v>0</v>
      </c>
      <c r="G72" s="40">
        <v>0</v>
      </c>
      <c r="H72" s="40">
        <v>10578</v>
      </c>
      <c r="I72" s="40">
        <v>491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T72" s="40">
        <v>0</v>
      </c>
      <c r="U72" s="40">
        <v>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0</v>
      </c>
      <c r="AD72" s="40">
        <v>0</v>
      </c>
      <c r="AE72" s="40">
        <v>0</v>
      </c>
      <c r="AF72" s="40">
        <v>0</v>
      </c>
      <c r="AG72" s="40">
        <v>0</v>
      </c>
      <c r="AH72" s="40">
        <v>0</v>
      </c>
      <c r="AI72" s="40">
        <v>0</v>
      </c>
      <c r="AJ72" s="40">
        <v>0</v>
      </c>
      <c r="AK72" s="40">
        <v>0</v>
      </c>
      <c r="AL72" s="40">
        <v>0</v>
      </c>
      <c r="AM72" s="40">
        <v>0</v>
      </c>
      <c r="AN72" s="40">
        <v>0</v>
      </c>
      <c r="AO72" s="40">
        <v>0</v>
      </c>
      <c r="AP72" s="40">
        <v>0</v>
      </c>
      <c r="AQ72" s="40">
        <v>0</v>
      </c>
      <c r="AR72" s="40">
        <v>0</v>
      </c>
      <c r="AS72" s="40">
        <v>0</v>
      </c>
      <c r="AT72" s="40">
        <v>10372</v>
      </c>
      <c r="AU72" s="40">
        <v>0</v>
      </c>
      <c r="AV72" s="40">
        <v>677</v>
      </c>
      <c r="AW72" s="40">
        <v>0</v>
      </c>
      <c r="AX72" s="40">
        <v>6231</v>
      </c>
      <c r="AY72" s="40">
        <v>0</v>
      </c>
      <c r="AZ72" s="40">
        <v>0</v>
      </c>
      <c r="BA72" s="40">
        <v>0</v>
      </c>
      <c r="BB72" s="40">
        <v>0</v>
      </c>
      <c r="BC72" s="40">
        <v>268671</v>
      </c>
      <c r="BD72" s="40">
        <v>0</v>
      </c>
      <c r="BE72" s="40">
        <v>445345</v>
      </c>
      <c r="BF72" s="40">
        <v>84584</v>
      </c>
      <c r="BG72" s="40">
        <v>758302</v>
      </c>
      <c r="BH72" s="40">
        <v>0</v>
      </c>
      <c r="BI72" s="40">
        <v>0</v>
      </c>
      <c r="BJ72" s="40">
        <v>284938</v>
      </c>
      <c r="BK72" s="40">
        <v>11489</v>
      </c>
      <c r="BL72" s="40">
        <v>54119</v>
      </c>
      <c r="BM72" s="40">
        <v>19701373</v>
      </c>
      <c r="BN72" s="40">
        <v>17934848</v>
      </c>
      <c r="BO72" s="40">
        <v>54176</v>
      </c>
      <c r="BP72" s="40">
        <v>251314</v>
      </c>
      <c r="BQ72" s="40">
        <v>7068847</v>
      </c>
      <c r="BR72" s="40">
        <v>0</v>
      </c>
      <c r="BS72" s="40">
        <v>0</v>
      </c>
      <c r="BT72" s="40">
        <v>46946355</v>
      </c>
      <c r="BU72" s="40">
        <v>1986630694</v>
      </c>
      <c r="BV72" s="40">
        <v>405825614</v>
      </c>
      <c r="BW72" s="40">
        <v>0</v>
      </c>
      <c r="BX72" s="40">
        <v>2392456308</v>
      </c>
      <c r="BY72" s="40">
        <v>8324853</v>
      </c>
      <c r="BZ72" s="40">
        <v>0</v>
      </c>
      <c r="CA72" s="40">
        <v>1854</v>
      </c>
      <c r="CB72" s="40">
        <v>8326707</v>
      </c>
      <c r="CC72" s="40">
        <v>153748231</v>
      </c>
      <c r="CD72" s="40">
        <v>2554531246</v>
      </c>
      <c r="CE72" s="40">
        <v>2601477601</v>
      </c>
      <c r="CF72" s="41"/>
      <c r="CG72" s="41"/>
      <c r="CH72" s="42"/>
    </row>
    <row r="73" spans="1:86">
      <c r="A73" s="38">
        <v>67</v>
      </c>
      <c r="B73" s="65" t="s">
        <v>92</v>
      </c>
      <c r="C73" s="39" t="s">
        <v>155</v>
      </c>
      <c r="D73" s="40">
        <v>1155</v>
      </c>
      <c r="E73" s="40">
        <v>10</v>
      </c>
      <c r="F73" s="40">
        <v>0</v>
      </c>
      <c r="G73" s="40">
        <v>790</v>
      </c>
      <c r="H73" s="40">
        <v>5549</v>
      </c>
      <c r="I73" s="40">
        <v>257</v>
      </c>
      <c r="J73" s="40">
        <v>0</v>
      </c>
      <c r="K73" s="40">
        <v>4523</v>
      </c>
      <c r="L73" s="40">
        <v>0</v>
      </c>
      <c r="M73" s="40">
        <v>234</v>
      </c>
      <c r="N73" s="40">
        <v>2059</v>
      </c>
      <c r="O73" s="40">
        <v>0</v>
      </c>
      <c r="P73" s="40">
        <v>0</v>
      </c>
      <c r="Q73" s="40">
        <v>67</v>
      </c>
      <c r="R73" s="40">
        <v>11</v>
      </c>
      <c r="S73" s="40">
        <v>0</v>
      </c>
      <c r="T73" s="40">
        <v>0</v>
      </c>
      <c r="U73" s="40">
        <v>0</v>
      </c>
      <c r="V73" s="40">
        <v>0</v>
      </c>
      <c r="W73" s="40">
        <v>0</v>
      </c>
      <c r="X73" s="40">
        <v>13</v>
      </c>
      <c r="Y73" s="40">
        <v>0</v>
      </c>
      <c r="Z73" s="40">
        <v>92</v>
      </c>
      <c r="AA73" s="40">
        <v>48786</v>
      </c>
      <c r="AB73" s="40">
        <v>0</v>
      </c>
      <c r="AC73" s="40">
        <v>0</v>
      </c>
      <c r="AD73" s="40">
        <v>0</v>
      </c>
      <c r="AE73" s="40">
        <v>3</v>
      </c>
      <c r="AF73" s="40">
        <v>0</v>
      </c>
      <c r="AG73" s="40">
        <v>0</v>
      </c>
      <c r="AH73" s="40">
        <v>0</v>
      </c>
      <c r="AI73" s="40">
        <v>6619</v>
      </c>
      <c r="AJ73" s="40">
        <v>7</v>
      </c>
      <c r="AK73" s="40">
        <v>0</v>
      </c>
      <c r="AL73" s="40">
        <v>16</v>
      </c>
      <c r="AM73" s="40">
        <v>33</v>
      </c>
      <c r="AN73" s="40">
        <v>0</v>
      </c>
      <c r="AO73" s="40">
        <v>1609</v>
      </c>
      <c r="AP73" s="40">
        <v>8194</v>
      </c>
      <c r="AQ73" s="40">
        <v>0</v>
      </c>
      <c r="AR73" s="40">
        <v>51</v>
      </c>
      <c r="AS73" s="40">
        <v>8</v>
      </c>
      <c r="AT73" s="40">
        <v>32333</v>
      </c>
      <c r="AU73" s="40">
        <v>1592</v>
      </c>
      <c r="AV73" s="40">
        <v>46388</v>
      </c>
      <c r="AW73" s="40">
        <v>218151</v>
      </c>
      <c r="AX73" s="40">
        <v>1081973</v>
      </c>
      <c r="AY73" s="40">
        <v>0</v>
      </c>
      <c r="AZ73" s="40">
        <v>192922</v>
      </c>
      <c r="BA73" s="40">
        <v>13316</v>
      </c>
      <c r="BB73" s="40">
        <v>0</v>
      </c>
      <c r="BC73" s="40">
        <v>3488062</v>
      </c>
      <c r="BD73" s="40">
        <v>2592</v>
      </c>
      <c r="BE73" s="40">
        <v>883864</v>
      </c>
      <c r="BF73" s="40">
        <v>12003873</v>
      </c>
      <c r="BG73" s="40">
        <v>7356281</v>
      </c>
      <c r="BH73" s="40">
        <v>6616470</v>
      </c>
      <c r="BI73" s="40">
        <v>3350671</v>
      </c>
      <c r="BJ73" s="40">
        <v>53323</v>
      </c>
      <c r="BK73" s="40">
        <v>1209314</v>
      </c>
      <c r="BL73" s="40">
        <v>11003</v>
      </c>
      <c r="BM73" s="40">
        <v>18591987</v>
      </c>
      <c r="BN73" s="40">
        <v>11658261</v>
      </c>
      <c r="BO73" s="40">
        <v>6201485</v>
      </c>
      <c r="BP73" s="40">
        <v>426266</v>
      </c>
      <c r="BQ73" s="40">
        <v>3777</v>
      </c>
      <c r="BR73" s="40">
        <v>27022</v>
      </c>
      <c r="BS73" s="40">
        <v>0</v>
      </c>
      <c r="BT73" s="40">
        <v>73551012</v>
      </c>
      <c r="BU73" s="40">
        <v>3516260292</v>
      </c>
      <c r="BV73" s="40">
        <v>0</v>
      </c>
      <c r="BW73" s="40">
        <v>320964000</v>
      </c>
      <c r="BX73" s="40">
        <v>3837224292</v>
      </c>
      <c r="BY73" s="40">
        <v>0</v>
      </c>
      <c r="BZ73" s="40">
        <v>0</v>
      </c>
      <c r="CA73" s="40">
        <v>0</v>
      </c>
      <c r="CB73" s="40">
        <v>0</v>
      </c>
      <c r="CC73" s="40">
        <v>65631939</v>
      </c>
      <c r="CD73" s="40">
        <v>3902856231</v>
      </c>
      <c r="CE73" s="40">
        <v>3976407243</v>
      </c>
      <c r="CF73" s="41"/>
      <c r="CG73" s="41"/>
      <c r="CH73" s="42"/>
    </row>
    <row r="74" spans="1:86" ht="45">
      <c r="A74" s="38">
        <v>68</v>
      </c>
      <c r="B74" s="65" t="s">
        <v>11</v>
      </c>
      <c r="C74" s="39" t="s">
        <v>10</v>
      </c>
      <c r="D74" s="40">
        <v>0</v>
      </c>
      <c r="E74" s="40">
        <v>0</v>
      </c>
      <c r="F74" s="40">
        <v>0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T74" s="40">
        <v>0</v>
      </c>
      <c r="U74" s="40">
        <v>0</v>
      </c>
      <c r="V74" s="40">
        <v>0</v>
      </c>
      <c r="W74" s="40">
        <v>0</v>
      </c>
      <c r="X74" s="40">
        <v>0</v>
      </c>
      <c r="Y74" s="40">
        <v>0</v>
      </c>
      <c r="Z74" s="40">
        <v>0</v>
      </c>
      <c r="AA74" s="40">
        <v>0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  <c r="AI74" s="40">
        <v>0</v>
      </c>
      <c r="AJ74" s="40">
        <v>0</v>
      </c>
      <c r="AK74" s="40">
        <v>0</v>
      </c>
      <c r="AL74" s="40">
        <v>0</v>
      </c>
      <c r="AM74" s="40">
        <v>0</v>
      </c>
      <c r="AN74" s="40">
        <v>0</v>
      </c>
      <c r="AO74" s="40">
        <v>0</v>
      </c>
      <c r="AP74" s="40">
        <v>0</v>
      </c>
      <c r="AQ74" s="40">
        <v>0</v>
      </c>
      <c r="AR74" s="40">
        <v>0</v>
      </c>
      <c r="AS74" s="40">
        <v>0</v>
      </c>
      <c r="AT74" s="40">
        <v>0</v>
      </c>
      <c r="AU74" s="40">
        <v>0</v>
      </c>
      <c r="AV74" s="40">
        <v>0</v>
      </c>
      <c r="AW74" s="40">
        <v>0</v>
      </c>
      <c r="AX74" s="40">
        <v>0</v>
      </c>
      <c r="AY74" s="40">
        <v>0</v>
      </c>
      <c r="AZ74" s="40">
        <v>0</v>
      </c>
      <c r="BA74" s="40">
        <v>0</v>
      </c>
      <c r="BB74" s="40">
        <v>0</v>
      </c>
      <c r="BC74" s="40">
        <v>0</v>
      </c>
      <c r="BD74" s="40">
        <v>0</v>
      </c>
      <c r="BE74" s="40">
        <v>0</v>
      </c>
      <c r="BF74" s="40">
        <v>0</v>
      </c>
      <c r="BG74" s="40">
        <v>0</v>
      </c>
      <c r="BH74" s="40">
        <v>0</v>
      </c>
      <c r="BI74" s="40">
        <v>0</v>
      </c>
      <c r="BJ74" s="40">
        <v>0</v>
      </c>
      <c r="BK74" s="40">
        <v>0</v>
      </c>
      <c r="BL74" s="40">
        <v>0</v>
      </c>
      <c r="BM74" s="40">
        <v>0</v>
      </c>
      <c r="BN74" s="40">
        <v>0</v>
      </c>
      <c r="BO74" s="40">
        <v>0</v>
      </c>
      <c r="BP74" s="40">
        <v>0</v>
      </c>
      <c r="BQ74" s="40">
        <v>0</v>
      </c>
      <c r="BR74" s="40">
        <v>0</v>
      </c>
      <c r="BS74" s="40">
        <v>0</v>
      </c>
      <c r="BT74" s="40">
        <v>0</v>
      </c>
      <c r="BU74" s="40">
        <v>293201329</v>
      </c>
      <c r="BV74" s="40">
        <v>0</v>
      </c>
      <c r="BW74" s="40">
        <v>0</v>
      </c>
      <c r="BX74" s="40">
        <v>293201329</v>
      </c>
      <c r="BY74" s="40">
        <v>0</v>
      </c>
      <c r="BZ74" s="40">
        <v>0</v>
      </c>
      <c r="CA74" s="40">
        <v>0</v>
      </c>
      <c r="CB74" s="40">
        <v>0</v>
      </c>
      <c r="CC74" s="40">
        <v>0</v>
      </c>
      <c r="CD74" s="40">
        <v>293201329</v>
      </c>
      <c r="CE74" s="40">
        <v>293201329</v>
      </c>
      <c r="CF74" s="41"/>
      <c r="CG74" s="41"/>
      <c r="CH74" s="42"/>
    </row>
    <row r="75" spans="1:86" ht="22.5">
      <c r="A75" s="38">
        <v>69</v>
      </c>
      <c r="B75" s="65"/>
      <c r="C75" s="39" t="s">
        <v>9</v>
      </c>
      <c r="D75" s="40">
        <v>0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40">
        <v>0</v>
      </c>
      <c r="S75" s="40">
        <v>0</v>
      </c>
      <c r="T75" s="40">
        <v>0</v>
      </c>
      <c r="U75" s="40">
        <v>0</v>
      </c>
      <c r="V75" s="40">
        <v>0</v>
      </c>
      <c r="W75" s="40">
        <v>0</v>
      </c>
      <c r="X75" s="40">
        <v>0</v>
      </c>
      <c r="Y75" s="40">
        <v>0</v>
      </c>
      <c r="Z75" s="40">
        <v>0</v>
      </c>
      <c r="AA75" s="40">
        <v>0</v>
      </c>
      <c r="AB75" s="40">
        <v>0</v>
      </c>
      <c r="AC75" s="40">
        <v>0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  <c r="AI75" s="40">
        <v>0</v>
      </c>
      <c r="AJ75" s="40">
        <v>0</v>
      </c>
      <c r="AK75" s="40">
        <v>0</v>
      </c>
      <c r="AL75" s="40">
        <v>0</v>
      </c>
      <c r="AM75" s="40">
        <v>0</v>
      </c>
      <c r="AN75" s="40">
        <v>0</v>
      </c>
      <c r="AO75" s="40">
        <v>0</v>
      </c>
      <c r="AP75" s="40">
        <v>0</v>
      </c>
      <c r="AQ75" s="40">
        <v>0</v>
      </c>
      <c r="AR75" s="40">
        <v>0</v>
      </c>
      <c r="AS75" s="40">
        <v>0</v>
      </c>
      <c r="AT75" s="40">
        <v>0</v>
      </c>
      <c r="AU75" s="40">
        <v>0</v>
      </c>
      <c r="AV75" s="40">
        <v>0</v>
      </c>
      <c r="AW75" s="40">
        <v>0</v>
      </c>
      <c r="AX75" s="40">
        <v>0</v>
      </c>
      <c r="AY75" s="40">
        <v>0</v>
      </c>
      <c r="AZ75" s="40">
        <v>0</v>
      </c>
      <c r="BA75" s="40">
        <v>0</v>
      </c>
      <c r="BB75" s="40">
        <v>0</v>
      </c>
      <c r="BC75" s="40">
        <v>0</v>
      </c>
      <c r="BD75" s="40">
        <v>0</v>
      </c>
      <c r="BE75" s="40">
        <v>0</v>
      </c>
      <c r="BF75" s="40">
        <v>0</v>
      </c>
      <c r="BG75" s="40">
        <v>0</v>
      </c>
      <c r="BH75" s="40">
        <v>0</v>
      </c>
      <c r="BI75" s="40">
        <v>0</v>
      </c>
      <c r="BJ75" s="40">
        <v>0</v>
      </c>
      <c r="BK75" s="40">
        <v>0</v>
      </c>
      <c r="BL75" s="40">
        <v>0</v>
      </c>
      <c r="BM75" s="40">
        <v>0</v>
      </c>
      <c r="BN75" s="40">
        <v>0</v>
      </c>
      <c r="BO75" s="40">
        <v>0</v>
      </c>
      <c r="BP75" s="40">
        <v>0</v>
      </c>
      <c r="BQ75" s="40">
        <v>0</v>
      </c>
      <c r="BR75" s="40">
        <v>0</v>
      </c>
      <c r="BS75" s="40">
        <v>0</v>
      </c>
      <c r="BT75" s="40">
        <v>0</v>
      </c>
      <c r="BU75" s="40">
        <v>0</v>
      </c>
      <c r="BV75" s="40">
        <v>0</v>
      </c>
      <c r="BW75" s="40">
        <v>0</v>
      </c>
      <c r="BX75" s="40">
        <v>0</v>
      </c>
      <c r="BY75" s="40">
        <v>0</v>
      </c>
      <c r="BZ75" s="40">
        <v>0</v>
      </c>
      <c r="CA75" s="40">
        <v>0</v>
      </c>
      <c r="CB75" s="40">
        <v>0</v>
      </c>
      <c r="CC75" s="40">
        <v>0</v>
      </c>
      <c r="CD75" s="40">
        <v>0</v>
      </c>
      <c r="CE75" s="40">
        <v>0</v>
      </c>
      <c r="CF75" s="41"/>
      <c r="CG75" s="41"/>
      <c r="CH75" s="42"/>
    </row>
    <row r="76" spans="1:86" ht="22.5">
      <c r="A76" s="38">
        <v>70</v>
      </c>
      <c r="B76" s="65"/>
      <c r="C76" s="39" t="s">
        <v>8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40">
        <v>0</v>
      </c>
      <c r="AJ76" s="40">
        <v>0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0</v>
      </c>
      <c r="AQ76" s="40">
        <v>0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40">
        <v>0</v>
      </c>
      <c r="BH76" s="40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  <c r="BO76" s="40">
        <v>0</v>
      </c>
      <c r="BP76" s="40">
        <v>0</v>
      </c>
      <c r="BQ76" s="40">
        <v>0</v>
      </c>
      <c r="BR76" s="40">
        <v>0</v>
      </c>
      <c r="BS76" s="40">
        <v>0</v>
      </c>
      <c r="BT76" s="40">
        <v>0</v>
      </c>
      <c r="BU76" s="40">
        <v>0</v>
      </c>
      <c r="BV76" s="40">
        <v>0</v>
      </c>
      <c r="BW76" s="40">
        <v>0</v>
      </c>
      <c r="BX76" s="40">
        <v>0</v>
      </c>
      <c r="BY76" s="40">
        <v>0</v>
      </c>
      <c r="BZ76" s="40">
        <v>0</v>
      </c>
      <c r="CA76" s="40">
        <v>0</v>
      </c>
      <c r="CB76" s="40">
        <v>0</v>
      </c>
      <c r="CC76" s="40">
        <v>0</v>
      </c>
      <c r="CD76" s="40">
        <v>0</v>
      </c>
      <c r="CE76" s="40">
        <v>0</v>
      </c>
      <c r="CF76" s="41"/>
      <c r="CG76" s="41"/>
      <c r="CH76" s="42"/>
    </row>
    <row r="77" spans="1:86">
      <c r="A77" s="38">
        <v>71</v>
      </c>
      <c r="B77" s="65"/>
      <c r="C77" s="60" t="s">
        <v>7</v>
      </c>
      <c r="D77" s="40">
        <v>3567938934</v>
      </c>
      <c r="E77" s="40">
        <v>10024183</v>
      </c>
      <c r="F77" s="40">
        <v>36337423</v>
      </c>
      <c r="G77" s="40">
        <v>337272297</v>
      </c>
      <c r="H77" s="40">
        <v>5091426126</v>
      </c>
      <c r="I77" s="40">
        <v>141564203</v>
      </c>
      <c r="J77" s="40">
        <v>381378931</v>
      </c>
      <c r="K77" s="40">
        <v>3309366743</v>
      </c>
      <c r="L77" s="40">
        <v>215758245</v>
      </c>
      <c r="M77" s="40">
        <v>388884734</v>
      </c>
      <c r="N77" s="40">
        <v>2701906028</v>
      </c>
      <c r="O77" s="40">
        <v>129892527</v>
      </c>
      <c r="P77" s="40">
        <v>76627000</v>
      </c>
      <c r="Q77" s="40">
        <v>41126225</v>
      </c>
      <c r="R77" s="40">
        <v>6638433</v>
      </c>
      <c r="S77" s="40">
        <v>31142967</v>
      </c>
      <c r="T77" s="40">
        <v>75758178</v>
      </c>
      <c r="U77" s="40">
        <v>37401049</v>
      </c>
      <c r="V77" s="40">
        <v>131491321</v>
      </c>
      <c r="W77" s="40">
        <v>769609318</v>
      </c>
      <c r="X77" s="40">
        <v>804156766</v>
      </c>
      <c r="Y77" s="40">
        <v>112570125</v>
      </c>
      <c r="Z77" s="40">
        <v>261225582</v>
      </c>
      <c r="AA77" s="40">
        <v>943901783</v>
      </c>
      <c r="AB77" s="40">
        <v>2485212792</v>
      </c>
      <c r="AC77" s="40">
        <v>111902798</v>
      </c>
      <c r="AD77" s="40">
        <v>112631111</v>
      </c>
      <c r="AE77" s="40">
        <v>6009982797</v>
      </c>
      <c r="AF77" s="40">
        <v>27860291</v>
      </c>
      <c r="AG77" s="40">
        <v>359037506</v>
      </c>
      <c r="AH77" s="40">
        <v>50376722</v>
      </c>
      <c r="AI77" s="40">
        <v>258095655</v>
      </c>
      <c r="AJ77" s="40">
        <v>319905257</v>
      </c>
      <c r="AK77" s="40">
        <v>1024308550</v>
      </c>
      <c r="AL77" s="40">
        <v>363513515</v>
      </c>
      <c r="AM77" s="40">
        <v>73491405</v>
      </c>
      <c r="AN77" s="40">
        <v>41863640</v>
      </c>
      <c r="AO77" s="40">
        <v>618617295</v>
      </c>
      <c r="AP77" s="40">
        <v>1320104992</v>
      </c>
      <c r="AQ77" s="40">
        <v>148355384</v>
      </c>
      <c r="AR77" s="40">
        <v>326104276</v>
      </c>
      <c r="AS77" s="40">
        <v>324287415</v>
      </c>
      <c r="AT77" s="40">
        <v>8493532139</v>
      </c>
      <c r="AU77" s="40">
        <v>1173970583</v>
      </c>
      <c r="AV77" s="40">
        <v>4882932908</v>
      </c>
      <c r="AW77" s="40">
        <v>2413478356</v>
      </c>
      <c r="AX77" s="40">
        <v>2499637352</v>
      </c>
      <c r="AY77" s="40">
        <v>34322987</v>
      </c>
      <c r="AZ77" s="40">
        <v>500869366</v>
      </c>
      <c r="BA77" s="40">
        <v>801251297</v>
      </c>
      <c r="BB77" s="40">
        <v>27033853</v>
      </c>
      <c r="BC77" s="40">
        <v>221069917</v>
      </c>
      <c r="BD77" s="40">
        <v>1188865897</v>
      </c>
      <c r="BE77" s="40">
        <v>939127778</v>
      </c>
      <c r="BF77" s="40">
        <v>470504986</v>
      </c>
      <c r="BG77" s="40">
        <v>1516310175</v>
      </c>
      <c r="BH77" s="40">
        <v>561509401</v>
      </c>
      <c r="BI77" s="40">
        <v>293544997</v>
      </c>
      <c r="BJ77" s="40">
        <v>3094738387</v>
      </c>
      <c r="BK77" s="40">
        <v>2190027333</v>
      </c>
      <c r="BL77" s="40">
        <v>1347858577</v>
      </c>
      <c r="BM77" s="40">
        <v>4552971537</v>
      </c>
      <c r="BN77" s="40">
        <v>2974249229</v>
      </c>
      <c r="BO77" s="40">
        <v>3015179772</v>
      </c>
      <c r="BP77" s="40">
        <v>75996669</v>
      </c>
      <c r="BQ77" s="40">
        <v>988168738</v>
      </c>
      <c r="BR77" s="40">
        <v>1357737346</v>
      </c>
      <c r="BS77" s="61">
        <v>0</v>
      </c>
      <c r="BT77" s="40">
        <v>79193940102</v>
      </c>
      <c r="BU77" s="40">
        <v>75231312334</v>
      </c>
      <c r="BV77" s="40">
        <v>14749596727</v>
      </c>
      <c r="BW77" s="40">
        <v>324837901</v>
      </c>
      <c r="BX77" s="40">
        <v>90305746962</v>
      </c>
      <c r="BY77" s="40">
        <v>31365570351</v>
      </c>
      <c r="BZ77" s="40">
        <v>3943296563</v>
      </c>
      <c r="CA77" s="40">
        <v>69913465</v>
      </c>
      <c r="CB77" s="40">
        <v>35378780379</v>
      </c>
      <c r="CC77" s="40">
        <v>42644271200</v>
      </c>
      <c r="CD77" s="40">
        <v>168328798541</v>
      </c>
      <c r="CE77" s="40">
        <v>247522738643</v>
      </c>
      <c r="CF77" s="41"/>
      <c r="CG77" s="41"/>
      <c r="CH77" s="42"/>
    </row>
    <row r="78" spans="1:86">
      <c r="A78" s="38">
        <v>72</v>
      </c>
      <c r="B78" s="65"/>
      <c r="C78" s="39" t="s">
        <v>142</v>
      </c>
      <c r="D78" s="40">
        <v>1158652938</v>
      </c>
      <c r="E78" s="40">
        <v>10276393</v>
      </c>
      <c r="F78" s="40">
        <v>12721454</v>
      </c>
      <c r="G78" s="40">
        <v>234164307</v>
      </c>
      <c r="H78" s="40">
        <v>1716976586</v>
      </c>
      <c r="I78" s="40">
        <v>49953309</v>
      </c>
      <c r="J78" s="40">
        <v>199089024</v>
      </c>
      <c r="K78" s="40">
        <v>1148913267</v>
      </c>
      <c r="L78" s="40">
        <v>177573699</v>
      </c>
      <c r="M78" s="40">
        <v>436854676</v>
      </c>
      <c r="N78" s="40">
        <v>733276878</v>
      </c>
      <c r="O78" s="40">
        <v>41370139</v>
      </c>
      <c r="P78" s="40">
        <v>28462192</v>
      </c>
      <c r="Q78" s="40">
        <v>36042433</v>
      </c>
      <c r="R78" s="40">
        <v>3107791</v>
      </c>
      <c r="S78" s="40">
        <v>14469753</v>
      </c>
      <c r="T78" s="40">
        <v>30262061</v>
      </c>
      <c r="U78" s="40">
        <v>25001481</v>
      </c>
      <c r="V78" s="40">
        <v>7980704</v>
      </c>
      <c r="W78" s="40">
        <v>139365953</v>
      </c>
      <c r="X78" s="40">
        <v>237212925</v>
      </c>
      <c r="Y78" s="40">
        <v>39200295</v>
      </c>
      <c r="Z78" s="40">
        <v>109729500</v>
      </c>
      <c r="AA78" s="40">
        <v>302440060</v>
      </c>
      <c r="AB78" s="40">
        <v>662575439</v>
      </c>
      <c r="AC78" s="40">
        <v>34774678</v>
      </c>
      <c r="AD78" s="40">
        <v>18909368</v>
      </c>
      <c r="AE78" s="40">
        <v>1141348101</v>
      </c>
      <c r="AF78" s="40">
        <v>4667225</v>
      </c>
      <c r="AG78" s="40">
        <v>125870166</v>
      </c>
      <c r="AH78" s="40">
        <v>13558984</v>
      </c>
      <c r="AI78" s="40">
        <v>63484265</v>
      </c>
      <c r="AJ78" s="40">
        <v>200827118</v>
      </c>
      <c r="AK78" s="40">
        <v>98357196</v>
      </c>
      <c r="AL78" s="40">
        <v>78478243</v>
      </c>
      <c r="AM78" s="40">
        <v>32986377</v>
      </c>
      <c r="AN78" s="40">
        <v>23340298</v>
      </c>
      <c r="AO78" s="40">
        <v>348723836</v>
      </c>
      <c r="AP78" s="40">
        <v>600554910</v>
      </c>
      <c r="AQ78" s="40">
        <v>106778044</v>
      </c>
      <c r="AR78" s="40">
        <v>168256052</v>
      </c>
      <c r="AS78" s="40">
        <v>182911211</v>
      </c>
      <c r="AT78" s="40">
        <v>3486710887</v>
      </c>
      <c r="AU78" s="40">
        <v>796537351</v>
      </c>
      <c r="AV78" s="40">
        <v>4548305551</v>
      </c>
      <c r="AW78" s="40">
        <v>3772169237</v>
      </c>
      <c r="AX78" s="40">
        <v>1167131567</v>
      </c>
      <c r="AY78" s="40">
        <v>28977233</v>
      </c>
      <c r="AZ78" s="40">
        <v>263751494</v>
      </c>
      <c r="BA78" s="40">
        <v>833961055</v>
      </c>
      <c r="BB78" s="40">
        <v>44671284</v>
      </c>
      <c r="BC78" s="40">
        <v>177798343</v>
      </c>
      <c r="BD78" s="40">
        <v>440653779</v>
      </c>
      <c r="BE78" s="40">
        <v>856551033</v>
      </c>
      <c r="BF78" s="40">
        <v>333636153</v>
      </c>
      <c r="BG78" s="40">
        <v>1408248418</v>
      </c>
      <c r="BH78" s="40">
        <v>192511099</v>
      </c>
      <c r="BI78" s="40">
        <v>132840272</v>
      </c>
      <c r="BJ78" s="40">
        <v>660683606</v>
      </c>
      <c r="BK78" s="40">
        <v>1692323549</v>
      </c>
      <c r="BL78" s="40">
        <v>1466279217</v>
      </c>
      <c r="BM78" s="40">
        <v>1898440930</v>
      </c>
      <c r="BN78" s="40">
        <v>3622221451</v>
      </c>
      <c r="BO78" s="40">
        <v>2220945302</v>
      </c>
      <c r="BP78" s="40">
        <v>27605099</v>
      </c>
      <c r="BQ78" s="40">
        <v>659555102</v>
      </c>
      <c r="BR78" s="40">
        <v>553486069</v>
      </c>
      <c r="BS78" s="40">
        <v>293201329</v>
      </c>
      <c r="BT78" s="40">
        <v>42378695739</v>
      </c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1"/>
      <c r="CG78" s="41"/>
      <c r="CH78" s="42"/>
    </row>
    <row r="79" spans="1:86" ht="22.5">
      <c r="A79" s="38">
        <v>73</v>
      </c>
      <c r="B79" s="65"/>
      <c r="C79" s="39" t="s">
        <v>143</v>
      </c>
      <c r="D79" s="40">
        <v>-307512915</v>
      </c>
      <c r="E79" s="40">
        <v>458334</v>
      </c>
      <c r="F79" s="40">
        <v>-1688189</v>
      </c>
      <c r="G79" s="40">
        <v>13007560</v>
      </c>
      <c r="H79" s="40">
        <v>338295548</v>
      </c>
      <c r="I79" s="40">
        <v>9405724</v>
      </c>
      <c r="J79" s="40">
        <v>10500382</v>
      </c>
      <c r="K79" s="40">
        <v>90763834</v>
      </c>
      <c r="L79" s="40">
        <v>7248644</v>
      </c>
      <c r="M79" s="40">
        <v>11390443</v>
      </c>
      <c r="N79" s="40">
        <v>-13910995</v>
      </c>
      <c r="O79" s="40">
        <v>2354684</v>
      </c>
      <c r="P79" s="40">
        <v>191968</v>
      </c>
      <c r="Q79" s="40">
        <v>1454406</v>
      </c>
      <c r="R79" s="40">
        <v>238265</v>
      </c>
      <c r="S79" s="40">
        <v>261262</v>
      </c>
      <c r="T79" s="40">
        <v>1382419</v>
      </c>
      <c r="U79" s="40">
        <v>378925</v>
      </c>
      <c r="V79" s="40">
        <v>3874248</v>
      </c>
      <c r="W79" s="40">
        <v>21918388</v>
      </c>
      <c r="X79" s="40">
        <v>8479171</v>
      </c>
      <c r="Y79" s="40">
        <v>855564</v>
      </c>
      <c r="Z79" s="40">
        <v>2382891</v>
      </c>
      <c r="AA79" s="40">
        <v>5212806</v>
      </c>
      <c r="AB79" s="40">
        <v>5273822</v>
      </c>
      <c r="AC79" s="40">
        <v>199788</v>
      </c>
      <c r="AD79" s="40">
        <v>220846</v>
      </c>
      <c r="AE79" s="40">
        <v>11598485</v>
      </c>
      <c r="AF79" s="40">
        <v>59911</v>
      </c>
      <c r="AG79" s="40">
        <v>482235</v>
      </c>
      <c r="AH79" s="40">
        <v>224054</v>
      </c>
      <c r="AI79" s="40">
        <v>-422403</v>
      </c>
      <c r="AJ79" s="40">
        <v>2597924</v>
      </c>
      <c r="AK79" s="40">
        <v>-9181751</v>
      </c>
      <c r="AL79" s="40">
        <v>-2425625</v>
      </c>
      <c r="AM79" s="40">
        <v>370368</v>
      </c>
      <c r="AN79" s="40">
        <v>283310</v>
      </c>
      <c r="AO79" s="40">
        <v>10363556</v>
      </c>
      <c r="AP79" s="40">
        <v>62780470</v>
      </c>
      <c r="AQ79" s="40">
        <v>8639867</v>
      </c>
      <c r="AR79" s="40">
        <v>-24447303</v>
      </c>
      <c r="AS79" s="40">
        <v>9825274</v>
      </c>
      <c r="AT79" s="40">
        <v>73159571</v>
      </c>
      <c r="AU79" s="40">
        <v>10330049</v>
      </c>
      <c r="AV79" s="40">
        <v>84148172</v>
      </c>
      <c r="AW79" s="40">
        <v>62833383</v>
      </c>
      <c r="AX79" s="40">
        <v>121438534</v>
      </c>
      <c r="AY79" s="40">
        <v>503780</v>
      </c>
      <c r="AZ79" s="40">
        <v>7157008</v>
      </c>
      <c r="BA79" s="40">
        <v>67498748</v>
      </c>
      <c r="BB79" s="40">
        <v>1874487</v>
      </c>
      <c r="BC79" s="40">
        <v>7872372</v>
      </c>
      <c r="BD79" s="40">
        <v>10910482</v>
      </c>
      <c r="BE79" s="40">
        <v>22614136</v>
      </c>
      <c r="BF79" s="40">
        <v>20600817</v>
      </c>
      <c r="BG79" s="40">
        <v>62197557</v>
      </c>
      <c r="BH79" s="40">
        <v>14311600</v>
      </c>
      <c r="BI79" s="40">
        <v>16187419</v>
      </c>
      <c r="BJ79" s="40">
        <v>81157418</v>
      </c>
      <c r="BK79" s="40">
        <v>94794381</v>
      </c>
      <c r="BL79" s="40">
        <v>78692271</v>
      </c>
      <c r="BM79" s="40">
        <v>51380868</v>
      </c>
      <c r="BN79" s="40">
        <v>236971208</v>
      </c>
      <c r="BO79" s="40">
        <v>144582089</v>
      </c>
      <c r="BP79" s="40">
        <v>818989</v>
      </c>
      <c r="BQ79" s="40">
        <v>24625293</v>
      </c>
      <c r="BR79" s="40">
        <v>24570301</v>
      </c>
      <c r="BS79" s="40">
        <v>0</v>
      </c>
      <c r="BT79" s="40">
        <v>1604617128</v>
      </c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1"/>
      <c r="CG79" s="41"/>
      <c r="CH79" s="42"/>
    </row>
    <row r="80" spans="1:86">
      <c r="A80" s="38">
        <v>74</v>
      </c>
      <c r="B80" s="65"/>
      <c r="C80" s="39" t="s">
        <v>144</v>
      </c>
      <c r="D80" s="40">
        <v>610173809</v>
      </c>
      <c r="E80" s="40">
        <v>1382117</v>
      </c>
      <c r="F80" s="40">
        <v>2342195</v>
      </c>
      <c r="G80" s="40">
        <v>97637736</v>
      </c>
      <c r="H80" s="40">
        <v>2182528191</v>
      </c>
      <c r="I80" s="40">
        <v>84976232</v>
      </c>
      <c r="J80" s="40">
        <v>55150734</v>
      </c>
      <c r="K80" s="40">
        <v>672050547</v>
      </c>
      <c r="L80" s="40">
        <v>28707303</v>
      </c>
      <c r="M80" s="40">
        <v>83267965</v>
      </c>
      <c r="N80" s="40">
        <v>217501872</v>
      </c>
      <c r="O80" s="40">
        <v>12112218</v>
      </c>
      <c r="P80" s="40">
        <v>5514038</v>
      </c>
      <c r="Q80" s="40">
        <v>2411900</v>
      </c>
      <c r="R80" s="40">
        <v>1548111</v>
      </c>
      <c r="S80" s="40">
        <v>3186945</v>
      </c>
      <c r="T80" s="40">
        <v>15562657</v>
      </c>
      <c r="U80" s="40">
        <v>3330892</v>
      </c>
      <c r="V80" s="40">
        <v>18753830</v>
      </c>
      <c r="W80" s="40">
        <v>97475043</v>
      </c>
      <c r="X80" s="40">
        <v>93598956</v>
      </c>
      <c r="Y80" s="40">
        <v>5962221</v>
      </c>
      <c r="Z80" s="40">
        <v>20868404</v>
      </c>
      <c r="AA80" s="40">
        <v>101126082</v>
      </c>
      <c r="AB80" s="40">
        <v>170043071</v>
      </c>
      <c r="AC80" s="40">
        <v>5314813</v>
      </c>
      <c r="AD80" s="40">
        <v>8558045</v>
      </c>
      <c r="AE80" s="40">
        <v>292578470</v>
      </c>
      <c r="AF80" s="40">
        <v>1743268</v>
      </c>
      <c r="AG80" s="40">
        <v>22562524</v>
      </c>
      <c r="AH80" s="40">
        <v>2932241</v>
      </c>
      <c r="AI80" s="40">
        <v>15245716</v>
      </c>
      <c r="AJ80" s="40">
        <v>20414321</v>
      </c>
      <c r="AK80" s="40">
        <v>122719415</v>
      </c>
      <c r="AL80" s="40">
        <v>31222207</v>
      </c>
      <c r="AM80" s="40">
        <v>5768744</v>
      </c>
      <c r="AN80" s="40">
        <v>1404889</v>
      </c>
      <c r="AO80" s="40">
        <v>85782728</v>
      </c>
      <c r="AP80" s="40">
        <v>316369061</v>
      </c>
      <c r="AQ80" s="40">
        <v>41605913</v>
      </c>
      <c r="AR80" s="40">
        <v>81639388</v>
      </c>
      <c r="AS80" s="40">
        <v>86572891</v>
      </c>
      <c r="AT80" s="40">
        <v>530211360</v>
      </c>
      <c r="AU80" s="40">
        <v>190686091</v>
      </c>
      <c r="AV80" s="40">
        <v>1410266621</v>
      </c>
      <c r="AW80" s="40">
        <v>391912090</v>
      </c>
      <c r="AX80" s="40">
        <v>544477899</v>
      </c>
      <c r="AY80" s="40">
        <v>1705802</v>
      </c>
      <c r="AZ80" s="40">
        <v>47040726</v>
      </c>
      <c r="BA80" s="40">
        <v>206976642</v>
      </c>
      <c r="BB80" s="40">
        <v>4847183</v>
      </c>
      <c r="BC80" s="40">
        <v>14981909</v>
      </c>
      <c r="BD80" s="40">
        <v>98917363</v>
      </c>
      <c r="BE80" s="40">
        <v>133727414</v>
      </c>
      <c r="BF80" s="40">
        <v>123384390</v>
      </c>
      <c r="BG80" s="40">
        <v>121701812</v>
      </c>
      <c r="BH80" s="40">
        <v>45700300</v>
      </c>
      <c r="BI80" s="40">
        <v>9933206</v>
      </c>
      <c r="BJ80" s="40">
        <v>1573340721</v>
      </c>
      <c r="BK80" s="40">
        <v>193765062</v>
      </c>
      <c r="BL80" s="40">
        <v>113921924</v>
      </c>
      <c r="BM80" s="40">
        <v>680739619</v>
      </c>
      <c r="BN80" s="40">
        <v>445595313</v>
      </c>
      <c r="BO80" s="40">
        <v>177948202</v>
      </c>
      <c r="BP80" s="40">
        <v>14558530</v>
      </c>
      <c r="BQ80" s="40">
        <v>120177820</v>
      </c>
      <c r="BR80" s="40">
        <v>57902930</v>
      </c>
      <c r="BS80" s="40">
        <v>0</v>
      </c>
      <c r="BT80" s="40">
        <v>12984068632</v>
      </c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1"/>
      <c r="CG80" s="41"/>
      <c r="CH80" s="42"/>
    </row>
    <row r="81" spans="1:86">
      <c r="A81" s="38">
        <v>75</v>
      </c>
      <c r="B81" s="65"/>
      <c r="C81" s="39" t="s">
        <v>216</v>
      </c>
      <c r="D81" s="40">
        <v>3783353618</v>
      </c>
      <c r="E81" s="40">
        <v>4566174</v>
      </c>
      <c r="F81" s="40">
        <v>178412517</v>
      </c>
      <c r="G81" s="40">
        <v>161640700</v>
      </c>
      <c r="H81" s="40">
        <v>7053540749</v>
      </c>
      <c r="I81" s="40">
        <v>169555932</v>
      </c>
      <c r="J81" s="40">
        <v>287547729</v>
      </c>
      <c r="K81" s="40">
        <v>2861523909</v>
      </c>
      <c r="L81" s="40">
        <v>52417311</v>
      </c>
      <c r="M81" s="40">
        <v>131272582</v>
      </c>
      <c r="N81" s="40">
        <v>1797105206</v>
      </c>
      <c r="O81" s="40">
        <v>118033932</v>
      </c>
      <c r="P81" s="40">
        <v>18704300</v>
      </c>
      <c r="Q81" s="40">
        <v>9250836</v>
      </c>
      <c r="R81" s="40">
        <v>4074500</v>
      </c>
      <c r="S81" s="40">
        <v>19700973</v>
      </c>
      <c r="T81" s="40">
        <v>43988686</v>
      </c>
      <c r="U81" s="40">
        <v>17481910</v>
      </c>
      <c r="V81" s="40">
        <v>71542197</v>
      </c>
      <c r="W81" s="40">
        <v>292448397</v>
      </c>
      <c r="X81" s="40">
        <v>512595584</v>
      </c>
      <c r="Y81" s="40">
        <v>308591895</v>
      </c>
      <c r="Z81" s="40">
        <v>89851523</v>
      </c>
      <c r="AA81" s="40">
        <v>482065370</v>
      </c>
      <c r="AB81" s="40">
        <v>679555478</v>
      </c>
      <c r="AC81" s="40">
        <v>11460623</v>
      </c>
      <c r="AD81" s="40">
        <v>28063130</v>
      </c>
      <c r="AE81" s="40">
        <v>1396243546</v>
      </c>
      <c r="AF81" s="40">
        <v>11142105</v>
      </c>
      <c r="AG81" s="40">
        <v>134128467</v>
      </c>
      <c r="AH81" s="40">
        <v>19575995</v>
      </c>
      <c r="AI81" s="40">
        <v>106699969</v>
      </c>
      <c r="AJ81" s="40">
        <v>14387979</v>
      </c>
      <c r="AK81" s="40">
        <v>754435190</v>
      </c>
      <c r="AL81" s="40">
        <v>222840425</v>
      </c>
      <c r="AM81" s="40">
        <v>27117178</v>
      </c>
      <c r="AN81" s="40">
        <v>8496662</v>
      </c>
      <c r="AO81" s="40">
        <v>266188585</v>
      </c>
      <c r="AP81" s="40">
        <v>360468966</v>
      </c>
      <c r="AQ81" s="40">
        <v>48490292</v>
      </c>
      <c r="AR81" s="40">
        <v>131729987</v>
      </c>
      <c r="AS81" s="40">
        <v>122992505</v>
      </c>
      <c r="AT81" s="40">
        <v>1808884446</v>
      </c>
      <c r="AU81" s="40">
        <v>1404964262</v>
      </c>
      <c r="AV81" s="40">
        <v>11403661563</v>
      </c>
      <c r="AW81" s="40">
        <v>3127889181</v>
      </c>
      <c r="AX81" s="40">
        <v>2572711449</v>
      </c>
      <c r="AY81" s="40">
        <v>10156298</v>
      </c>
      <c r="AZ81" s="40">
        <v>209029406</v>
      </c>
      <c r="BA81" s="40">
        <v>1207090858</v>
      </c>
      <c r="BB81" s="40">
        <v>16383893</v>
      </c>
      <c r="BC81" s="40">
        <v>98112683</v>
      </c>
      <c r="BD81" s="40">
        <v>579768022</v>
      </c>
      <c r="BE81" s="40">
        <v>711319040</v>
      </c>
      <c r="BF81" s="40">
        <v>752483654</v>
      </c>
      <c r="BG81" s="40">
        <v>1541027589</v>
      </c>
      <c r="BH81" s="40">
        <v>1016928900</v>
      </c>
      <c r="BI81" s="40">
        <v>95688834</v>
      </c>
      <c r="BJ81" s="40">
        <v>10982868368</v>
      </c>
      <c r="BK81" s="40">
        <v>1931839212</v>
      </c>
      <c r="BL81" s="40">
        <v>1255061112</v>
      </c>
      <c r="BM81" s="40">
        <v>0</v>
      </c>
      <c r="BN81" s="40">
        <v>1545456476</v>
      </c>
      <c r="BO81" s="40">
        <v>492210304</v>
      </c>
      <c r="BP81" s="40">
        <v>1875205</v>
      </c>
      <c r="BQ81" s="40">
        <v>414937463</v>
      </c>
      <c r="BR81" s="40">
        <v>1891975923</v>
      </c>
      <c r="BS81" s="40">
        <v>0</v>
      </c>
      <c r="BT81" s="40">
        <v>67885607753</v>
      </c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1"/>
      <c r="CG81" s="41"/>
      <c r="CH81" s="42"/>
    </row>
    <row r="82" spans="1:86">
      <c r="A82" s="38">
        <v>76</v>
      </c>
      <c r="B82" s="65"/>
      <c r="C82" s="60" t="s">
        <v>145</v>
      </c>
      <c r="D82" s="40">
        <v>5244667450</v>
      </c>
      <c r="E82" s="40">
        <v>16683018</v>
      </c>
      <c r="F82" s="40">
        <v>191787977</v>
      </c>
      <c r="G82" s="40">
        <v>506450303</v>
      </c>
      <c r="H82" s="40">
        <v>11291341074</v>
      </c>
      <c r="I82" s="40">
        <v>313891197</v>
      </c>
      <c r="J82" s="40">
        <v>552287869</v>
      </c>
      <c r="K82" s="40">
        <v>4773251557</v>
      </c>
      <c r="L82" s="40">
        <v>265946957</v>
      </c>
      <c r="M82" s="40">
        <v>662785666</v>
      </c>
      <c r="N82" s="40">
        <v>2733972961</v>
      </c>
      <c r="O82" s="40">
        <v>173870973</v>
      </c>
      <c r="P82" s="40">
        <v>52872498</v>
      </c>
      <c r="Q82" s="40">
        <v>49159575</v>
      </c>
      <c r="R82" s="40">
        <v>8968667</v>
      </c>
      <c r="S82" s="40">
        <v>37618933</v>
      </c>
      <c r="T82" s="40">
        <v>91195823</v>
      </c>
      <c r="U82" s="40">
        <v>46193208</v>
      </c>
      <c r="V82" s="40">
        <v>102150979</v>
      </c>
      <c r="W82" s="40">
        <v>551207781</v>
      </c>
      <c r="X82" s="40">
        <v>851886636</v>
      </c>
      <c r="Y82" s="40">
        <v>354609975</v>
      </c>
      <c r="Z82" s="40">
        <v>222832318</v>
      </c>
      <c r="AA82" s="40">
        <v>890844318</v>
      </c>
      <c r="AB82" s="40">
        <v>1517447810</v>
      </c>
      <c r="AC82" s="40">
        <v>51749902</v>
      </c>
      <c r="AD82" s="40">
        <v>55751389</v>
      </c>
      <c r="AE82" s="40">
        <v>2841768602</v>
      </c>
      <c r="AF82" s="40">
        <v>17612509</v>
      </c>
      <c r="AG82" s="40">
        <v>283043392</v>
      </c>
      <c r="AH82" s="40">
        <v>36291274</v>
      </c>
      <c r="AI82" s="40">
        <v>185007547</v>
      </c>
      <c r="AJ82" s="40">
        <v>238227342</v>
      </c>
      <c r="AK82" s="40">
        <v>966330050</v>
      </c>
      <c r="AL82" s="40">
        <v>330115250</v>
      </c>
      <c r="AM82" s="40">
        <v>66242667</v>
      </c>
      <c r="AN82" s="40">
        <v>33525159</v>
      </c>
      <c r="AO82" s="40">
        <v>711058705</v>
      </c>
      <c r="AP82" s="40">
        <v>1340173407</v>
      </c>
      <c r="AQ82" s="40">
        <v>205514116</v>
      </c>
      <c r="AR82" s="40">
        <v>357178124</v>
      </c>
      <c r="AS82" s="40">
        <v>402301881</v>
      </c>
      <c r="AT82" s="40">
        <v>5898966264</v>
      </c>
      <c r="AU82" s="40">
        <v>2402517753</v>
      </c>
      <c r="AV82" s="40">
        <v>17446381907</v>
      </c>
      <c r="AW82" s="40">
        <v>7354803891</v>
      </c>
      <c r="AX82" s="40">
        <v>4405759449</v>
      </c>
      <c r="AY82" s="40">
        <v>41343113</v>
      </c>
      <c r="AZ82" s="40">
        <v>526978634</v>
      </c>
      <c r="BA82" s="40">
        <v>2315527303</v>
      </c>
      <c r="BB82" s="40">
        <v>67776847</v>
      </c>
      <c r="BC82" s="40">
        <v>298765307</v>
      </c>
      <c r="BD82" s="40">
        <v>1130249646</v>
      </c>
      <c r="BE82" s="40">
        <v>1724211623</v>
      </c>
      <c r="BF82" s="40">
        <v>1230105014</v>
      </c>
      <c r="BG82" s="40">
        <v>3133175376</v>
      </c>
      <c r="BH82" s="40">
        <v>1269451899</v>
      </c>
      <c r="BI82" s="40">
        <v>254649731</v>
      </c>
      <c r="BJ82" s="40">
        <v>13298050113</v>
      </c>
      <c r="BK82" s="40">
        <v>3912722204</v>
      </c>
      <c r="BL82" s="40">
        <v>2913954524</v>
      </c>
      <c r="BM82" s="40">
        <v>2630561417</v>
      </c>
      <c r="BN82" s="40">
        <v>5850244448</v>
      </c>
      <c r="BO82" s="40">
        <v>3035685897</v>
      </c>
      <c r="BP82" s="40">
        <v>44857823</v>
      </c>
      <c r="BQ82" s="40">
        <v>1219295678</v>
      </c>
      <c r="BR82" s="40">
        <v>2527935223</v>
      </c>
      <c r="BS82" s="40">
        <v>293201329</v>
      </c>
      <c r="BT82" s="40">
        <v>124852989252</v>
      </c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1"/>
      <c r="CG82" s="41"/>
      <c r="CH82" s="42"/>
    </row>
    <row r="83" spans="1:86">
      <c r="A83" s="38">
        <v>77</v>
      </c>
      <c r="B83" s="65"/>
      <c r="C83" s="39" t="s">
        <v>146</v>
      </c>
      <c r="D83" s="40">
        <v>8812606384</v>
      </c>
      <c r="E83" s="40">
        <v>26707201</v>
      </c>
      <c r="F83" s="40">
        <v>228125400</v>
      </c>
      <c r="G83" s="40">
        <v>843722600</v>
      </c>
      <c r="H83" s="40">
        <v>16382767200</v>
      </c>
      <c r="I83" s="40">
        <v>455455400</v>
      </c>
      <c r="J83" s="40">
        <v>933666800</v>
      </c>
      <c r="K83" s="40">
        <v>8082618300</v>
      </c>
      <c r="L83" s="40">
        <v>481705202</v>
      </c>
      <c r="M83" s="40">
        <v>1051670400</v>
      </c>
      <c r="N83" s="40">
        <v>5435878989</v>
      </c>
      <c r="O83" s="40">
        <v>303763500</v>
      </c>
      <c r="P83" s="40">
        <v>129499498</v>
      </c>
      <c r="Q83" s="40">
        <v>90285800</v>
      </c>
      <c r="R83" s="40">
        <v>15607100</v>
      </c>
      <c r="S83" s="40">
        <v>68761900</v>
      </c>
      <c r="T83" s="40">
        <v>166954001</v>
      </c>
      <c r="U83" s="40">
        <v>83594257</v>
      </c>
      <c r="V83" s="40">
        <v>233642300</v>
      </c>
      <c r="W83" s="40">
        <v>1320817099</v>
      </c>
      <c r="X83" s="40">
        <v>1656043402</v>
      </c>
      <c r="Y83" s="40">
        <v>467180100</v>
      </c>
      <c r="Z83" s="40">
        <v>484057900</v>
      </c>
      <c r="AA83" s="40">
        <v>1834746101</v>
      </c>
      <c r="AB83" s="40">
        <v>4002660602</v>
      </c>
      <c r="AC83" s="40">
        <v>163652700</v>
      </c>
      <c r="AD83" s="40">
        <v>168382500</v>
      </c>
      <c r="AE83" s="40">
        <v>8851751399</v>
      </c>
      <c r="AF83" s="40">
        <v>45472800</v>
      </c>
      <c r="AG83" s="40">
        <v>642080898</v>
      </c>
      <c r="AH83" s="40">
        <v>86667996</v>
      </c>
      <c r="AI83" s="40">
        <v>443103202</v>
      </c>
      <c r="AJ83" s="40">
        <v>558132599</v>
      </c>
      <c r="AK83" s="40">
        <v>1990638600</v>
      </c>
      <c r="AL83" s="40">
        <v>693628765</v>
      </c>
      <c r="AM83" s="40">
        <v>139734072</v>
      </c>
      <c r="AN83" s="40">
        <v>75388799</v>
      </c>
      <c r="AO83" s="40">
        <v>1329676000</v>
      </c>
      <c r="AP83" s="40">
        <v>2660278399</v>
      </c>
      <c r="AQ83" s="40">
        <v>353869500</v>
      </c>
      <c r="AR83" s="40">
        <v>683282400</v>
      </c>
      <c r="AS83" s="40">
        <v>726589296</v>
      </c>
      <c r="AT83" s="40">
        <v>14392498403</v>
      </c>
      <c r="AU83" s="40">
        <v>3576488336</v>
      </c>
      <c r="AV83" s="40">
        <v>22329314815</v>
      </c>
      <c r="AW83" s="40">
        <v>9768282247</v>
      </c>
      <c r="AX83" s="40">
        <v>6905396801</v>
      </c>
      <c r="AY83" s="40">
        <v>75666100</v>
      </c>
      <c r="AZ83" s="40">
        <v>1027848000</v>
      </c>
      <c r="BA83" s="40">
        <v>3116778600</v>
      </c>
      <c r="BB83" s="40">
        <v>94810700</v>
      </c>
      <c r="BC83" s="40">
        <v>519835224</v>
      </c>
      <c r="BD83" s="40">
        <v>2319115543</v>
      </c>
      <c r="BE83" s="40">
        <v>2663339401</v>
      </c>
      <c r="BF83" s="40">
        <v>1700610000</v>
      </c>
      <c r="BG83" s="40">
        <v>4649485551</v>
      </c>
      <c r="BH83" s="40">
        <v>1830961300</v>
      </c>
      <c r="BI83" s="40">
        <v>548194728</v>
      </c>
      <c r="BJ83" s="40">
        <v>16392788500</v>
      </c>
      <c r="BK83" s="40">
        <v>6102749537</v>
      </c>
      <c r="BL83" s="40">
        <v>4261813101</v>
      </c>
      <c r="BM83" s="40">
        <v>7183532954</v>
      </c>
      <c r="BN83" s="40">
        <v>8824493677</v>
      </c>
      <c r="BO83" s="40">
        <v>6050865669</v>
      </c>
      <c r="BP83" s="40">
        <v>120854492</v>
      </c>
      <c r="BQ83" s="40">
        <v>2207464416</v>
      </c>
      <c r="BR83" s="40">
        <v>3885672569</v>
      </c>
      <c r="BS83" s="40">
        <v>293201329</v>
      </c>
      <c r="BT83" s="40">
        <v>204046929354</v>
      </c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1"/>
      <c r="CG83" s="41"/>
      <c r="CH83" s="42"/>
    </row>
    <row r="84" spans="1:86">
      <c r="A84" s="38">
        <v>78</v>
      </c>
      <c r="B84" s="65"/>
      <c r="C84" s="39" t="s">
        <v>154</v>
      </c>
      <c r="D84" s="40">
        <v>840427056</v>
      </c>
      <c r="E84" s="40">
        <v>2460929</v>
      </c>
      <c r="F84" s="40">
        <v>10160594</v>
      </c>
      <c r="G84" s="40">
        <v>66921856</v>
      </c>
      <c r="H84" s="40">
        <v>1934</v>
      </c>
      <c r="I84" s="40">
        <v>369969453</v>
      </c>
      <c r="J84" s="40">
        <v>9984</v>
      </c>
      <c r="K84" s="40">
        <v>320059699</v>
      </c>
      <c r="L84" s="40">
        <v>34177565</v>
      </c>
      <c r="M84" s="40">
        <v>1105907</v>
      </c>
      <c r="N84" s="40">
        <v>2776234826</v>
      </c>
      <c r="O84" s="40">
        <v>186306415</v>
      </c>
      <c r="P84" s="40">
        <v>680816820</v>
      </c>
      <c r="Q84" s="40">
        <v>1621663107</v>
      </c>
      <c r="R84" s="40">
        <v>468334705</v>
      </c>
      <c r="S84" s="40">
        <v>297601190</v>
      </c>
      <c r="T84" s="40">
        <v>412048905</v>
      </c>
      <c r="U84" s="40">
        <v>1878338</v>
      </c>
      <c r="V84" s="40">
        <v>77271043</v>
      </c>
      <c r="W84" s="40">
        <v>501862187</v>
      </c>
      <c r="X84" s="40">
        <v>2341989188</v>
      </c>
      <c r="Y84" s="40">
        <v>1346804898</v>
      </c>
      <c r="Z84" s="40">
        <v>1175347773</v>
      </c>
      <c r="AA84" s="40">
        <v>614637911</v>
      </c>
      <c r="AB84" s="40">
        <v>796195428</v>
      </c>
      <c r="AC84" s="40">
        <v>462035216</v>
      </c>
      <c r="AD84" s="40">
        <v>104355552</v>
      </c>
      <c r="AE84" s="40">
        <v>874973803</v>
      </c>
      <c r="AF84" s="40">
        <v>9326624</v>
      </c>
      <c r="AG84" s="40">
        <v>1085719376</v>
      </c>
      <c r="AH84" s="40">
        <v>2468333009</v>
      </c>
      <c r="AI84" s="40">
        <v>1600607092</v>
      </c>
      <c r="AJ84" s="40">
        <v>3594098178</v>
      </c>
      <c r="AK84" s="40">
        <v>3298492943</v>
      </c>
      <c r="AL84" s="40">
        <v>1547204450</v>
      </c>
      <c r="AM84" s="40">
        <v>279817103</v>
      </c>
      <c r="AN84" s="40">
        <v>835129767</v>
      </c>
      <c r="AO84" s="40">
        <v>148540985</v>
      </c>
      <c r="AP84" s="40">
        <v>160010009</v>
      </c>
      <c r="AQ84" s="40">
        <v>1865020</v>
      </c>
      <c r="AR84" s="40">
        <v>7002172</v>
      </c>
      <c r="AS84" s="40">
        <v>24533299</v>
      </c>
      <c r="AT84" s="40">
        <v>199433858</v>
      </c>
      <c r="AU84" s="40">
        <v>12925966</v>
      </c>
      <c r="AV84" s="40">
        <v>0</v>
      </c>
      <c r="AW84" s="40">
        <v>0</v>
      </c>
      <c r="AX84" s="40">
        <v>274043640</v>
      </c>
      <c r="AY84" s="40">
        <v>6349584</v>
      </c>
      <c r="AZ84" s="40">
        <v>68744839</v>
      </c>
      <c r="BA84" s="40">
        <v>175704178</v>
      </c>
      <c r="BB84" s="40">
        <v>1660912</v>
      </c>
      <c r="BC84" s="40">
        <v>303638041</v>
      </c>
      <c r="BD84" s="40">
        <v>227054357</v>
      </c>
      <c r="BE84" s="40">
        <v>277312675</v>
      </c>
      <c r="BF84" s="40">
        <v>137213231</v>
      </c>
      <c r="BG84" s="40">
        <v>305759852</v>
      </c>
      <c r="BH84" s="40">
        <v>4050721</v>
      </c>
      <c r="BI84" s="40">
        <v>0</v>
      </c>
      <c r="BJ84" s="40">
        <v>75324692</v>
      </c>
      <c r="BK84" s="40">
        <v>872691912</v>
      </c>
      <c r="BL84" s="40">
        <v>383179276</v>
      </c>
      <c r="BM84" s="40">
        <v>0</v>
      </c>
      <c r="BN84" s="40">
        <v>86801430</v>
      </c>
      <c r="BO84" s="40">
        <v>11322189</v>
      </c>
      <c r="BP84" s="40">
        <v>0</v>
      </c>
      <c r="BQ84" s="40">
        <v>316713006</v>
      </c>
      <c r="BR84" s="40">
        <v>3062421</v>
      </c>
      <c r="BS84" s="40">
        <v>0</v>
      </c>
      <c r="BT84" s="40">
        <v>35189319089</v>
      </c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1"/>
      <c r="CG84" s="41"/>
      <c r="CH84" s="42"/>
    </row>
    <row r="85" spans="1:86">
      <c r="A85" s="38">
        <v>79</v>
      </c>
      <c r="B85" s="65"/>
      <c r="C85" s="39" t="s">
        <v>106</v>
      </c>
      <c r="D85" s="40">
        <v>289395102</v>
      </c>
      <c r="E85" s="40">
        <v>368115</v>
      </c>
      <c r="F85" s="40">
        <v>1521800</v>
      </c>
      <c r="G85" s="40">
        <v>81293993</v>
      </c>
      <c r="H85" s="40">
        <v>2173467178</v>
      </c>
      <c r="I85" s="40">
        <v>8822405</v>
      </c>
      <c r="J85" s="40">
        <v>2438580</v>
      </c>
      <c r="K85" s="40">
        <v>16006089</v>
      </c>
      <c r="L85" s="40">
        <v>9171222</v>
      </c>
      <c r="M85" s="40">
        <v>1090561</v>
      </c>
      <c r="N85" s="40">
        <v>1018734632</v>
      </c>
      <c r="O85" s="40">
        <v>368286662</v>
      </c>
      <c r="P85" s="40">
        <v>78970287</v>
      </c>
      <c r="Q85" s="40">
        <v>277503178</v>
      </c>
      <c r="R85" s="40">
        <v>76756907</v>
      </c>
      <c r="S85" s="40">
        <v>16620437</v>
      </c>
      <c r="T85" s="40">
        <v>43642713</v>
      </c>
      <c r="U85" s="40">
        <v>4030482</v>
      </c>
      <c r="V85" s="40">
        <v>1299288</v>
      </c>
      <c r="W85" s="40">
        <v>512497558</v>
      </c>
      <c r="X85" s="40">
        <v>207007111</v>
      </c>
      <c r="Y85" s="40">
        <v>11728230</v>
      </c>
      <c r="Z85" s="40">
        <v>93778321</v>
      </c>
      <c r="AA85" s="40">
        <v>94721424</v>
      </c>
      <c r="AB85" s="40">
        <v>57319095</v>
      </c>
      <c r="AC85" s="40">
        <v>9885797</v>
      </c>
      <c r="AD85" s="40">
        <v>5833846</v>
      </c>
      <c r="AE85" s="40">
        <v>128304764</v>
      </c>
      <c r="AF85" s="40">
        <v>335997</v>
      </c>
      <c r="AG85" s="40">
        <v>62556896</v>
      </c>
      <c r="AH85" s="40">
        <v>267518072</v>
      </c>
      <c r="AI85" s="40">
        <v>124691207</v>
      </c>
      <c r="AJ85" s="40">
        <v>137554886</v>
      </c>
      <c r="AK85" s="40">
        <v>367179481</v>
      </c>
      <c r="AL85" s="40">
        <v>48381014</v>
      </c>
      <c r="AM85" s="40">
        <v>33737150</v>
      </c>
      <c r="AN85" s="40">
        <v>72621829</v>
      </c>
      <c r="AO85" s="40">
        <v>17911379</v>
      </c>
      <c r="AP85" s="40">
        <v>164472928</v>
      </c>
      <c r="AQ85" s="40">
        <v>27975926</v>
      </c>
      <c r="AR85" s="40">
        <v>55886746</v>
      </c>
      <c r="AS85" s="40">
        <v>11510243</v>
      </c>
      <c r="AT85" s="40">
        <v>515023774</v>
      </c>
      <c r="AU85" s="40">
        <v>21566300</v>
      </c>
      <c r="AV85" s="40">
        <v>0</v>
      </c>
      <c r="AW85" s="40">
        <v>0</v>
      </c>
      <c r="AX85" s="40">
        <v>-277604724</v>
      </c>
      <c r="AY85" s="40">
        <v>1145842</v>
      </c>
      <c r="AZ85" s="40">
        <v>50545710</v>
      </c>
      <c r="BA85" s="40">
        <v>77471993</v>
      </c>
      <c r="BB85" s="40">
        <v>5547514</v>
      </c>
      <c r="BC85" s="40">
        <v>29148735</v>
      </c>
      <c r="BD85" s="40">
        <v>148347431</v>
      </c>
      <c r="BE85" s="40">
        <v>46453790</v>
      </c>
      <c r="BF85" s="40">
        <v>114585626</v>
      </c>
      <c r="BG85" s="40">
        <v>0</v>
      </c>
      <c r="BH85" s="40">
        <v>0</v>
      </c>
      <c r="BI85" s="40">
        <v>0</v>
      </c>
      <c r="BJ85" s="40">
        <v>113461626</v>
      </c>
      <c r="BK85" s="40">
        <v>107845503</v>
      </c>
      <c r="BL85" s="40">
        <v>162616018</v>
      </c>
      <c r="BM85" s="40">
        <v>0</v>
      </c>
      <c r="BN85" s="40">
        <v>22663060</v>
      </c>
      <c r="BO85" s="40">
        <v>0</v>
      </c>
      <c r="BP85" s="40">
        <v>0</v>
      </c>
      <c r="BQ85" s="40">
        <v>77170218</v>
      </c>
      <c r="BR85" s="40">
        <v>87672253</v>
      </c>
      <c r="BS85" s="40">
        <v>0</v>
      </c>
      <c r="BT85" s="40">
        <v>8286490200</v>
      </c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1"/>
      <c r="CG85" s="41"/>
      <c r="CH85" s="42"/>
    </row>
    <row r="86" spans="1:86">
      <c r="A86" s="38">
        <v>80</v>
      </c>
      <c r="B86" s="65"/>
      <c r="C86" s="39" t="s">
        <v>194</v>
      </c>
      <c r="D86" s="40">
        <v>2100059673</v>
      </c>
      <c r="E86" s="40">
        <v>2199863</v>
      </c>
      <c r="F86" s="40">
        <v>35759806</v>
      </c>
      <c r="G86" s="40">
        <v>87113263</v>
      </c>
      <c r="H86" s="40">
        <v>591835189</v>
      </c>
      <c r="I86" s="40">
        <v>11377868</v>
      </c>
      <c r="J86" s="40">
        <v>37977796</v>
      </c>
      <c r="K86" s="40">
        <v>334753222</v>
      </c>
      <c r="L86" s="40">
        <v>163153764</v>
      </c>
      <c r="M86" s="40">
        <v>0</v>
      </c>
      <c r="N86" s="40">
        <v>6433948156</v>
      </c>
      <c r="O86" s="40">
        <v>118992176</v>
      </c>
      <c r="P86" s="40">
        <v>330080667</v>
      </c>
      <c r="Q86" s="40">
        <v>1298445314</v>
      </c>
      <c r="R86" s="40">
        <v>309096418</v>
      </c>
      <c r="S86" s="40">
        <v>249362083</v>
      </c>
      <c r="T86" s="40">
        <v>283972770</v>
      </c>
      <c r="U86" s="40">
        <v>685088</v>
      </c>
      <c r="V86" s="40">
        <v>8024064</v>
      </c>
      <c r="W86" s="40">
        <v>984840617</v>
      </c>
      <c r="X86" s="40">
        <v>1479943860</v>
      </c>
      <c r="Y86" s="40">
        <v>2076611911</v>
      </c>
      <c r="Z86" s="40">
        <v>848414553</v>
      </c>
      <c r="AA86" s="40">
        <v>800255087</v>
      </c>
      <c r="AB86" s="40">
        <v>2814724170</v>
      </c>
      <c r="AC86" s="40">
        <v>621098372</v>
      </c>
      <c r="AD86" s="40">
        <v>41594229</v>
      </c>
      <c r="AE86" s="40">
        <v>5934030014</v>
      </c>
      <c r="AF86" s="40">
        <v>11317966</v>
      </c>
      <c r="AG86" s="40">
        <v>640201561</v>
      </c>
      <c r="AH86" s="40">
        <v>1956553666</v>
      </c>
      <c r="AI86" s="40">
        <v>1413186913</v>
      </c>
      <c r="AJ86" s="40">
        <v>1109777185</v>
      </c>
      <c r="AK86" s="40">
        <v>2086748552</v>
      </c>
      <c r="AL86" s="40">
        <v>1144678617</v>
      </c>
      <c r="AM86" s="40">
        <v>234502420</v>
      </c>
      <c r="AN86" s="40">
        <v>685061211</v>
      </c>
      <c r="AO86" s="40">
        <v>0</v>
      </c>
      <c r="AP86" s="40">
        <v>0</v>
      </c>
      <c r="AQ86" s="40">
        <v>0</v>
      </c>
      <c r="AR86" s="40">
        <v>0</v>
      </c>
      <c r="AS86" s="40">
        <v>49423347</v>
      </c>
      <c r="AT86" s="40">
        <v>0</v>
      </c>
      <c r="AU86" s="40">
        <v>-3250438590</v>
      </c>
      <c r="AV86" s="40">
        <v>-22329314815</v>
      </c>
      <c r="AW86" s="40">
        <v>-9768282247</v>
      </c>
      <c r="AX86" s="40">
        <v>-2049267213</v>
      </c>
      <c r="AY86" s="40">
        <v>-23073137</v>
      </c>
      <c r="AZ86" s="40">
        <v>-63401</v>
      </c>
      <c r="BA86" s="40">
        <v>0</v>
      </c>
      <c r="BB86" s="40">
        <v>0</v>
      </c>
      <c r="BC86" s="40">
        <v>0</v>
      </c>
      <c r="BD86" s="40">
        <v>0</v>
      </c>
      <c r="BE86" s="40">
        <v>90402929</v>
      </c>
      <c r="BF86" s="40">
        <v>0</v>
      </c>
      <c r="BG86" s="40">
        <v>0</v>
      </c>
      <c r="BH86" s="40">
        <v>0</v>
      </c>
      <c r="BI86" s="40">
        <v>0</v>
      </c>
      <c r="BJ86" s="40">
        <v>0</v>
      </c>
      <c r="BK86" s="40">
        <v>105082</v>
      </c>
      <c r="BL86" s="40">
        <v>0</v>
      </c>
      <c r="BM86" s="40">
        <v>0</v>
      </c>
      <c r="BN86" s="40">
        <v>0</v>
      </c>
      <c r="BO86" s="40">
        <v>0</v>
      </c>
      <c r="BP86" s="40">
        <v>0</v>
      </c>
      <c r="BQ86" s="40">
        <v>129961</v>
      </c>
      <c r="BR86" s="40">
        <v>0</v>
      </c>
      <c r="BS86" s="40">
        <v>0</v>
      </c>
      <c r="BT86" s="40">
        <v>0</v>
      </c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1"/>
      <c r="CG86" s="41"/>
      <c r="CH86" s="42"/>
    </row>
    <row r="87" spans="1:86">
      <c r="A87" s="43">
        <v>81</v>
      </c>
      <c r="B87" s="66"/>
      <c r="C87" s="59" t="s">
        <v>104</v>
      </c>
      <c r="D87" s="47">
        <v>12042488215</v>
      </c>
      <c r="E87" s="47">
        <v>31736108</v>
      </c>
      <c r="F87" s="47">
        <v>275567600</v>
      </c>
      <c r="G87" s="47">
        <v>1079051712</v>
      </c>
      <c r="H87" s="47">
        <v>19148071501</v>
      </c>
      <c r="I87" s="47">
        <v>845625126</v>
      </c>
      <c r="J87" s="47">
        <v>974093160</v>
      </c>
      <c r="K87" s="47">
        <v>8753437310</v>
      </c>
      <c r="L87" s="47">
        <v>688207753</v>
      </c>
      <c r="M87" s="47">
        <v>1053866868</v>
      </c>
      <c r="N87" s="47">
        <v>15664796603</v>
      </c>
      <c r="O87" s="47">
        <v>977348753</v>
      </c>
      <c r="P87" s="47">
        <v>1219367272</v>
      </c>
      <c r="Q87" s="47">
        <v>3287897399</v>
      </c>
      <c r="R87" s="47">
        <v>869795130</v>
      </c>
      <c r="S87" s="47">
        <v>632345610</v>
      </c>
      <c r="T87" s="47">
        <v>906618389</v>
      </c>
      <c r="U87" s="47">
        <v>90188165</v>
      </c>
      <c r="V87" s="47">
        <v>320236695</v>
      </c>
      <c r="W87" s="47">
        <v>3320017461</v>
      </c>
      <c r="X87" s="47">
        <v>5684983561</v>
      </c>
      <c r="Y87" s="47">
        <v>3902325139</v>
      </c>
      <c r="Z87" s="47">
        <v>2601598547</v>
      </c>
      <c r="AA87" s="47">
        <v>3344360523</v>
      </c>
      <c r="AB87" s="47">
        <v>7670899295</v>
      </c>
      <c r="AC87" s="47">
        <v>1256672085</v>
      </c>
      <c r="AD87" s="47">
        <v>320166127</v>
      </c>
      <c r="AE87" s="47">
        <v>15789059980</v>
      </c>
      <c r="AF87" s="47">
        <v>66453387</v>
      </c>
      <c r="AG87" s="47">
        <v>2430558731</v>
      </c>
      <c r="AH87" s="47">
        <v>4779072743</v>
      </c>
      <c r="AI87" s="47">
        <v>3581588414</v>
      </c>
      <c r="AJ87" s="47">
        <v>5399562848</v>
      </c>
      <c r="AK87" s="47">
        <v>7743059576</v>
      </c>
      <c r="AL87" s="47">
        <v>3433892846</v>
      </c>
      <c r="AM87" s="47">
        <v>687790745</v>
      </c>
      <c r="AN87" s="47">
        <v>1668201606</v>
      </c>
      <c r="AO87" s="47">
        <v>1496128364</v>
      </c>
      <c r="AP87" s="47">
        <v>2984761336</v>
      </c>
      <c r="AQ87" s="47">
        <v>383710446</v>
      </c>
      <c r="AR87" s="47">
        <v>746171318</v>
      </c>
      <c r="AS87" s="47">
        <v>812056185</v>
      </c>
      <c r="AT87" s="47">
        <v>15106956035</v>
      </c>
      <c r="AU87" s="47">
        <v>360542012</v>
      </c>
      <c r="AV87" s="47">
        <v>0</v>
      </c>
      <c r="AW87" s="47">
        <v>0</v>
      </c>
      <c r="AX87" s="47">
        <v>4852568504</v>
      </c>
      <c r="AY87" s="47">
        <v>60088389</v>
      </c>
      <c r="AZ87" s="47">
        <v>1147075148</v>
      </c>
      <c r="BA87" s="47">
        <v>3369954771</v>
      </c>
      <c r="BB87" s="47">
        <v>102019126</v>
      </c>
      <c r="BC87" s="47">
        <v>852622000</v>
      </c>
      <c r="BD87" s="47">
        <v>2694517331</v>
      </c>
      <c r="BE87" s="47">
        <v>3077508795</v>
      </c>
      <c r="BF87" s="47">
        <v>1952408857</v>
      </c>
      <c r="BG87" s="47">
        <v>4955245403</v>
      </c>
      <c r="BH87" s="47">
        <v>1835012021</v>
      </c>
      <c r="BI87" s="47">
        <v>548194728</v>
      </c>
      <c r="BJ87" s="47">
        <v>16581574818</v>
      </c>
      <c r="BK87" s="47">
        <v>7083392034</v>
      </c>
      <c r="BL87" s="47">
        <v>4807608395</v>
      </c>
      <c r="BM87" s="47">
        <v>7183532954</v>
      </c>
      <c r="BN87" s="47">
        <v>8933958167</v>
      </c>
      <c r="BO87" s="47">
        <v>6062187858</v>
      </c>
      <c r="BP87" s="47">
        <v>120854492</v>
      </c>
      <c r="BQ87" s="47">
        <v>2601477601</v>
      </c>
      <c r="BR87" s="47">
        <v>3976407243</v>
      </c>
      <c r="BS87" s="47">
        <v>293201329</v>
      </c>
      <c r="BT87" s="47">
        <v>247522738643</v>
      </c>
      <c r="BU87" s="47"/>
      <c r="BV87" s="47"/>
      <c r="BW87" s="47"/>
      <c r="BX87" s="47"/>
      <c r="BY87" s="47"/>
      <c r="BZ87" s="47"/>
      <c r="CA87" s="47"/>
      <c r="CB87" s="47"/>
      <c r="CC87" s="47"/>
      <c r="CD87" s="47"/>
      <c r="CE87" s="47"/>
      <c r="CF87" s="41"/>
      <c r="CG87" s="41"/>
      <c r="CH87" s="42"/>
    </row>
    <row r="89" spans="1:86"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</row>
    <row r="90" spans="1:86"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</row>
  </sheetData>
  <mergeCells count="1">
    <mergeCell ref="A2:K2"/>
  </mergeCells>
  <pageMargins left="0.78740157480314965" right="0.39370078740157483" top="0.39370078740157483" bottom="0.39370078740157483" header="0.11811023622047245" footer="0.11811023622047245"/>
  <pageSetup paperSize="9" firstPageNumber="73" orientation="landscape" useFirstPageNumber="1" r:id="rId1"/>
  <headerFooter>
    <oddFooter>&amp;R&amp;P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H77"/>
  <sheetViews>
    <sheetView workbookViewId="0">
      <pane xSplit="4" ySplit="7" topLeftCell="E8" activePane="bottomRight" state="frozen"/>
      <selection pane="topRight" activeCell="E1" sqref="E1"/>
      <selection pane="bottomLeft" activeCell="A9" sqref="A9"/>
      <selection pane="bottomRight" activeCell="B4" sqref="B4:H22"/>
    </sheetView>
  </sheetViews>
  <sheetFormatPr defaultColWidth="8" defaultRowHeight="11.25"/>
  <cols>
    <col min="1" max="1" width="3.28515625" style="24" customWidth="1"/>
    <col min="2" max="2" width="7.7109375" style="62" customWidth="1"/>
    <col min="3" max="3" width="33.85546875" style="27" customWidth="1"/>
    <col min="4" max="4" width="13.85546875" style="24" customWidth="1"/>
    <col min="5" max="5" width="14.85546875" style="24" customWidth="1"/>
    <col min="6" max="6" width="13.5703125" style="24" customWidth="1"/>
    <col min="7" max="7" width="12.7109375" style="24" customWidth="1"/>
    <col min="8" max="8" width="13.42578125" style="24" customWidth="1"/>
    <col min="9" max="9" width="11.7109375" style="24" bestFit="1" customWidth="1"/>
    <col min="10" max="11" width="14.140625" style="24" bestFit="1" customWidth="1"/>
    <col min="12" max="12" width="14.7109375" style="24" customWidth="1"/>
    <col min="13" max="13" width="15.7109375" style="24" customWidth="1"/>
    <col min="14" max="14" width="12.85546875" style="24" customWidth="1"/>
    <col min="15" max="15" width="12.42578125" style="24" customWidth="1"/>
    <col min="16" max="16" width="12.140625" style="24" customWidth="1"/>
    <col min="17" max="17" width="12.85546875" style="24" customWidth="1"/>
    <col min="18" max="18" width="16.42578125" style="24" customWidth="1"/>
    <col min="19" max="19" width="14.140625" style="24" customWidth="1"/>
    <col min="20" max="24" width="14.28515625" style="24" customWidth="1"/>
    <col min="25" max="25" width="13.7109375" style="24" customWidth="1"/>
    <col min="26" max="26" width="14.28515625" style="24" customWidth="1"/>
    <col min="27" max="27" width="14" style="24" customWidth="1"/>
    <col min="28" max="28" width="12.5703125" style="24" bestFit="1" customWidth="1"/>
    <col min="29" max="29" width="11.28515625" style="24" bestFit="1" customWidth="1"/>
    <col min="30" max="30" width="12.5703125" style="24" customWidth="1"/>
    <col min="31" max="31" width="12.5703125" style="24" bestFit="1" customWidth="1"/>
    <col min="32" max="32" width="14.5703125" style="24" bestFit="1" customWidth="1"/>
    <col min="33" max="33" width="10.85546875" style="24" bestFit="1" customWidth="1"/>
    <col min="34" max="34" width="11.7109375" style="24" customWidth="1"/>
    <col min="35" max="35" width="14" style="24" customWidth="1"/>
    <col min="36" max="36" width="13.5703125" style="24" customWidth="1"/>
    <col min="37" max="37" width="15.5703125" style="24" bestFit="1" customWidth="1"/>
    <col min="38" max="38" width="14.28515625" style="24" customWidth="1"/>
    <col min="39" max="39" width="13.5703125" style="24" customWidth="1"/>
    <col min="40" max="40" width="14.28515625" style="24" customWidth="1"/>
    <col min="41" max="41" width="13.7109375" style="24" customWidth="1"/>
    <col min="42" max="42" width="12.5703125" style="24" bestFit="1" customWidth="1"/>
    <col min="43" max="43" width="15.28515625" style="24" bestFit="1" customWidth="1"/>
    <col min="44" max="44" width="10" style="24" bestFit="1" customWidth="1"/>
    <col min="45" max="45" width="11" style="24" bestFit="1" customWidth="1"/>
    <col min="46" max="46" width="14.28515625" style="24" bestFit="1" customWidth="1"/>
    <col min="47" max="47" width="11.42578125" style="24" customWidth="1"/>
    <col min="48" max="48" width="11" style="24" bestFit="1" customWidth="1"/>
    <col min="49" max="49" width="13.5703125" style="24" customWidth="1"/>
    <col min="50" max="50" width="12.42578125" style="24" customWidth="1"/>
    <col min="51" max="51" width="11.28515625" style="24" customWidth="1"/>
    <col min="52" max="52" width="13.140625" style="24" customWidth="1"/>
    <col min="53" max="53" width="14.42578125" style="24" customWidth="1"/>
    <col min="54" max="54" width="13.42578125" style="24" customWidth="1"/>
    <col min="55" max="55" width="11.28515625" style="24" bestFit="1" customWidth="1"/>
    <col min="56" max="56" width="12.5703125" style="24" bestFit="1" customWidth="1"/>
    <col min="57" max="57" width="12.42578125" style="24" customWidth="1"/>
    <col min="58" max="58" width="13.42578125" style="24" customWidth="1"/>
    <col min="59" max="59" width="13.7109375" style="24" customWidth="1"/>
    <col min="60" max="60" width="12.5703125" style="24" customWidth="1"/>
    <col min="61" max="64" width="13.7109375" style="24" customWidth="1"/>
    <col min="65" max="65" width="15" style="24" customWidth="1"/>
    <col min="66" max="66" width="12.5703125" style="24" customWidth="1"/>
    <col min="67" max="67" width="12.7109375" style="24" customWidth="1"/>
    <col min="68" max="68" width="14.42578125" style="24" customWidth="1"/>
    <col min="69" max="69" width="14" style="24" customWidth="1"/>
    <col min="70" max="70" width="11.85546875" style="24" customWidth="1"/>
    <col min="71" max="72" width="15.28515625" style="24" customWidth="1"/>
    <col min="73" max="73" width="14.7109375" style="24" customWidth="1"/>
    <col min="74" max="74" width="15" style="24" customWidth="1"/>
    <col min="75" max="75" width="15.7109375" style="24" customWidth="1"/>
    <col min="76" max="76" width="13.5703125" style="25" customWidth="1"/>
    <col min="77" max="77" width="15.28515625" style="24" customWidth="1"/>
    <col min="78" max="78" width="14.42578125" style="25" customWidth="1"/>
    <col min="79" max="79" width="13.5703125" style="24" customWidth="1"/>
    <col min="80" max="80" width="14.28515625" style="24" customWidth="1"/>
    <col min="81" max="81" width="13.42578125" style="24" customWidth="1"/>
    <col min="82" max="82" width="14.28515625" style="24" customWidth="1"/>
    <col min="83" max="83" width="13.140625" style="24" customWidth="1"/>
    <col min="84" max="84" width="8" style="24"/>
    <col min="85" max="85" width="9.5703125" style="24" bestFit="1" customWidth="1"/>
    <col min="86" max="16384" width="8" style="24"/>
  </cols>
  <sheetData>
    <row r="2" spans="1:86" ht="12.75">
      <c r="A2" s="122" t="s">
        <v>132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</row>
    <row r="3" spans="1:86">
      <c r="A3" s="26" t="s">
        <v>112</v>
      </c>
      <c r="D3" s="28"/>
      <c r="E3" s="28"/>
      <c r="F3" s="28"/>
      <c r="G3" s="28"/>
      <c r="H3" s="28"/>
      <c r="I3" s="28"/>
      <c r="J3" s="28"/>
      <c r="L3" s="28"/>
      <c r="M3" s="28"/>
      <c r="N3" s="28"/>
      <c r="O3" s="28"/>
      <c r="P3" s="28"/>
      <c r="Q3" s="28"/>
      <c r="R3" s="28"/>
      <c r="S3" s="29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9"/>
      <c r="BN3" s="28"/>
      <c r="BO3" s="28"/>
      <c r="BP3" s="28"/>
      <c r="BQ3" s="28"/>
      <c r="BR3" s="28"/>
      <c r="BS3" s="28"/>
      <c r="BT3" s="28"/>
      <c r="BU3" s="29"/>
      <c r="BV3" s="28"/>
      <c r="BW3" s="28"/>
      <c r="BX3" s="28"/>
      <c r="BY3" s="29"/>
      <c r="BZ3" s="28"/>
      <c r="CA3" s="28"/>
      <c r="CB3" s="28"/>
      <c r="CC3" s="28"/>
      <c r="CD3" s="28"/>
      <c r="CE3" s="28"/>
      <c r="CG3" s="25"/>
    </row>
    <row r="4" spans="1:86" ht="93" customHeight="1">
      <c r="A4" s="30"/>
      <c r="B4" s="63"/>
      <c r="C4" s="31"/>
      <c r="D4" s="32" t="s">
        <v>189</v>
      </c>
      <c r="E4" s="33" t="s">
        <v>134</v>
      </c>
      <c r="F4" s="33" t="s">
        <v>89</v>
      </c>
      <c r="G4" s="33" t="s">
        <v>87</v>
      </c>
      <c r="H4" s="33" t="s">
        <v>187</v>
      </c>
      <c r="I4" s="33" t="s">
        <v>185</v>
      </c>
      <c r="J4" s="33" t="s">
        <v>183</v>
      </c>
      <c r="K4" s="33" t="s">
        <v>181</v>
      </c>
      <c r="L4" s="33" t="s">
        <v>180</v>
      </c>
      <c r="M4" s="33" t="s">
        <v>85</v>
      </c>
      <c r="N4" s="33" t="s">
        <v>178</v>
      </c>
      <c r="O4" s="33" t="s">
        <v>83</v>
      </c>
      <c r="P4" s="33" t="s">
        <v>177</v>
      </c>
      <c r="Q4" s="33" t="s">
        <v>82</v>
      </c>
      <c r="R4" s="33" t="s">
        <v>80</v>
      </c>
      <c r="S4" s="33" t="s">
        <v>78</v>
      </c>
      <c r="T4" s="33" t="s">
        <v>76</v>
      </c>
      <c r="U4" s="33" t="s">
        <v>74</v>
      </c>
      <c r="V4" s="33" t="s">
        <v>72</v>
      </c>
      <c r="W4" s="33" t="s">
        <v>70</v>
      </c>
      <c r="X4" s="33" t="s">
        <v>176</v>
      </c>
      <c r="Y4" s="33" t="s">
        <v>68</v>
      </c>
      <c r="Z4" s="33" t="s">
        <v>175</v>
      </c>
      <c r="AA4" s="33" t="s">
        <v>67</v>
      </c>
      <c r="AB4" s="33" t="s">
        <v>173</v>
      </c>
      <c r="AC4" s="33" t="s">
        <v>171</v>
      </c>
      <c r="AD4" s="33" t="s">
        <v>169</v>
      </c>
      <c r="AE4" s="33" t="s">
        <v>167</v>
      </c>
      <c r="AF4" s="33" t="s">
        <v>165</v>
      </c>
      <c r="AG4" s="33" t="s">
        <v>65</v>
      </c>
      <c r="AH4" s="33" t="s">
        <v>135</v>
      </c>
      <c r="AI4" s="33" t="s">
        <v>164</v>
      </c>
      <c r="AJ4" s="33" t="s">
        <v>163</v>
      </c>
      <c r="AK4" s="33" t="s">
        <v>62</v>
      </c>
      <c r="AL4" s="33" t="s">
        <v>60</v>
      </c>
      <c r="AM4" s="33" t="s">
        <v>58</v>
      </c>
      <c r="AN4" s="33" t="s">
        <v>56</v>
      </c>
      <c r="AO4" s="33" t="s">
        <v>136</v>
      </c>
      <c r="AP4" s="33" t="s">
        <v>53</v>
      </c>
      <c r="AQ4" s="33" t="s">
        <v>51</v>
      </c>
      <c r="AR4" s="33" t="s">
        <v>49</v>
      </c>
      <c r="AS4" s="33" t="s">
        <v>162</v>
      </c>
      <c r="AT4" s="33" t="s">
        <v>47</v>
      </c>
      <c r="AU4" s="33" t="s">
        <v>137</v>
      </c>
      <c r="AV4" s="33" t="s">
        <v>44</v>
      </c>
      <c r="AW4" s="33" t="s">
        <v>42</v>
      </c>
      <c r="AX4" s="33" t="s">
        <v>40</v>
      </c>
      <c r="AY4" s="33" t="s">
        <v>38</v>
      </c>
      <c r="AZ4" s="33" t="s">
        <v>36</v>
      </c>
      <c r="BA4" s="33" t="s">
        <v>34</v>
      </c>
      <c r="BB4" s="33" t="s">
        <v>32</v>
      </c>
      <c r="BC4" s="33" t="s">
        <v>30</v>
      </c>
      <c r="BD4" s="33" t="s">
        <v>28</v>
      </c>
      <c r="BE4" s="33" t="s">
        <v>161</v>
      </c>
      <c r="BF4" s="33" t="s">
        <v>26</v>
      </c>
      <c r="BG4" s="33" t="s">
        <v>24</v>
      </c>
      <c r="BH4" s="33" t="s">
        <v>138</v>
      </c>
      <c r="BI4" s="33" t="s">
        <v>139</v>
      </c>
      <c r="BJ4" s="33" t="s">
        <v>20</v>
      </c>
      <c r="BK4" s="33" t="s">
        <v>159</v>
      </c>
      <c r="BL4" s="33" t="s">
        <v>157</v>
      </c>
      <c r="BM4" s="33" t="s">
        <v>18</v>
      </c>
      <c r="BN4" s="33" t="s">
        <v>16</v>
      </c>
      <c r="BO4" s="33" t="s">
        <v>14</v>
      </c>
      <c r="BP4" s="33" t="s">
        <v>12</v>
      </c>
      <c r="BQ4" s="33" t="s">
        <v>156</v>
      </c>
      <c r="BR4" s="33" t="s">
        <v>155</v>
      </c>
      <c r="BS4" s="33" t="s">
        <v>10</v>
      </c>
      <c r="BT4" s="33" t="s">
        <v>123</v>
      </c>
      <c r="BU4" s="33" t="s">
        <v>122</v>
      </c>
      <c r="BV4" s="33" t="s">
        <v>193</v>
      </c>
      <c r="BW4" s="33" t="s">
        <v>121</v>
      </c>
      <c r="BX4" s="34" t="s">
        <v>120</v>
      </c>
      <c r="BY4" s="33" t="s">
        <v>119</v>
      </c>
      <c r="BZ4" s="35" t="s">
        <v>118</v>
      </c>
      <c r="CA4" s="35" t="s">
        <v>117</v>
      </c>
      <c r="CB4" s="35" t="s">
        <v>116</v>
      </c>
      <c r="CC4" s="35" t="s">
        <v>115</v>
      </c>
      <c r="CD4" s="35" t="s">
        <v>114</v>
      </c>
      <c r="CE4" s="35" t="s">
        <v>113</v>
      </c>
    </row>
    <row r="5" spans="1:86" s="25" customFormat="1" ht="15.75" customHeight="1">
      <c r="A5" s="36"/>
      <c r="B5" s="64" t="s">
        <v>148</v>
      </c>
      <c r="C5" s="37"/>
      <c r="D5" s="32" t="s">
        <v>103</v>
      </c>
      <c r="E5" s="33" t="s">
        <v>91</v>
      </c>
      <c r="F5" s="33" t="s">
        <v>90</v>
      </c>
      <c r="G5" s="33" t="s">
        <v>88</v>
      </c>
      <c r="H5" s="33" t="s">
        <v>188</v>
      </c>
      <c r="I5" s="33" t="s">
        <v>186</v>
      </c>
      <c r="J5" s="33" t="s">
        <v>184</v>
      </c>
      <c r="K5" s="33" t="s">
        <v>182</v>
      </c>
      <c r="L5" s="33" t="s">
        <v>102</v>
      </c>
      <c r="M5" s="33" t="s">
        <v>86</v>
      </c>
      <c r="N5" s="33" t="s">
        <v>179</v>
      </c>
      <c r="O5" s="33" t="s">
        <v>84</v>
      </c>
      <c r="P5" s="33" t="s">
        <v>101</v>
      </c>
      <c r="Q5" s="33" t="s">
        <v>100</v>
      </c>
      <c r="R5" s="33" t="s">
        <v>81</v>
      </c>
      <c r="S5" s="33" t="s">
        <v>79</v>
      </c>
      <c r="T5" s="33" t="s">
        <v>77</v>
      </c>
      <c r="U5" s="33" t="s">
        <v>75</v>
      </c>
      <c r="V5" s="33" t="s">
        <v>73</v>
      </c>
      <c r="W5" s="33" t="s">
        <v>71</v>
      </c>
      <c r="X5" s="33" t="s">
        <v>99</v>
      </c>
      <c r="Y5" s="33" t="s">
        <v>69</v>
      </c>
      <c r="Z5" s="33" t="s">
        <v>98</v>
      </c>
      <c r="AA5" s="33" t="s">
        <v>97</v>
      </c>
      <c r="AB5" s="33">
        <v>241</v>
      </c>
      <c r="AC5" s="33">
        <v>242</v>
      </c>
      <c r="AD5" s="33">
        <v>243</v>
      </c>
      <c r="AE5" s="33">
        <v>244</v>
      </c>
      <c r="AF5" s="33">
        <v>245</v>
      </c>
      <c r="AG5" s="33" t="s">
        <v>66</v>
      </c>
      <c r="AH5" s="33" t="s">
        <v>64</v>
      </c>
      <c r="AI5" s="33" t="s">
        <v>96</v>
      </c>
      <c r="AJ5" s="33" t="s">
        <v>95</v>
      </c>
      <c r="AK5" s="33" t="s">
        <v>63</v>
      </c>
      <c r="AL5" s="33" t="s">
        <v>61</v>
      </c>
      <c r="AM5" s="33" t="s">
        <v>59</v>
      </c>
      <c r="AN5" s="33" t="s">
        <v>57</v>
      </c>
      <c r="AO5" s="33" t="s">
        <v>55</v>
      </c>
      <c r="AP5" s="33">
        <v>351</v>
      </c>
      <c r="AQ5" s="33">
        <v>352</v>
      </c>
      <c r="AR5" s="33">
        <v>353</v>
      </c>
      <c r="AS5" s="33" t="s">
        <v>94</v>
      </c>
      <c r="AT5" s="33" t="s">
        <v>48</v>
      </c>
      <c r="AU5" s="33" t="s">
        <v>46</v>
      </c>
      <c r="AV5" s="33" t="s">
        <v>45</v>
      </c>
      <c r="AW5" s="33" t="s">
        <v>43</v>
      </c>
      <c r="AX5" s="33" t="s">
        <v>41</v>
      </c>
      <c r="AY5" s="33" t="s">
        <v>39</v>
      </c>
      <c r="AZ5" s="33" t="s">
        <v>37</v>
      </c>
      <c r="BA5" s="33" t="s">
        <v>35</v>
      </c>
      <c r="BB5" s="33" t="s">
        <v>33</v>
      </c>
      <c r="BC5" s="33" t="s">
        <v>31</v>
      </c>
      <c r="BD5" s="33" t="s">
        <v>29</v>
      </c>
      <c r="BE5" s="33" t="s">
        <v>198</v>
      </c>
      <c r="BF5" s="33" t="s">
        <v>27</v>
      </c>
      <c r="BG5" s="33" t="s">
        <v>25</v>
      </c>
      <c r="BH5" s="33" t="s">
        <v>23</v>
      </c>
      <c r="BI5" s="33" t="s">
        <v>22</v>
      </c>
      <c r="BJ5" s="33" t="s">
        <v>21</v>
      </c>
      <c r="BK5" s="33" t="s">
        <v>160</v>
      </c>
      <c r="BL5" s="33" t="s">
        <v>158</v>
      </c>
      <c r="BM5" s="33" t="s">
        <v>19</v>
      </c>
      <c r="BN5" s="33" t="s">
        <v>17</v>
      </c>
      <c r="BO5" s="33" t="s">
        <v>15</v>
      </c>
      <c r="BP5" s="33" t="s">
        <v>13</v>
      </c>
      <c r="BQ5" s="33" t="s">
        <v>93</v>
      </c>
      <c r="BR5" s="33" t="s">
        <v>92</v>
      </c>
      <c r="BS5" s="33" t="s">
        <v>11</v>
      </c>
      <c r="BT5" s="33"/>
      <c r="BU5" s="33"/>
      <c r="BV5" s="33"/>
      <c r="BW5" s="33"/>
      <c r="BX5" s="34"/>
      <c r="BY5" s="33"/>
      <c r="BZ5" s="35"/>
      <c r="CA5" s="35"/>
      <c r="CB5" s="35"/>
      <c r="CC5" s="35"/>
      <c r="CD5" s="35"/>
      <c r="CE5" s="35"/>
    </row>
    <row r="6" spans="1:86" ht="11.25" customHeight="1">
      <c r="A6" s="30" t="s">
        <v>147</v>
      </c>
      <c r="B6" s="63"/>
      <c r="C6" s="30"/>
      <c r="D6" s="35">
        <v>1</v>
      </c>
      <c r="E6" s="35">
        <v>2</v>
      </c>
      <c r="F6" s="35">
        <v>3</v>
      </c>
      <c r="G6" s="35">
        <v>4</v>
      </c>
      <c r="H6" s="35">
        <v>5</v>
      </c>
      <c r="I6" s="35">
        <v>6</v>
      </c>
      <c r="J6" s="35">
        <v>7</v>
      </c>
      <c r="K6" s="35">
        <v>8</v>
      </c>
      <c r="L6" s="35">
        <v>9</v>
      </c>
      <c r="M6" s="35">
        <v>10</v>
      </c>
      <c r="N6" s="35">
        <v>11</v>
      </c>
      <c r="O6" s="35">
        <v>12</v>
      </c>
      <c r="P6" s="35">
        <v>13</v>
      </c>
      <c r="Q6" s="35">
        <v>14</v>
      </c>
      <c r="R6" s="35">
        <v>15</v>
      </c>
      <c r="S6" s="35">
        <v>16</v>
      </c>
      <c r="T6" s="35">
        <v>17</v>
      </c>
      <c r="U6" s="35">
        <v>18</v>
      </c>
      <c r="V6" s="35">
        <v>19</v>
      </c>
      <c r="W6" s="35">
        <v>20</v>
      </c>
      <c r="X6" s="35">
        <v>21</v>
      </c>
      <c r="Y6" s="35">
        <v>22</v>
      </c>
      <c r="Z6" s="35">
        <v>23</v>
      </c>
      <c r="AA6" s="35">
        <v>24</v>
      </c>
      <c r="AB6" s="35">
        <v>25</v>
      </c>
      <c r="AC6" s="35">
        <v>26</v>
      </c>
      <c r="AD6" s="35">
        <v>27</v>
      </c>
      <c r="AE6" s="35">
        <v>28</v>
      </c>
      <c r="AF6" s="35">
        <v>29</v>
      </c>
      <c r="AG6" s="35">
        <v>30</v>
      </c>
      <c r="AH6" s="35">
        <v>31</v>
      </c>
      <c r="AI6" s="35">
        <v>32</v>
      </c>
      <c r="AJ6" s="35">
        <v>33</v>
      </c>
      <c r="AK6" s="35">
        <v>34</v>
      </c>
      <c r="AL6" s="35">
        <v>35</v>
      </c>
      <c r="AM6" s="35">
        <v>36</v>
      </c>
      <c r="AN6" s="35">
        <v>37</v>
      </c>
      <c r="AO6" s="35">
        <v>38</v>
      </c>
      <c r="AP6" s="35">
        <v>39</v>
      </c>
      <c r="AQ6" s="35">
        <v>40</v>
      </c>
      <c r="AR6" s="35">
        <v>41</v>
      </c>
      <c r="AS6" s="35">
        <v>42</v>
      </c>
      <c r="AT6" s="35">
        <v>43</v>
      </c>
      <c r="AU6" s="35">
        <v>44</v>
      </c>
      <c r="AV6" s="35">
        <v>45</v>
      </c>
      <c r="AW6" s="35">
        <v>46</v>
      </c>
      <c r="AX6" s="35">
        <v>47</v>
      </c>
      <c r="AY6" s="35">
        <v>48</v>
      </c>
      <c r="AZ6" s="35">
        <v>49</v>
      </c>
      <c r="BA6" s="35">
        <v>50</v>
      </c>
      <c r="BB6" s="35">
        <v>51</v>
      </c>
      <c r="BC6" s="35">
        <v>52</v>
      </c>
      <c r="BD6" s="35">
        <v>53</v>
      </c>
      <c r="BE6" s="35">
        <v>54</v>
      </c>
      <c r="BF6" s="35">
        <v>55</v>
      </c>
      <c r="BG6" s="35">
        <v>56</v>
      </c>
      <c r="BH6" s="35">
        <v>57</v>
      </c>
      <c r="BI6" s="35">
        <v>58</v>
      </c>
      <c r="BJ6" s="35">
        <v>59</v>
      </c>
      <c r="BK6" s="35">
        <v>60</v>
      </c>
      <c r="BL6" s="35">
        <v>61</v>
      </c>
      <c r="BM6" s="35">
        <v>62</v>
      </c>
      <c r="BN6" s="35">
        <v>63</v>
      </c>
      <c r="BO6" s="35">
        <v>64</v>
      </c>
      <c r="BP6" s="35">
        <v>65</v>
      </c>
      <c r="BQ6" s="35">
        <v>66</v>
      </c>
      <c r="BR6" s="35">
        <v>67</v>
      </c>
      <c r="BS6" s="35">
        <v>68</v>
      </c>
      <c r="BT6" s="35">
        <v>69</v>
      </c>
      <c r="BU6" s="35">
        <v>70</v>
      </c>
      <c r="BV6" s="35">
        <v>71</v>
      </c>
      <c r="BW6" s="35">
        <v>72</v>
      </c>
      <c r="BX6" s="35">
        <v>73</v>
      </c>
      <c r="BY6" s="35">
        <v>74</v>
      </c>
      <c r="BZ6" s="35">
        <v>75</v>
      </c>
      <c r="CA6" s="35">
        <v>76</v>
      </c>
      <c r="CB6" s="35">
        <v>77</v>
      </c>
      <c r="CC6" s="35">
        <v>78</v>
      </c>
      <c r="CD6" s="35">
        <v>79</v>
      </c>
      <c r="CE6" s="35">
        <v>80</v>
      </c>
    </row>
    <row r="7" spans="1:86" ht="11.25" customHeight="1">
      <c r="A7" s="38">
        <v>1</v>
      </c>
      <c r="B7" s="65" t="s">
        <v>103</v>
      </c>
      <c r="C7" s="39" t="s">
        <v>189</v>
      </c>
      <c r="D7" s="40">
        <v>370033943</v>
      </c>
      <c r="E7" s="40">
        <v>13604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450020881</v>
      </c>
      <c r="O7" s="40">
        <v>5860391</v>
      </c>
      <c r="P7" s="40">
        <v>573014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2173638</v>
      </c>
      <c r="Y7" s="40">
        <v>455978</v>
      </c>
      <c r="Z7" s="40">
        <v>138540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0</v>
      </c>
      <c r="AP7" s="40">
        <v>0</v>
      </c>
      <c r="AQ7" s="40">
        <v>0</v>
      </c>
      <c r="AR7" s="40">
        <v>0</v>
      </c>
      <c r="AS7" s="40">
        <v>72584</v>
      </c>
      <c r="AT7" s="40">
        <v>0</v>
      </c>
      <c r="AU7" s="40">
        <v>0</v>
      </c>
      <c r="AV7" s="40">
        <v>810679</v>
      </c>
      <c r="AW7" s="40">
        <v>0</v>
      </c>
      <c r="AX7" s="40">
        <v>0</v>
      </c>
      <c r="AY7" s="40">
        <v>0</v>
      </c>
      <c r="AZ7" s="40">
        <v>0</v>
      </c>
      <c r="BA7" s="40">
        <v>0</v>
      </c>
      <c r="BB7" s="40">
        <v>0</v>
      </c>
      <c r="BC7" s="40">
        <v>992740</v>
      </c>
      <c r="BD7" s="40">
        <v>43759787</v>
      </c>
      <c r="BE7" s="40">
        <v>0</v>
      </c>
      <c r="BF7" s="40">
        <v>0</v>
      </c>
      <c r="BG7" s="40">
        <v>0</v>
      </c>
      <c r="BH7" s="40">
        <v>0</v>
      </c>
      <c r="BI7" s="40">
        <v>0</v>
      </c>
      <c r="BJ7" s="40">
        <v>0</v>
      </c>
      <c r="BK7" s="40">
        <v>1708603</v>
      </c>
      <c r="BL7" s="40">
        <v>808727</v>
      </c>
      <c r="BM7" s="40">
        <v>1103418</v>
      </c>
      <c r="BN7" s="40">
        <v>10940197</v>
      </c>
      <c r="BO7" s="40">
        <v>4009711</v>
      </c>
      <c r="BP7" s="40">
        <v>130189</v>
      </c>
      <c r="BQ7" s="40">
        <v>237</v>
      </c>
      <c r="BR7" s="40">
        <v>0</v>
      </c>
      <c r="BS7" s="40">
        <v>0</v>
      </c>
      <c r="BT7" s="40">
        <v>893606861</v>
      </c>
      <c r="BU7" s="40">
        <v>828306819</v>
      </c>
      <c r="BV7" s="40">
        <v>0</v>
      </c>
      <c r="BW7" s="40">
        <v>0</v>
      </c>
      <c r="BX7" s="40">
        <v>828306819</v>
      </c>
      <c r="BY7" s="40">
        <v>5876664</v>
      </c>
      <c r="BZ7" s="40">
        <v>0</v>
      </c>
      <c r="CA7" s="40">
        <v>0</v>
      </c>
      <c r="CB7" s="40">
        <v>5876664</v>
      </c>
      <c r="CC7" s="40">
        <v>220957774</v>
      </c>
      <c r="CD7" s="40">
        <v>1055141257</v>
      </c>
      <c r="CE7" s="40">
        <v>1948748118</v>
      </c>
      <c r="CF7" s="41"/>
      <c r="CG7" s="41"/>
      <c r="CH7" s="42"/>
    </row>
    <row r="8" spans="1:86" ht="22.5">
      <c r="A8" s="38">
        <v>2</v>
      </c>
      <c r="B8" s="65" t="s">
        <v>91</v>
      </c>
      <c r="C8" s="39" t="s">
        <v>134</v>
      </c>
      <c r="D8" s="40">
        <v>6230</v>
      </c>
      <c r="E8" s="40">
        <v>0</v>
      </c>
      <c r="F8" s="40">
        <v>0</v>
      </c>
      <c r="G8" s="40">
        <v>0</v>
      </c>
      <c r="H8" s="40">
        <v>124</v>
      </c>
      <c r="I8" s="40">
        <v>6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402709</v>
      </c>
      <c r="T8" s="40">
        <v>0</v>
      </c>
      <c r="U8" s="40">
        <v>0</v>
      </c>
      <c r="V8" s="40">
        <v>0</v>
      </c>
      <c r="W8" s="40">
        <v>0</v>
      </c>
      <c r="X8" s="40">
        <v>44202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0</v>
      </c>
      <c r="AP8" s="40">
        <v>0</v>
      </c>
      <c r="AQ8" s="40">
        <v>0</v>
      </c>
      <c r="AR8" s="40">
        <v>0</v>
      </c>
      <c r="AS8" s="40">
        <v>0</v>
      </c>
      <c r="AT8" s="40">
        <v>877</v>
      </c>
      <c r="AU8" s="40">
        <v>0</v>
      </c>
      <c r="AV8" s="40">
        <v>0</v>
      </c>
      <c r="AW8" s="40">
        <v>0</v>
      </c>
      <c r="AX8" s="40">
        <v>0</v>
      </c>
      <c r="AY8" s="40">
        <v>0</v>
      </c>
      <c r="AZ8" s="40">
        <v>0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40">
        <v>0</v>
      </c>
      <c r="BG8" s="40">
        <v>0</v>
      </c>
      <c r="BH8" s="40">
        <v>0</v>
      </c>
      <c r="BI8" s="40">
        <v>0</v>
      </c>
      <c r="BJ8" s="40">
        <v>0</v>
      </c>
      <c r="BK8" s="40">
        <v>630</v>
      </c>
      <c r="BL8" s="40">
        <v>39002</v>
      </c>
      <c r="BM8" s="40">
        <v>690657</v>
      </c>
      <c r="BN8" s="40">
        <v>4767</v>
      </c>
      <c r="BO8" s="40">
        <v>0</v>
      </c>
      <c r="BP8" s="40">
        <v>4</v>
      </c>
      <c r="BQ8" s="40">
        <v>0</v>
      </c>
      <c r="BR8" s="40">
        <v>0</v>
      </c>
      <c r="BS8" s="40">
        <v>0</v>
      </c>
      <c r="BT8" s="40">
        <v>1189208</v>
      </c>
      <c r="BU8" s="40">
        <v>55397</v>
      </c>
      <c r="BV8" s="40">
        <v>0</v>
      </c>
      <c r="BW8" s="40">
        <v>0</v>
      </c>
      <c r="BX8" s="40">
        <v>55397</v>
      </c>
      <c r="BY8" s="40">
        <v>0</v>
      </c>
      <c r="BZ8" s="40">
        <v>0</v>
      </c>
      <c r="CA8" s="40">
        <v>0</v>
      </c>
      <c r="CB8" s="40">
        <v>0</v>
      </c>
      <c r="CC8" s="40">
        <v>728523</v>
      </c>
      <c r="CD8" s="40">
        <v>783920</v>
      </c>
      <c r="CE8" s="40">
        <v>1973128</v>
      </c>
      <c r="CF8" s="41"/>
      <c r="CG8" s="41"/>
      <c r="CH8" s="42"/>
    </row>
    <row r="9" spans="1:86" ht="33.75">
      <c r="A9" s="38">
        <v>3</v>
      </c>
      <c r="B9" s="65" t="s">
        <v>90</v>
      </c>
      <c r="C9" s="39" t="s">
        <v>89</v>
      </c>
      <c r="D9" s="40">
        <v>0</v>
      </c>
      <c r="E9" s="40">
        <v>0</v>
      </c>
      <c r="F9" s="40">
        <v>8877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91</v>
      </c>
      <c r="O9" s="40">
        <v>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0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0</v>
      </c>
      <c r="AV9" s="40">
        <v>0</v>
      </c>
      <c r="AW9" s="40">
        <v>0</v>
      </c>
      <c r="AX9" s="40">
        <v>0</v>
      </c>
      <c r="AY9" s="40">
        <v>0</v>
      </c>
      <c r="AZ9" s="40">
        <v>0</v>
      </c>
      <c r="BA9" s="40">
        <v>0</v>
      </c>
      <c r="BB9" s="40">
        <v>0</v>
      </c>
      <c r="BC9" s="40">
        <v>10143</v>
      </c>
      <c r="BD9" s="40">
        <v>2543648</v>
      </c>
      <c r="BE9" s="40">
        <v>0</v>
      </c>
      <c r="BF9" s="40">
        <v>0</v>
      </c>
      <c r="BG9" s="40">
        <v>0</v>
      </c>
      <c r="BH9" s="40">
        <v>0</v>
      </c>
      <c r="BI9" s="40">
        <v>0</v>
      </c>
      <c r="BJ9" s="40">
        <v>0</v>
      </c>
      <c r="BK9" s="40">
        <v>0</v>
      </c>
      <c r="BL9" s="40">
        <v>0</v>
      </c>
      <c r="BM9" s="40">
        <v>657976</v>
      </c>
      <c r="BN9" s="40">
        <v>874499</v>
      </c>
      <c r="BO9" s="40">
        <v>399101</v>
      </c>
      <c r="BP9" s="40">
        <v>21690</v>
      </c>
      <c r="BQ9" s="40">
        <v>0</v>
      </c>
      <c r="BR9" s="40">
        <v>0</v>
      </c>
      <c r="BS9" s="40">
        <v>0</v>
      </c>
      <c r="BT9" s="40">
        <v>4516025</v>
      </c>
      <c r="BU9" s="40">
        <v>29850582</v>
      </c>
      <c r="BV9" s="40">
        <v>0</v>
      </c>
      <c r="BW9" s="40">
        <v>0</v>
      </c>
      <c r="BX9" s="40">
        <v>29850582</v>
      </c>
      <c r="BY9" s="40">
        <v>0</v>
      </c>
      <c r="BZ9" s="40">
        <v>0</v>
      </c>
      <c r="CA9" s="40">
        <v>0</v>
      </c>
      <c r="CB9" s="40">
        <v>0</v>
      </c>
      <c r="CC9" s="40">
        <v>214831</v>
      </c>
      <c r="CD9" s="40">
        <v>30065413</v>
      </c>
      <c r="CE9" s="40">
        <v>34581438</v>
      </c>
      <c r="CF9" s="41"/>
      <c r="CG9" s="41"/>
      <c r="CH9" s="42"/>
    </row>
    <row r="10" spans="1:86">
      <c r="A10" s="38">
        <v>4</v>
      </c>
      <c r="B10" s="65" t="s">
        <v>88</v>
      </c>
      <c r="C10" s="39" t="s">
        <v>87</v>
      </c>
      <c r="D10" s="40">
        <v>44879</v>
      </c>
      <c r="E10" s="40">
        <v>0</v>
      </c>
      <c r="F10" s="40">
        <v>0</v>
      </c>
      <c r="G10" s="40">
        <v>527599</v>
      </c>
      <c r="H10" s="40">
        <v>210</v>
      </c>
      <c r="I10" s="40">
        <v>10</v>
      </c>
      <c r="J10" s="40">
        <v>63148</v>
      </c>
      <c r="K10" s="40">
        <v>43112</v>
      </c>
      <c r="L10" s="40">
        <v>107</v>
      </c>
      <c r="M10" s="40">
        <v>327</v>
      </c>
      <c r="N10" s="40">
        <v>1855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60</v>
      </c>
      <c r="U10" s="40">
        <v>0</v>
      </c>
      <c r="V10" s="40">
        <v>2225611</v>
      </c>
      <c r="W10" s="40">
        <v>0</v>
      </c>
      <c r="X10" s="40">
        <v>165</v>
      </c>
      <c r="Y10" s="40">
        <v>0</v>
      </c>
      <c r="Z10" s="40">
        <v>0</v>
      </c>
      <c r="AA10" s="40">
        <v>108706</v>
      </c>
      <c r="AB10" s="40">
        <v>121107</v>
      </c>
      <c r="AC10" s="40">
        <v>0</v>
      </c>
      <c r="AD10" s="40">
        <v>0</v>
      </c>
      <c r="AE10" s="40">
        <v>18229</v>
      </c>
      <c r="AF10" s="40">
        <v>0</v>
      </c>
      <c r="AG10" s="40">
        <v>34</v>
      </c>
      <c r="AH10" s="40">
        <v>0</v>
      </c>
      <c r="AI10" s="40">
        <v>0</v>
      </c>
      <c r="AJ10" s="40">
        <v>557</v>
      </c>
      <c r="AK10" s="40">
        <v>0</v>
      </c>
      <c r="AL10" s="40">
        <v>240</v>
      </c>
      <c r="AM10" s="40">
        <v>0</v>
      </c>
      <c r="AN10" s="40">
        <v>11</v>
      </c>
      <c r="AO10" s="40">
        <v>726</v>
      </c>
      <c r="AP10" s="40">
        <v>36243920</v>
      </c>
      <c r="AQ10" s="40">
        <v>0</v>
      </c>
      <c r="AR10" s="40">
        <v>970794</v>
      </c>
      <c r="AS10" s="40">
        <v>125363</v>
      </c>
      <c r="AT10" s="40">
        <v>4428</v>
      </c>
      <c r="AU10" s="40">
        <v>0</v>
      </c>
      <c r="AV10" s="40">
        <v>1853</v>
      </c>
      <c r="AW10" s="40">
        <v>915</v>
      </c>
      <c r="AX10" s="40">
        <v>3649924</v>
      </c>
      <c r="AY10" s="40">
        <v>0</v>
      </c>
      <c r="AZ10" s="40">
        <v>0</v>
      </c>
      <c r="BA10" s="40">
        <v>5055</v>
      </c>
      <c r="BB10" s="40">
        <v>0</v>
      </c>
      <c r="BC10" s="40">
        <v>0</v>
      </c>
      <c r="BD10" s="40">
        <v>0</v>
      </c>
      <c r="BE10" s="40">
        <v>0</v>
      </c>
      <c r="BF10" s="40">
        <v>0</v>
      </c>
      <c r="BG10" s="40">
        <v>0</v>
      </c>
      <c r="BH10" s="40">
        <v>0</v>
      </c>
      <c r="BI10" s="40">
        <v>0</v>
      </c>
      <c r="BJ10" s="40">
        <v>0</v>
      </c>
      <c r="BK10" s="40">
        <v>18063</v>
      </c>
      <c r="BL10" s="40">
        <v>4763</v>
      </c>
      <c r="BM10" s="40">
        <v>921829</v>
      </c>
      <c r="BN10" s="40">
        <v>3025264</v>
      </c>
      <c r="BO10" s="40">
        <v>2310664</v>
      </c>
      <c r="BP10" s="40">
        <v>14689</v>
      </c>
      <c r="BQ10" s="40">
        <v>10069</v>
      </c>
      <c r="BR10" s="40">
        <v>0</v>
      </c>
      <c r="BS10" s="40">
        <v>0</v>
      </c>
      <c r="BT10" s="40">
        <v>50464286</v>
      </c>
      <c r="BU10" s="40">
        <v>7098835</v>
      </c>
      <c r="BV10" s="40">
        <v>0</v>
      </c>
      <c r="BW10" s="40">
        <v>0</v>
      </c>
      <c r="BX10" s="40">
        <v>7098835</v>
      </c>
      <c r="BY10" s="40">
        <v>0</v>
      </c>
      <c r="BZ10" s="40">
        <v>0</v>
      </c>
      <c r="CA10" s="40">
        <v>0</v>
      </c>
      <c r="CB10" s="40">
        <v>0</v>
      </c>
      <c r="CC10" s="40">
        <v>10404599</v>
      </c>
      <c r="CD10" s="40">
        <v>17503434</v>
      </c>
      <c r="CE10" s="40">
        <v>67967720</v>
      </c>
      <c r="CF10" s="41"/>
      <c r="CG10" s="41"/>
      <c r="CH10" s="42"/>
    </row>
    <row r="11" spans="1:86">
      <c r="A11" s="38">
        <v>5</v>
      </c>
      <c r="B11" s="65" t="s">
        <v>188</v>
      </c>
      <c r="C11" s="39" t="s">
        <v>187</v>
      </c>
      <c r="D11" s="40">
        <v>0</v>
      </c>
      <c r="E11" s="40">
        <v>0</v>
      </c>
      <c r="F11" s="40">
        <v>0</v>
      </c>
      <c r="G11" s="40">
        <v>0</v>
      </c>
      <c r="H11" s="40">
        <v>2227735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10049876</v>
      </c>
      <c r="X11" s="40">
        <v>2371</v>
      </c>
      <c r="Y11" s="40">
        <v>0</v>
      </c>
      <c r="Z11" s="40">
        <v>2975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40">
        <v>0</v>
      </c>
      <c r="AN11" s="40">
        <v>0</v>
      </c>
      <c r="AO11" s="40">
        <v>0</v>
      </c>
      <c r="AP11" s="40">
        <v>0</v>
      </c>
      <c r="AQ11" s="40">
        <v>0</v>
      </c>
      <c r="AR11" s="40">
        <v>0</v>
      </c>
      <c r="AS11" s="40">
        <v>0</v>
      </c>
      <c r="AT11" s="40">
        <v>0</v>
      </c>
      <c r="AU11" s="40">
        <v>0</v>
      </c>
      <c r="AV11" s="40">
        <v>0</v>
      </c>
      <c r="AW11" s="40">
        <v>0</v>
      </c>
      <c r="AX11" s="40">
        <v>0</v>
      </c>
      <c r="AY11" s="40">
        <v>0</v>
      </c>
      <c r="AZ11" s="40">
        <v>0</v>
      </c>
      <c r="BA11" s="40">
        <v>0</v>
      </c>
      <c r="BB11" s="40">
        <v>0</v>
      </c>
      <c r="BC11" s="40">
        <v>0</v>
      </c>
      <c r="BD11" s="40">
        <v>0</v>
      </c>
      <c r="BE11" s="40">
        <v>0</v>
      </c>
      <c r="BF11" s="40">
        <v>0</v>
      </c>
      <c r="BG11" s="40">
        <v>0</v>
      </c>
      <c r="BH11" s="40">
        <v>0</v>
      </c>
      <c r="BI11" s="40">
        <v>0</v>
      </c>
      <c r="BJ11" s="40">
        <v>0</v>
      </c>
      <c r="BK11" s="40">
        <v>0</v>
      </c>
      <c r="BL11" s="40">
        <v>0</v>
      </c>
      <c r="BM11" s="40">
        <v>0</v>
      </c>
      <c r="BN11" s="40">
        <v>0</v>
      </c>
      <c r="BO11" s="40">
        <v>0</v>
      </c>
      <c r="BP11" s="40">
        <v>0</v>
      </c>
      <c r="BQ11" s="40">
        <v>0</v>
      </c>
      <c r="BR11" s="40">
        <v>0</v>
      </c>
      <c r="BS11" s="40">
        <v>0</v>
      </c>
      <c r="BT11" s="40">
        <v>12282957</v>
      </c>
      <c r="BU11" s="40">
        <v>0</v>
      </c>
      <c r="BV11" s="40">
        <v>0</v>
      </c>
      <c r="BW11" s="40">
        <v>0</v>
      </c>
      <c r="BX11" s="40">
        <v>0</v>
      </c>
      <c r="BY11" s="40">
        <v>0</v>
      </c>
      <c r="BZ11" s="40">
        <v>0</v>
      </c>
      <c r="CA11" s="40">
        <v>0</v>
      </c>
      <c r="CB11" s="40">
        <v>0</v>
      </c>
      <c r="CC11" s="40">
        <v>493417345</v>
      </c>
      <c r="CD11" s="40">
        <v>493417345</v>
      </c>
      <c r="CE11" s="40">
        <v>505700302</v>
      </c>
      <c r="CF11" s="41"/>
      <c r="CG11" s="41"/>
      <c r="CH11" s="42"/>
    </row>
    <row r="12" spans="1:86" ht="22.5">
      <c r="A12" s="38">
        <v>6</v>
      </c>
      <c r="B12" s="65" t="s">
        <v>186</v>
      </c>
      <c r="C12" s="39" t="s">
        <v>185</v>
      </c>
      <c r="D12" s="40">
        <v>0</v>
      </c>
      <c r="E12" s="40">
        <v>0</v>
      </c>
      <c r="F12" s="40">
        <v>0</v>
      </c>
      <c r="G12" s="40">
        <v>0</v>
      </c>
      <c r="H12" s="40">
        <v>1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  <c r="AI12" s="40">
        <v>0</v>
      </c>
      <c r="AJ12" s="40">
        <v>0</v>
      </c>
      <c r="AK12" s="40">
        <v>0</v>
      </c>
      <c r="AL12" s="40">
        <v>0</v>
      </c>
      <c r="AM12" s="40">
        <v>0</v>
      </c>
      <c r="AN12" s="40">
        <v>0</v>
      </c>
      <c r="AO12" s="40">
        <v>0</v>
      </c>
      <c r="AP12" s="40">
        <v>1</v>
      </c>
      <c r="AQ12" s="40">
        <v>4</v>
      </c>
      <c r="AR12" s="40">
        <v>0</v>
      </c>
      <c r="AS12" s="40">
        <v>0</v>
      </c>
      <c r="AT12" s="40">
        <v>0</v>
      </c>
      <c r="AU12" s="40">
        <v>0</v>
      </c>
      <c r="AV12" s="40">
        <v>0</v>
      </c>
      <c r="AW12" s="40">
        <v>0</v>
      </c>
      <c r="AX12" s="40">
        <v>2</v>
      </c>
      <c r="AY12" s="40">
        <v>0</v>
      </c>
      <c r="AZ12" s="40">
        <v>0</v>
      </c>
      <c r="BA12" s="40">
        <v>0</v>
      </c>
      <c r="BB12" s="40">
        <v>0</v>
      </c>
      <c r="BC12" s="40">
        <v>0</v>
      </c>
      <c r="BD12" s="40">
        <v>0</v>
      </c>
      <c r="BE12" s="40">
        <v>0</v>
      </c>
      <c r="BF12" s="40">
        <v>0</v>
      </c>
      <c r="BG12" s="40">
        <v>0</v>
      </c>
      <c r="BH12" s="40">
        <v>0</v>
      </c>
      <c r="BI12" s="40">
        <v>0</v>
      </c>
      <c r="BJ12" s="40">
        <v>0</v>
      </c>
      <c r="BK12" s="40">
        <v>0</v>
      </c>
      <c r="BL12" s="40">
        <v>0</v>
      </c>
      <c r="BM12" s="40">
        <v>0</v>
      </c>
      <c r="BN12" s="40">
        <v>0</v>
      </c>
      <c r="BO12" s="40">
        <v>0</v>
      </c>
      <c r="BP12" s="40">
        <v>0</v>
      </c>
      <c r="BQ12" s="40">
        <v>0</v>
      </c>
      <c r="BR12" s="40">
        <v>0</v>
      </c>
      <c r="BS12" s="40">
        <v>0</v>
      </c>
      <c r="BT12" s="40">
        <v>8</v>
      </c>
      <c r="BU12" s="40">
        <v>0</v>
      </c>
      <c r="BV12" s="40">
        <v>0</v>
      </c>
      <c r="BW12" s="40">
        <v>0</v>
      </c>
      <c r="BX12" s="40">
        <v>0</v>
      </c>
      <c r="BY12" s="40">
        <v>0</v>
      </c>
      <c r="BZ12" s="40">
        <v>0</v>
      </c>
      <c r="CA12" s="40">
        <v>0</v>
      </c>
      <c r="CB12" s="40">
        <v>0</v>
      </c>
      <c r="CC12" s="40">
        <v>33</v>
      </c>
      <c r="CD12" s="40">
        <v>33</v>
      </c>
      <c r="CE12" s="40">
        <v>41</v>
      </c>
      <c r="CF12" s="41"/>
      <c r="CG12" s="41"/>
      <c r="CH12" s="42"/>
    </row>
    <row r="13" spans="1:86">
      <c r="A13" s="38">
        <v>7</v>
      </c>
      <c r="B13" s="65" t="s">
        <v>184</v>
      </c>
      <c r="C13" s="39" t="s">
        <v>183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>
        <v>0</v>
      </c>
      <c r="AL13" s="40">
        <v>0</v>
      </c>
      <c r="AM13" s="40">
        <v>0</v>
      </c>
      <c r="AN13" s="40">
        <v>0</v>
      </c>
      <c r="AO13" s="40">
        <v>0</v>
      </c>
      <c r="AP13" s="40">
        <v>0</v>
      </c>
      <c r="AQ13" s="40">
        <v>0</v>
      </c>
      <c r="AR13" s="40">
        <v>0</v>
      </c>
      <c r="AS13" s="40">
        <v>0</v>
      </c>
      <c r="AT13" s="40">
        <v>0</v>
      </c>
      <c r="AU13" s="40">
        <v>0</v>
      </c>
      <c r="AV13" s="40">
        <v>0</v>
      </c>
      <c r="AW13" s="40">
        <v>0</v>
      </c>
      <c r="AX13" s="40">
        <v>0</v>
      </c>
      <c r="AY13" s="40">
        <v>0</v>
      </c>
      <c r="AZ13" s="40">
        <v>0</v>
      </c>
      <c r="BA13" s="40">
        <v>0</v>
      </c>
      <c r="BB13" s="40">
        <v>0</v>
      </c>
      <c r="BC13" s="40">
        <v>0</v>
      </c>
      <c r="BD13" s="40">
        <v>0</v>
      </c>
      <c r="BE13" s="40">
        <v>0</v>
      </c>
      <c r="BF13" s="40">
        <v>0</v>
      </c>
      <c r="BG13" s="40">
        <v>0</v>
      </c>
      <c r="BH13" s="40">
        <v>0</v>
      </c>
      <c r="BI13" s="40">
        <v>0</v>
      </c>
      <c r="BJ13" s="40">
        <v>0</v>
      </c>
      <c r="BK13" s="40">
        <v>0</v>
      </c>
      <c r="BL13" s="40">
        <v>0</v>
      </c>
      <c r="BM13" s="40">
        <v>0</v>
      </c>
      <c r="BN13" s="40">
        <v>0</v>
      </c>
      <c r="BO13" s="40">
        <v>0</v>
      </c>
      <c r="BP13" s="40">
        <v>0</v>
      </c>
      <c r="BQ13" s="40">
        <v>0</v>
      </c>
      <c r="BR13" s="40">
        <v>0</v>
      </c>
      <c r="BS13" s="40">
        <v>0</v>
      </c>
      <c r="BT13" s="40">
        <v>0</v>
      </c>
      <c r="BU13" s="40">
        <v>0</v>
      </c>
      <c r="BV13" s="40">
        <v>0</v>
      </c>
      <c r="BW13" s="40">
        <v>0</v>
      </c>
      <c r="BX13" s="40">
        <v>0</v>
      </c>
      <c r="BY13" s="40">
        <v>0</v>
      </c>
      <c r="BZ13" s="40">
        <v>0</v>
      </c>
      <c r="CA13" s="40">
        <v>0</v>
      </c>
      <c r="CB13" s="40">
        <v>0</v>
      </c>
      <c r="CC13" s="40">
        <v>0</v>
      </c>
      <c r="CD13" s="40">
        <v>0</v>
      </c>
      <c r="CE13" s="40">
        <v>0</v>
      </c>
      <c r="CF13" s="41"/>
      <c r="CG13" s="41"/>
      <c r="CH13" s="42"/>
    </row>
    <row r="14" spans="1:86">
      <c r="A14" s="38">
        <v>8</v>
      </c>
      <c r="B14" s="65" t="s">
        <v>182</v>
      </c>
      <c r="C14" s="39" t="s">
        <v>181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  <c r="AI14" s="40">
        <v>0</v>
      </c>
      <c r="AJ14" s="40">
        <v>0</v>
      </c>
      <c r="AK14" s="40">
        <v>0</v>
      </c>
      <c r="AL14" s="40">
        <v>0</v>
      </c>
      <c r="AM14" s="40">
        <v>0</v>
      </c>
      <c r="AN14" s="40">
        <v>0</v>
      </c>
      <c r="AO14" s="40">
        <v>0</v>
      </c>
      <c r="AP14" s="40">
        <v>0</v>
      </c>
      <c r="AQ14" s="40">
        <v>0</v>
      </c>
      <c r="AR14" s="40">
        <v>0</v>
      </c>
      <c r="AS14" s="40">
        <v>0</v>
      </c>
      <c r="AT14" s="40">
        <v>0</v>
      </c>
      <c r="AU14" s="40">
        <v>0</v>
      </c>
      <c r="AV14" s="40">
        <v>0</v>
      </c>
      <c r="AW14" s="40">
        <v>0</v>
      </c>
      <c r="AX14" s="40">
        <v>0</v>
      </c>
      <c r="AY14" s="40">
        <v>0</v>
      </c>
      <c r="AZ14" s="40">
        <v>0</v>
      </c>
      <c r="BA14" s="40">
        <v>0</v>
      </c>
      <c r="BB14" s="40">
        <v>0</v>
      </c>
      <c r="BC14" s="40">
        <v>0</v>
      </c>
      <c r="BD14" s="40">
        <v>0</v>
      </c>
      <c r="BE14" s="40">
        <v>0</v>
      </c>
      <c r="BF14" s="40">
        <v>0</v>
      </c>
      <c r="BG14" s="40">
        <v>0</v>
      </c>
      <c r="BH14" s="40">
        <v>0</v>
      </c>
      <c r="BI14" s="40">
        <v>0</v>
      </c>
      <c r="BJ14" s="40">
        <v>0</v>
      </c>
      <c r="BK14" s="40">
        <v>0</v>
      </c>
      <c r="BL14" s="40">
        <v>0</v>
      </c>
      <c r="BM14" s="40">
        <v>0</v>
      </c>
      <c r="BN14" s="40">
        <v>0</v>
      </c>
      <c r="BO14" s="40">
        <v>0</v>
      </c>
      <c r="BP14" s="40">
        <v>0</v>
      </c>
      <c r="BQ14" s="40">
        <v>0</v>
      </c>
      <c r="BR14" s="40">
        <v>0</v>
      </c>
      <c r="BS14" s="40">
        <v>0</v>
      </c>
      <c r="BT14" s="40">
        <v>0</v>
      </c>
      <c r="BU14" s="40">
        <v>0</v>
      </c>
      <c r="BV14" s="40">
        <v>0</v>
      </c>
      <c r="BW14" s="40">
        <v>0</v>
      </c>
      <c r="BX14" s="40">
        <v>0</v>
      </c>
      <c r="BY14" s="40">
        <v>0</v>
      </c>
      <c r="BZ14" s="40">
        <v>0</v>
      </c>
      <c r="CA14" s="40">
        <v>0</v>
      </c>
      <c r="CB14" s="40">
        <v>0</v>
      </c>
      <c r="CC14" s="40">
        <v>0</v>
      </c>
      <c r="CD14" s="40">
        <v>0</v>
      </c>
      <c r="CE14" s="40">
        <v>0</v>
      </c>
      <c r="CF14" s="41"/>
      <c r="CG14" s="41"/>
      <c r="CH14" s="42"/>
    </row>
    <row r="15" spans="1:86" ht="22.5">
      <c r="A15" s="38">
        <v>9</v>
      </c>
      <c r="B15" s="65" t="s">
        <v>102</v>
      </c>
      <c r="C15" s="39" t="s">
        <v>180</v>
      </c>
      <c r="D15" s="40">
        <v>1102147</v>
      </c>
      <c r="E15" s="40">
        <v>23</v>
      </c>
      <c r="F15" s="40">
        <v>1922</v>
      </c>
      <c r="G15" s="40">
        <v>0</v>
      </c>
      <c r="H15" s="40">
        <v>406873</v>
      </c>
      <c r="I15" s="40">
        <v>19325</v>
      </c>
      <c r="J15" s="40">
        <v>0</v>
      </c>
      <c r="K15" s="40">
        <v>0</v>
      </c>
      <c r="L15" s="40">
        <v>52448</v>
      </c>
      <c r="M15" s="40">
        <v>3037</v>
      </c>
      <c r="N15" s="40">
        <v>32351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24826</v>
      </c>
      <c r="U15" s="40">
        <v>0</v>
      </c>
      <c r="V15" s="40">
        <v>0</v>
      </c>
      <c r="W15" s="40">
        <v>3</v>
      </c>
      <c r="X15" s="40">
        <v>227892</v>
      </c>
      <c r="Y15" s="40">
        <v>2982</v>
      </c>
      <c r="Z15" s="40">
        <v>6899</v>
      </c>
      <c r="AA15" s="40">
        <v>67044361</v>
      </c>
      <c r="AB15" s="40">
        <v>205534</v>
      </c>
      <c r="AC15" s="40">
        <v>0</v>
      </c>
      <c r="AD15" s="40">
        <v>0</v>
      </c>
      <c r="AE15" s="40">
        <v>160</v>
      </c>
      <c r="AF15" s="40">
        <v>0</v>
      </c>
      <c r="AG15" s="40">
        <v>0</v>
      </c>
      <c r="AH15" s="40">
        <v>0</v>
      </c>
      <c r="AI15" s="40">
        <v>0</v>
      </c>
      <c r="AJ15" s="40">
        <v>0</v>
      </c>
      <c r="AK15" s="40">
        <v>431</v>
      </c>
      <c r="AL15" s="40">
        <v>186</v>
      </c>
      <c r="AM15" s="40">
        <v>0</v>
      </c>
      <c r="AN15" s="40">
        <v>458703</v>
      </c>
      <c r="AO15" s="40">
        <v>0</v>
      </c>
      <c r="AP15" s="40">
        <v>47030</v>
      </c>
      <c r="AQ15" s="40">
        <v>0</v>
      </c>
      <c r="AR15" s="40">
        <v>26853</v>
      </c>
      <c r="AS15" s="40">
        <v>216001</v>
      </c>
      <c r="AT15" s="40">
        <v>51331829</v>
      </c>
      <c r="AU15" s="40">
        <v>0</v>
      </c>
      <c r="AV15" s="40">
        <v>0</v>
      </c>
      <c r="AW15" s="40">
        <v>0</v>
      </c>
      <c r="AX15" s="40">
        <v>0</v>
      </c>
      <c r="AY15" s="40">
        <v>0</v>
      </c>
      <c r="AZ15" s="40">
        <v>0</v>
      </c>
      <c r="BA15" s="40">
        <v>0</v>
      </c>
      <c r="BB15" s="40">
        <v>0</v>
      </c>
      <c r="BC15" s="40">
        <v>0</v>
      </c>
      <c r="BD15" s="40">
        <v>0</v>
      </c>
      <c r="BE15" s="40">
        <v>0</v>
      </c>
      <c r="BF15" s="40">
        <v>0</v>
      </c>
      <c r="BG15" s="40">
        <v>0</v>
      </c>
      <c r="BH15" s="40">
        <v>0</v>
      </c>
      <c r="BI15" s="40">
        <v>0</v>
      </c>
      <c r="BJ15" s="40">
        <v>0</v>
      </c>
      <c r="BK15" s="40">
        <v>3307004</v>
      </c>
      <c r="BL15" s="40">
        <v>601524</v>
      </c>
      <c r="BM15" s="40">
        <v>17476</v>
      </c>
      <c r="BN15" s="40">
        <v>209377</v>
      </c>
      <c r="BO15" s="40">
        <v>3189518</v>
      </c>
      <c r="BP15" s="40">
        <v>891</v>
      </c>
      <c r="BQ15" s="40">
        <v>2719072</v>
      </c>
      <c r="BR15" s="40">
        <v>0</v>
      </c>
      <c r="BS15" s="40">
        <v>0</v>
      </c>
      <c r="BT15" s="40">
        <v>131256678</v>
      </c>
      <c r="BU15" s="40">
        <v>4232862</v>
      </c>
      <c r="BV15" s="40">
        <v>0</v>
      </c>
      <c r="BW15" s="40">
        <v>0</v>
      </c>
      <c r="BX15" s="40">
        <v>4232862</v>
      </c>
      <c r="BY15" s="40">
        <v>0</v>
      </c>
      <c r="BZ15" s="40">
        <v>0</v>
      </c>
      <c r="CA15" s="40">
        <v>0</v>
      </c>
      <c r="CB15" s="40">
        <v>0</v>
      </c>
      <c r="CC15" s="40">
        <v>6704154</v>
      </c>
      <c r="CD15" s="40">
        <v>10937016</v>
      </c>
      <c r="CE15" s="40">
        <v>142193694</v>
      </c>
      <c r="CF15" s="41"/>
      <c r="CG15" s="41"/>
      <c r="CH15" s="42"/>
    </row>
    <row r="16" spans="1:86" ht="22.5">
      <c r="A16" s="38">
        <v>10</v>
      </c>
      <c r="B16" s="65" t="s">
        <v>86</v>
      </c>
      <c r="C16" s="39" t="s">
        <v>85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40">
        <v>0</v>
      </c>
      <c r="AR16" s="40">
        <v>0</v>
      </c>
      <c r="AS16" s="40">
        <v>0</v>
      </c>
      <c r="AT16" s="40">
        <v>0</v>
      </c>
      <c r="AU16" s="40">
        <v>0</v>
      </c>
      <c r="AV16" s="40">
        <v>0</v>
      </c>
      <c r="AW16" s="40">
        <v>0</v>
      </c>
      <c r="AX16" s="40">
        <v>0</v>
      </c>
      <c r="AY16" s="40">
        <v>0</v>
      </c>
      <c r="AZ16" s="40">
        <v>0</v>
      </c>
      <c r="BA16" s="40">
        <v>0</v>
      </c>
      <c r="BB16" s="40">
        <v>0</v>
      </c>
      <c r="BC16" s="40">
        <v>0</v>
      </c>
      <c r="BD16" s="40">
        <v>0</v>
      </c>
      <c r="BE16" s="40">
        <v>0</v>
      </c>
      <c r="BF16" s="40">
        <v>0</v>
      </c>
      <c r="BG16" s="40">
        <v>0</v>
      </c>
      <c r="BH16" s="40">
        <v>0</v>
      </c>
      <c r="BI16" s="40">
        <v>0</v>
      </c>
      <c r="BJ16" s="40">
        <v>0</v>
      </c>
      <c r="BK16" s="40">
        <v>0</v>
      </c>
      <c r="BL16" s="40">
        <v>0</v>
      </c>
      <c r="BM16" s="40">
        <v>0</v>
      </c>
      <c r="BN16" s="40">
        <v>0</v>
      </c>
      <c r="BO16" s="40">
        <v>0</v>
      </c>
      <c r="BP16" s="40">
        <v>0</v>
      </c>
      <c r="BQ16" s="40">
        <v>0</v>
      </c>
      <c r="BR16" s="40">
        <v>0</v>
      </c>
      <c r="BS16" s="40">
        <v>0</v>
      </c>
      <c r="BT16" s="40">
        <v>0</v>
      </c>
      <c r="BU16" s="40">
        <v>0</v>
      </c>
      <c r="BV16" s="40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0</v>
      </c>
      <c r="CC16" s="40">
        <v>0</v>
      </c>
      <c r="CD16" s="40">
        <v>0</v>
      </c>
      <c r="CE16" s="40">
        <v>0</v>
      </c>
      <c r="CF16" s="41"/>
      <c r="CG16" s="41"/>
      <c r="CH16" s="42"/>
    </row>
    <row r="17" spans="1:86">
      <c r="A17" s="38">
        <v>11</v>
      </c>
      <c r="B17" s="65" t="s">
        <v>179</v>
      </c>
      <c r="C17" s="39" t="s">
        <v>178</v>
      </c>
      <c r="D17" s="40">
        <v>198498966</v>
      </c>
      <c r="E17" s="40">
        <v>0</v>
      </c>
      <c r="F17" s="40">
        <v>2414219</v>
      </c>
      <c r="G17" s="40">
        <v>45328</v>
      </c>
      <c r="H17" s="40">
        <v>810077</v>
      </c>
      <c r="I17" s="40">
        <v>25520</v>
      </c>
      <c r="J17" s="40">
        <v>15500</v>
      </c>
      <c r="K17" s="40">
        <v>31595</v>
      </c>
      <c r="L17" s="40">
        <v>716</v>
      </c>
      <c r="M17" s="40">
        <v>727</v>
      </c>
      <c r="N17" s="40">
        <v>170144125</v>
      </c>
      <c r="O17" s="40">
        <v>0</v>
      </c>
      <c r="P17" s="40">
        <v>11037</v>
      </c>
      <c r="Q17" s="40">
        <v>0</v>
      </c>
      <c r="R17" s="40">
        <v>7530</v>
      </c>
      <c r="S17" s="40">
        <v>0</v>
      </c>
      <c r="T17" s="40">
        <v>28090</v>
      </c>
      <c r="U17" s="40">
        <v>0</v>
      </c>
      <c r="V17" s="40">
        <v>0</v>
      </c>
      <c r="W17" s="40">
        <v>0</v>
      </c>
      <c r="X17" s="40">
        <v>15853694</v>
      </c>
      <c r="Y17" s="40">
        <v>29654732</v>
      </c>
      <c r="Z17" s="40">
        <v>0</v>
      </c>
      <c r="AA17" s="40">
        <v>105</v>
      </c>
      <c r="AB17" s="40">
        <v>6596</v>
      </c>
      <c r="AC17" s="40">
        <v>9196</v>
      </c>
      <c r="AD17" s="40">
        <v>1611</v>
      </c>
      <c r="AE17" s="40">
        <v>1579</v>
      </c>
      <c r="AF17" s="40">
        <v>445</v>
      </c>
      <c r="AG17" s="40">
        <v>7576</v>
      </c>
      <c r="AH17" s="40">
        <v>0</v>
      </c>
      <c r="AI17" s="40">
        <v>0</v>
      </c>
      <c r="AJ17" s="40">
        <v>0</v>
      </c>
      <c r="AK17" s="40">
        <v>0</v>
      </c>
      <c r="AL17" s="40">
        <v>1222</v>
      </c>
      <c r="AM17" s="40">
        <v>952</v>
      </c>
      <c r="AN17" s="40">
        <v>0</v>
      </c>
      <c r="AO17" s="40">
        <v>732</v>
      </c>
      <c r="AP17" s="40">
        <v>0</v>
      </c>
      <c r="AQ17" s="40">
        <v>68</v>
      </c>
      <c r="AR17" s="40">
        <v>545</v>
      </c>
      <c r="AS17" s="40">
        <v>92969</v>
      </c>
      <c r="AT17" s="40">
        <v>38780</v>
      </c>
      <c r="AU17" s="40">
        <v>36503</v>
      </c>
      <c r="AV17" s="40">
        <v>154440</v>
      </c>
      <c r="AW17" s="40">
        <v>183</v>
      </c>
      <c r="AX17" s="40">
        <v>1154</v>
      </c>
      <c r="AY17" s="40">
        <v>44327</v>
      </c>
      <c r="AZ17" s="40">
        <v>7</v>
      </c>
      <c r="BA17" s="40">
        <v>81121</v>
      </c>
      <c r="BB17" s="40">
        <v>0</v>
      </c>
      <c r="BC17" s="40">
        <v>13247378</v>
      </c>
      <c r="BD17" s="40">
        <v>230843264</v>
      </c>
      <c r="BE17" s="40">
        <v>321472</v>
      </c>
      <c r="BF17" s="40">
        <v>0</v>
      </c>
      <c r="BG17" s="40">
        <v>21248105</v>
      </c>
      <c r="BH17" s="40">
        <v>0</v>
      </c>
      <c r="BI17" s="40">
        <v>221</v>
      </c>
      <c r="BJ17" s="40">
        <v>2424822</v>
      </c>
      <c r="BK17" s="40">
        <v>50040594</v>
      </c>
      <c r="BL17" s="40">
        <v>2995030</v>
      </c>
      <c r="BM17" s="40">
        <v>3330902</v>
      </c>
      <c r="BN17" s="40">
        <v>82521219</v>
      </c>
      <c r="BO17" s="40">
        <v>47185085</v>
      </c>
      <c r="BP17" s="40">
        <v>1278599</v>
      </c>
      <c r="BQ17" s="40">
        <v>21144969</v>
      </c>
      <c r="BR17" s="40">
        <v>175204</v>
      </c>
      <c r="BS17" s="40">
        <v>0</v>
      </c>
      <c r="BT17" s="40">
        <v>894778831</v>
      </c>
      <c r="BU17" s="40">
        <v>4945055726</v>
      </c>
      <c r="BV17" s="40">
        <v>0</v>
      </c>
      <c r="BW17" s="40">
        <v>0</v>
      </c>
      <c r="BX17" s="40">
        <v>4945055726</v>
      </c>
      <c r="BY17" s="40">
        <v>0</v>
      </c>
      <c r="BZ17" s="40">
        <v>0</v>
      </c>
      <c r="CA17" s="40">
        <v>0</v>
      </c>
      <c r="CB17" s="40">
        <v>0</v>
      </c>
      <c r="CC17" s="40">
        <v>418992462</v>
      </c>
      <c r="CD17" s="40">
        <v>5364048188</v>
      </c>
      <c r="CE17" s="40">
        <v>6258827019</v>
      </c>
      <c r="CF17" s="41"/>
      <c r="CG17" s="41"/>
      <c r="CH17" s="42"/>
    </row>
    <row r="18" spans="1:86">
      <c r="A18" s="38">
        <v>12</v>
      </c>
      <c r="B18" s="65" t="s">
        <v>84</v>
      </c>
      <c r="C18" s="39" t="s">
        <v>83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498065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0</v>
      </c>
      <c r="AP18" s="40">
        <v>0</v>
      </c>
      <c r="AQ18" s="40">
        <v>0</v>
      </c>
      <c r="AR18" s="40">
        <v>0</v>
      </c>
      <c r="AS18" s="40">
        <v>0</v>
      </c>
      <c r="AT18" s="40">
        <v>0</v>
      </c>
      <c r="AU18" s="40">
        <v>0</v>
      </c>
      <c r="AV18" s="40">
        <v>0</v>
      </c>
      <c r="AW18" s="40">
        <v>0</v>
      </c>
      <c r="AX18" s="40">
        <v>0</v>
      </c>
      <c r="AY18" s="40">
        <v>0</v>
      </c>
      <c r="AZ18" s="40">
        <v>0</v>
      </c>
      <c r="BA18" s="40">
        <v>0</v>
      </c>
      <c r="BB18" s="40">
        <v>0</v>
      </c>
      <c r="BC18" s="40">
        <v>0</v>
      </c>
      <c r="BD18" s="40">
        <v>0</v>
      </c>
      <c r="BE18" s="40">
        <v>0</v>
      </c>
      <c r="BF18" s="40">
        <v>0</v>
      </c>
      <c r="BG18" s="40">
        <v>0</v>
      </c>
      <c r="BH18" s="40">
        <v>0</v>
      </c>
      <c r="BI18" s="40">
        <v>0</v>
      </c>
      <c r="BJ18" s="40">
        <v>0</v>
      </c>
      <c r="BK18" s="40">
        <v>0</v>
      </c>
      <c r="BL18" s="40">
        <v>0</v>
      </c>
      <c r="BM18" s="40">
        <v>0</v>
      </c>
      <c r="BN18" s="40">
        <v>0</v>
      </c>
      <c r="BO18" s="40">
        <v>0</v>
      </c>
      <c r="BP18" s="40">
        <v>0</v>
      </c>
      <c r="BQ18" s="40">
        <v>0</v>
      </c>
      <c r="BR18" s="40">
        <v>0</v>
      </c>
      <c r="BS18" s="40">
        <v>0</v>
      </c>
      <c r="BT18" s="40">
        <v>498065</v>
      </c>
      <c r="BU18" s="40">
        <v>92883046</v>
      </c>
      <c r="BV18" s="40">
        <v>0</v>
      </c>
      <c r="BW18" s="40">
        <v>0</v>
      </c>
      <c r="BX18" s="40">
        <v>92883046</v>
      </c>
      <c r="BY18" s="40">
        <v>0</v>
      </c>
      <c r="BZ18" s="40">
        <v>0</v>
      </c>
      <c r="CA18" s="40">
        <v>0</v>
      </c>
      <c r="CB18" s="40">
        <v>0</v>
      </c>
      <c r="CC18" s="40">
        <v>6596990</v>
      </c>
      <c r="CD18" s="40">
        <v>99480036</v>
      </c>
      <c r="CE18" s="40">
        <v>99978101</v>
      </c>
      <c r="CF18" s="41"/>
      <c r="CG18" s="41"/>
      <c r="CH18" s="42"/>
    </row>
    <row r="19" spans="1:86">
      <c r="A19" s="38">
        <v>13</v>
      </c>
      <c r="B19" s="65" t="s">
        <v>101</v>
      </c>
      <c r="C19" s="39" t="s">
        <v>177</v>
      </c>
      <c r="D19" s="40">
        <v>756549</v>
      </c>
      <c r="E19" s="40">
        <v>5574</v>
      </c>
      <c r="F19" s="40">
        <v>728428</v>
      </c>
      <c r="G19" s="40">
        <v>16425</v>
      </c>
      <c r="H19" s="40">
        <v>424562</v>
      </c>
      <c r="I19" s="40">
        <v>19263</v>
      </c>
      <c r="J19" s="40">
        <v>2448</v>
      </c>
      <c r="K19" s="40">
        <v>45469</v>
      </c>
      <c r="L19" s="40">
        <v>0</v>
      </c>
      <c r="M19" s="40">
        <v>7084</v>
      </c>
      <c r="N19" s="40">
        <v>1402284</v>
      </c>
      <c r="O19" s="40">
        <v>0</v>
      </c>
      <c r="P19" s="40">
        <v>9482003</v>
      </c>
      <c r="Q19" s="40">
        <v>5527173</v>
      </c>
      <c r="R19" s="40">
        <v>268299</v>
      </c>
      <c r="S19" s="40">
        <v>0</v>
      </c>
      <c r="T19" s="40">
        <v>0</v>
      </c>
      <c r="U19" s="40">
        <v>0</v>
      </c>
      <c r="V19" s="40">
        <v>0</v>
      </c>
      <c r="W19" s="40">
        <v>103739</v>
      </c>
      <c r="X19" s="40">
        <v>1489658</v>
      </c>
      <c r="Y19" s="40">
        <v>1731</v>
      </c>
      <c r="Z19" s="40">
        <v>405273</v>
      </c>
      <c r="AA19" s="40">
        <v>274739</v>
      </c>
      <c r="AB19" s="40">
        <v>355</v>
      </c>
      <c r="AC19" s="40">
        <v>0</v>
      </c>
      <c r="AD19" s="40">
        <v>0</v>
      </c>
      <c r="AE19" s="40">
        <v>0</v>
      </c>
      <c r="AF19" s="40">
        <v>0</v>
      </c>
      <c r="AG19" s="40">
        <v>0</v>
      </c>
      <c r="AH19" s="40">
        <v>0</v>
      </c>
      <c r="AI19" s="40">
        <v>0</v>
      </c>
      <c r="AJ19" s="40">
        <v>7292</v>
      </c>
      <c r="AK19" s="40">
        <v>9077796</v>
      </c>
      <c r="AL19" s="40">
        <v>7569</v>
      </c>
      <c r="AM19" s="40">
        <v>2592734</v>
      </c>
      <c r="AN19" s="40">
        <v>2484</v>
      </c>
      <c r="AO19" s="40">
        <v>5410</v>
      </c>
      <c r="AP19" s="40">
        <v>8230</v>
      </c>
      <c r="AQ19" s="40">
        <v>0</v>
      </c>
      <c r="AR19" s="40">
        <v>138</v>
      </c>
      <c r="AS19" s="40">
        <v>24</v>
      </c>
      <c r="AT19" s="40">
        <v>374974</v>
      </c>
      <c r="AU19" s="40">
        <v>0</v>
      </c>
      <c r="AV19" s="40">
        <v>4294783</v>
      </c>
      <c r="AW19" s="40">
        <v>2658906</v>
      </c>
      <c r="AX19" s="40">
        <v>9641</v>
      </c>
      <c r="AY19" s="40">
        <v>432977</v>
      </c>
      <c r="AZ19" s="40">
        <v>0</v>
      </c>
      <c r="BA19" s="40">
        <v>443179</v>
      </c>
      <c r="BB19" s="40">
        <v>109761</v>
      </c>
      <c r="BC19" s="40">
        <v>867086</v>
      </c>
      <c r="BD19" s="40">
        <v>100309</v>
      </c>
      <c r="BE19" s="40">
        <v>153</v>
      </c>
      <c r="BF19" s="40">
        <v>0</v>
      </c>
      <c r="BG19" s="40">
        <v>18542</v>
      </c>
      <c r="BH19" s="40">
        <v>0</v>
      </c>
      <c r="BI19" s="40">
        <v>0</v>
      </c>
      <c r="BJ19" s="40">
        <v>148198</v>
      </c>
      <c r="BK19" s="40">
        <v>202407</v>
      </c>
      <c r="BL19" s="40">
        <v>319121</v>
      </c>
      <c r="BM19" s="40">
        <v>1891272</v>
      </c>
      <c r="BN19" s="40">
        <v>6300423</v>
      </c>
      <c r="BO19" s="40">
        <v>6288504</v>
      </c>
      <c r="BP19" s="40">
        <v>143378</v>
      </c>
      <c r="BQ19" s="40">
        <v>6962126</v>
      </c>
      <c r="BR19" s="40">
        <v>916257</v>
      </c>
      <c r="BS19" s="40">
        <v>0</v>
      </c>
      <c r="BT19" s="40">
        <v>65144730</v>
      </c>
      <c r="BU19" s="40">
        <v>213263786</v>
      </c>
      <c r="BV19" s="40">
        <v>0</v>
      </c>
      <c r="BW19" s="40">
        <v>0</v>
      </c>
      <c r="BX19" s="40">
        <v>213263786</v>
      </c>
      <c r="BY19" s="40">
        <v>29030289</v>
      </c>
      <c r="BZ19" s="40">
        <v>0</v>
      </c>
      <c r="CA19" s="40">
        <v>0</v>
      </c>
      <c r="CB19" s="40">
        <v>29030289</v>
      </c>
      <c r="CC19" s="40">
        <v>5567180</v>
      </c>
      <c r="CD19" s="40">
        <v>247861255</v>
      </c>
      <c r="CE19" s="40">
        <v>313005985</v>
      </c>
      <c r="CF19" s="41"/>
      <c r="CG19" s="41"/>
      <c r="CH19" s="42"/>
    </row>
    <row r="20" spans="1:86">
      <c r="A20" s="38">
        <v>14</v>
      </c>
      <c r="B20" s="65" t="s">
        <v>100</v>
      </c>
      <c r="C20" s="39" t="s">
        <v>82</v>
      </c>
      <c r="D20" s="40">
        <v>111201</v>
      </c>
      <c r="E20" s="40">
        <v>2511</v>
      </c>
      <c r="F20" s="40">
        <v>0</v>
      </c>
      <c r="G20" s="40">
        <v>76850</v>
      </c>
      <c r="H20" s="40">
        <v>2624190</v>
      </c>
      <c r="I20" s="40">
        <v>124300</v>
      </c>
      <c r="J20" s="40">
        <v>22801</v>
      </c>
      <c r="K20" s="40">
        <v>75684</v>
      </c>
      <c r="L20" s="40">
        <v>4084</v>
      </c>
      <c r="M20" s="40">
        <v>25095</v>
      </c>
      <c r="N20" s="40">
        <v>44043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40">
        <v>261</v>
      </c>
      <c r="U20" s="40">
        <v>0</v>
      </c>
      <c r="V20" s="40">
        <v>918</v>
      </c>
      <c r="W20" s="40">
        <v>161731</v>
      </c>
      <c r="X20" s="40">
        <v>64348</v>
      </c>
      <c r="Y20" s="40">
        <v>107725</v>
      </c>
      <c r="Z20" s="40">
        <v>8000</v>
      </c>
      <c r="AA20" s="40">
        <v>25053</v>
      </c>
      <c r="AB20" s="40">
        <v>1791</v>
      </c>
      <c r="AC20" s="40">
        <v>237</v>
      </c>
      <c r="AD20" s="40">
        <v>0</v>
      </c>
      <c r="AE20" s="40">
        <v>1166</v>
      </c>
      <c r="AF20" s="40">
        <v>0</v>
      </c>
      <c r="AG20" s="40">
        <v>3523</v>
      </c>
      <c r="AH20" s="40">
        <v>0</v>
      </c>
      <c r="AI20" s="40">
        <v>0</v>
      </c>
      <c r="AJ20" s="40">
        <v>1988</v>
      </c>
      <c r="AK20" s="40">
        <v>0</v>
      </c>
      <c r="AL20" s="40">
        <v>21259</v>
      </c>
      <c r="AM20" s="40">
        <v>0</v>
      </c>
      <c r="AN20" s="40">
        <v>0</v>
      </c>
      <c r="AO20" s="40">
        <v>155051</v>
      </c>
      <c r="AP20" s="40">
        <v>130923</v>
      </c>
      <c r="AQ20" s="40">
        <v>2974</v>
      </c>
      <c r="AR20" s="40">
        <v>16424</v>
      </c>
      <c r="AS20" s="40">
        <v>57823</v>
      </c>
      <c r="AT20" s="40">
        <v>1676435</v>
      </c>
      <c r="AU20" s="40">
        <v>8283</v>
      </c>
      <c r="AV20" s="40">
        <v>25853</v>
      </c>
      <c r="AW20" s="40">
        <v>132669</v>
      </c>
      <c r="AX20" s="40">
        <v>548215</v>
      </c>
      <c r="AY20" s="40">
        <v>4163</v>
      </c>
      <c r="AZ20" s="40">
        <v>735457</v>
      </c>
      <c r="BA20" s="40">
        <v>434244</v>
      </c>
      <c r="BB20" s="40">
        <v>9402</v>
      </c>
      <c r="BC20" s="40">
        <v>143841</v>
      </c>
      <c r="BD20" s="40">
        <v>3232</v>
      </c>
      <c r="BE20" s="40">
        <v>21553</v>
      </c>
      <c r="BF20" s="40">
        <v>33433</v>
      </c>
      <c r="BG20" s="40">
        <v>101373</v>
      </c>
      <c r="BH20" s="40">
        <v>107238</v>
      </c>
      <c r="BI20" s="40">
        <v>146711</v>
      </c>
      <c r="BJ20" s="40">
        <v>136445</v>
      </c>
      <c r="BK20" s="40">
        <v>390241</v>
      </c>
      <c r="BL20" s="40">
        <v>3972876</v>
      </c>
      <c r="BM20" s="40">
        <v>4059825</v>
      </c>
      <c r="BN20" s="40">
        <v>8551645</v>
      </c>
      <c r="BO20" s="40">
        <v>4688426</v>
      </c>
      <c r="BP20" s="40">
        <v>68563</v>
      </c>
      <c r="BQ20" s="40">
        <v>11545845</v>
      </c>
      <c r="BR20" s="40">
        <v>46940</v>
      </c>
      <c r="BS20" s="40">
        <v>0</v>
      </c>
      <c r="BT20" s="40">
        <v>41464862</v>
      </c>
      <c r="BU20" s="40">
        <v>1211780943</v>
      </c>
      <c r="BV20" s="40">
        <v>0</v>
      </c>
      <c r="BW20" s="40">
        <v>0</v>
      </c>
      <c r="BX20" s="40">
        <v>1211780943</v>
      </c>
      <c r="BY20" s="40">
        <v>0</v>
      </c>
      <c r="BZ20" s="40">
        <v>0</v>
      </c>
      <c r="CA20" s="40">
        <v>0</v>
      </c>
      <c r="CB20" s="40">
        <v>0</v>
      </c>
      <c r="CC20" s="40">
        <v>2307161</v>
      </c>
      <c r="CD20" s="40">
        <v>1214088104</v>
      </c>
      <c r="CE20" s="40">
        <v>1255552966</v>
      </c>
      <c r="CF20" s="41"/>
      <c r="CG20" s="41"/>
      <c r="CH20" s="42"/>
    </row>
    <row r="21" spans="1:86">
      <c r="A21" s="38">
        <v>15</v>
      </c>
      <c r="B21" s="65" t="s">
        <v>81</v>
      </c>
      <c r="C21" s="39" t="s">
        <v>80</v>
      </c>
      <c r="D21" s="40">
        <v>43</v>
      </c>
      <c r="E21" s="40">
        <v>2</v>
      </c>
      <c r="F21" s="40">
        <v>0</v>
      </c>
      <c r="G21" s="40">
        <v>0</v>
      </c>
      <c r="H21" s="40">
        <v>185</v>
      </c>
      <c r="I21" s="40">
        <v>8</v>
      </c>
      <c r="J21" s="40">
        <v>0</v>
      </c>
      <c r="K21" s="40">
        <v>48</v>
      </c>
      <c r="L21" s="40">
        <v>0</v>
      </c>
      <c r="M21" s="40">
        <v>31</v>
      </c>
      <c r="N21" s="40">
        <v>0</v>
      </c>
      <c r="O21" s="40">
        <v>0</v>
      </c>
      <c r="P21" s="40">
        <v>0</v>
      </c>
      <c r="Q21" s="40">
        <v>0</v>
      </c>
      <c r="R21" s="40">
        <v>15610</v>
      </c>
      <c r="S21" s="40">
        <v>0</v>
      </c>
      <c r="T21" s="40">
        <v>0</v>
      </c>
      <c r="U21" s="40">
        <v>0</v>
      </c>
      <c r="V21" s="40">
        <v>0</v>
      </c>
      <c r="W21" s="40">
        <v>2</v>
      </c>
      <c r="X21" s="40">
        <v>96</v>
      </c>
      <c r="Y21" s="40">
        <v>0</v>
      </c>
      <c r="Z21" s="40">
        <v>3</v>
      </c>
      <c r="AA21" s="40">
        <v>12</v>
      </c>
      <c r="AB21" s="40">
        <v>2</v>
      </c>
      <c r="AC21" s="40">
        <v>0</v>
      </c>
      <c r="AD21" s="40">
        <v>0</v>
      </c>
      <c r="AE21" s="40">
        <v>4</v>
      </c>
      <c r="AF21" s="40">
        <v>0</v>
      </c>
      <c r="AG21" s="40">
        <v>0</v>
      </c>
      <c r="AH21" s="40">
        <v>0</v>
      </c>
      <c r="AI21" s="40">
        <v>0</v>
      </c>
      <c r="AJ21" s="40">
        <v>2</v>
      </c>
      <c r="AK21" s="40">
        <v>0</v>
      </c>
      <c r="AL21" s="40">
        <v>0</v>
      </c>
      <c r="AM21" s="40">
        <v>0</v>
      </c>
      <c r="AN21" s="40">
        <v>0</v>
      </c>
      <c r="AO21" s="40">
        <v>77</v>
      </c>
      <c r="AP21" s="40">
        <v>143</v>
      </c>
      <c r="AQ21" s="40">
        <v>0</v>
      </c>
      <c r="AR21" s="40">
        <v>21</v>
      </c>
      <c r="AS21" s="40">
        <v>21</v>
      </c>
      <c r="AT21" s="40">
        <v>8182</v>
      </c>
      <c r="AU21" s="40">
        <v>0</v>
      </c>
      <c r="AV21" s="40">
        <v>0</v>
      </c>
      <c r="AW21" s="40">
        <v>0</v>
      </c>
      <c r="AX21" s="40">
        <v>244</v>
      </c>
      <c r="AY21" s="40">
        <v>0</v>
      </c>
      <c r="AZ21" s="40">
        <v>0</v>
      </c>
      <c r="BA21" s="40">
        <v>0</v>
      </c>
      <c r="BB21" s="40">
        <v>0</v>
      </c>
      <c r="BC21" s="40">
        <v>371</v>
      </c>
      <c r="BD21" s="40">
        <v>0</v>
      </c>
      <c r="BE21" s="40">
        <v>4544</v>
      </c>
      <c r="BF21" s="40">
        <v>0</v>
      </c>
      <c r="BG21" s="40">
        <v>0</v>
      </c>
      <c r="BH21" s="40">
        <v>0</v>
      </c>
      <c r="BI21" s="40">
        <v>0</v>
      </c>
      <c r="BJ21" s="40">
        <v>0</v>
      </c>
      <c r="BK21" s="40">
        <v>4349</v>
      </c>
      <c r="BL21" s="40">
        <v>2301</v>
      </c>
      <c r="BM21" s="40">
        <v>34102</v>
      </c>
      <c r="BN21" s="40">
        <v>59003</v>
      </c>
      <c r="BO21" s="40">
        <v>8371</v>
      </c>
      <c r="BP21" s="40">
        <v>973</v>
      </c>
      <c r="BQ21" s="40">
        <v>211</v>
      </c>
      <c r="BR21" s="40">
        <v>0</v>
      </c>
      <c r="BS21" s="40">
        <v>0</v>
      </c>
      <c r="BT21" s="40">
        <v>138961</v>
      </c>
      <c r="BU21" s="40">
        <v>296478070</v>
      </c>
      <c r="BV21" s="40">
        <v>0</v>
      </c>
      <c r="BW21" s="40">
        <v>0</v>
      </c>
      <c r="BX21" s="40">
        <v>296478070</v>
      </c>
      <c r="BY21" s="40">
        <v>0</v>
      </c>
      <c r="BZ21" s="40">
        <v>0</v>
      </c>
      <c r="CA21" s="40">
        <v>0</v>
      </c>
      <c r="CB21" s="40">
        <v>0</v>
      </c>
      <c r="CC21" s="40">
        <v>415705</v>
      </c>
      <c r="CD21" s="40">
        <v>296893775</v>
      </c>
      <c r="CE21" s="40">
        <v>297032736</v>
      </c>
      <c r="CF21" s="41"/>
      <c r="CG21" s="41"/>
      <c r="CH21" s="42"/>
    </row>
    <row r="22" spans="1:86" ht="33.75">
      <c r="A22" s="38">
        <v>16</v>
      </c>
      <c r="B22" s="65" t="s">
        <v>79</v>
      </c>
      <c r="C22" s="39" t="s">
        <v>78</v>
      </c>
      <c r="D22" s="40">
        <v>925219</v>
      </c>
      <c r="E22" s="40">
        <v>0</v>
      </c>
      <c r="F22" s="40">
        <v>2902</v>
      </c>
      <c r="G22" s="40">
        <v>1018597</v>
      </c>
      <c r="H22" s="40">
        <v>206682</v>
      </c>
      <c r="I22" s="40">
        <v>9821</v>
      </c>
      <c r="J22" s="40">
        <v>0</v>
      </c>
      <c r="K22" s="40">
        <v>566779</v>
      </c>
      <c r="L22" s="40">
        <v>61580</v>
      </c>
      <c r="M22" s="40">
        <v>1224747</v>
      </c>
      <c r="N22" s="40">
        <v>100945</v>
      </c>
      <c r="O22" s="40">
        <v>0</v>
      </c>
      <c r="P22" s="40">
        <v>0</v>
      </c>
      <c r="Q22" s="40">
        <v>0</v>
      </c>
      <c r="R22" s="40">
        <v>0</v>
      </c>
      <c r="S22" s="40">
        <v>6811380</v>
      </c>
      <c r="T22" s="40">
        <v>9437168</v>
      </c>
      <c r="U22" s="40">
        <v>1142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199600</v>
      </c>
      <c r="AB22" s="40">
        <v>41868</v>
      </c>
      <c r="AC22" s="40">
        <v>5</v>
      </c>
      <c r="AD22" s="40">
        <v>1799</v>
      </c>
      <c r="AE22" s="40">
        <v>11872</v>
      </c>
      <c r="AF22" s="40">
        <v>0</v>
      </c>
      <c r="AG22" s="40">
        <v>0</v>
      </c>
      <c r="AH22" s="40">
        <v>0</v>
      </c>
      <c r="AI22" s="40">
        <v>0</v>
      </c>
      <c r="AJ22" s="40">
        <v>0</v>
      </c>
      <c r="AK22" s="40">
        <v>21621</v>
      </c>
      <c r="AL22" s="40">
        <v>901</v>
      </c>
      <c r="AM22" s="40">
        <v>27391120</v>
      </c>
      <c r="AN22" s="40">
        <v>44246</v>
      </c>
      <c r="AO22" s="40">
        <v>93752</v>
      </c>
      <c r="AP22" s="40">
        <v>706806</v>
      </c>
      <c r="AQ22" s="40">
        <v>0</v>
      </c>
      <c r="AR22" s="40">
        <v>24530</v>
      </c>
      <c r="AS22" s="40">
        <v>25084</v>
      </c>
      <c r="AT22" s="40">
        <v>161776870</v>
      </c>
      <c r="AU22" s="40">
        <v>0</v>
      </c>
      <c r="AV22" s="40">
        <v>1461382</v>
      </c>
      <c r="AW22" s="40">
        <v>573978</v>
      </c>
      <c r="AX22" s="40">
        <v>27092</v>
      </c>
      <c r="AY22" s="40">
        <v>0</v>
      </c>
      <c r="AZ22" s="40">
        <v>0</v>
      </c>
      <c r="BA22" s="40">
        <v>1506386</v>
      </c>
      <c r="BB22" s="40">
        <v>89443</v>
      </c>
      <c r="BC22" s="40">
        <v>0</v>
      </c>
      <c r="BD22" s="40">
        <v>437500</v>
      </c>
      <c r="BE22" s="40">
        <v>0</v>
      </c>
      <c r="BF22" s="40">
        <v>0</v>
      </c>
      <c r="BG22" s="40">
        <v>11573</v>
      </c>
      <c r="BH22" s="40">
        <v>0</v>
      </c>
      <c r="BI22" s="40">
        <v>0</v>
      </c>
      <c r="BJ22" s="40">
        <v>1669797</v>
      </c>
      <c r="BK22" s="40">
        <v>36472</v>
      </c>
      <c r="BL22" s="40">
        <v>54431</v>
      </c>
      <c r="BM22" s="40">
        <v>83314</v>
      </c>
      <c r="BN22" s="40">
        <v>82583</v>
      </c>
      <c r="BO22" s="40">
        <v>36907</v>
      </c>
      <c r="BP22" s="40">
        <v>39</v>
      </c>
      <c r="BQ22" s="40">
        <v>282616</v>
      </c>
      <c r="BR22" s="40">
        <v>0</v>
      </c>
      <c r="BS22" s="40">
        <v>0</v>
      </c>
      <c r="BT22" s="40">
        <v>217060549</v>
      </c>
      <c r="BU22" s="40">
        <v>4415282</v>
      </c>
      <c r="BV22" s="40">
        <v>0</v>
      </c>
      <c r="BW22" s="40">
        <v>0</v>
      </c>
      <c r="BX22" s="40">
        <v>4415282</v>
      </c>
      <c r="BY22" s="40">
        <v>234879</v>
      </c>
      <c r="BZ22" s="40">
        <v>0</v>
      </c>
      <c r="CA22" s="40">
        <v>0</v>
      </c>
      <c r="CB22" s="40">
        <v>234879</v>
      </c>
      <c r="CC22" s="40">
        <v>19237238</v>
      </c>
      <c r="CD22" s="40">
        <v>23887399</v>
      </c>
      <c r="CE22" s="40">
        <v>240947948</v>
      </c>
      <c r="CF22" s="41"/>
      <c r="CG22" s="41"/>
      <c r="CH22" s="42"/>
    </row>
    <row r="23" spans="1:86">
      <c r="A23" s="38">
        <v>17</v>
      </c>
      <c r="B23" s="65" t="s">
        <v>77</v>
      </c>
      <c r="C23" s="39" t="s">
        <v>76</v>
      </c>
      <c r="D23" s="40">
        <v>489830</v>
      </c>
      <c r="E23" s="40">
        <v>137</v>
      </c>
      <c r="F23" s="40">
        <v>283</v>
      </c>
      <c r="G23" s="40">
        <v>0</v>
      </c>
      <c r="H23" s="40">
        <v>11413</v>
      </c>
      <c r="I23" s="40">
        <v>536</v>
      </c>
      <c r="J23" s="40">
        <v>98</v>
      </c>
      <c r="K23" s="40">
        <v>1901</v>
      </c>
      <c r="L23" s="40">
        <v>2045</v>
      </c>
      <c r="M23" s="40">
        <v>617</v>
      </c>
      <c r="N23" s="40">
        <v>4925176</v>
      </c>
      <c r="O23" s="40">
        <v>14089619</v>
      </c>
      <c r="P23" s="40">
        <v>455</v>
      </c>
      <c r="Q23" s="40">
        <v>8010</v>
      </c>
      <c r="R23" s="40">
        <v>12367</v>
      </c>
      <c r="S23" s="40">
        <v>0</v>
      </c>
      <c r="T23" s="40">
        <v>7210418</v>
      </c>
      <c r="U23" s="40">
        <v>12545854</v>
      </c>
      <c r="V23" s="40">
        <v>0</v>
      </c>
      <c r="W23" s="40">
        <v>35907</v>
      </c>
      <c r="X23" s="40">
        <v>54588</v>
      </c>
      <c r="Y23" s="40">
        <v>501987</v>
      </c>
      <c r="Z23" s="40">
        <v>10258</v>
      </c>
      <c r="AA23" s="40">
        <v>225391</v>
      </c>
      <c r="AB23" s="40">
        <v>47242</v>
      </c>
      <c r="AC23" s="40">
        <v>20</v>
      </c>
      <c r="AD23" s="40">
        <v>6</v>
      </c>
      <c r="AE23" s="40">
        <v>73</v>
      </c>
      <c r="AF23" s="40">
        <v>0</v>
      </c>
      <c r="AG23" s="40">
        <v>23863</v>
      </c>
      <c r="AH23" s="40">
        <v>91211</v>
      </c>
      <c r="AI23" s="40">
        <v>18757</v>
      </c>
      <c r="AJ23" s="40">
        <v>218061</v>
      </c>
      <c r="AK23" s="40">
        <v>0</v>
      </c>
      <c r="AL23" s="40">
        <v>69</v>
      </c>
      <c r="AM23" s="40">
        <v>130</v>
      </c>
      <c r="AN23" s="40">
        <v>538</v>
      </c>
      <c r="AO23" s="40">
        <v>56009</v>
      </c>
      <c r="AP23" s="40">
        <v>105238</v>
      </c>
      <c r="AQ23" s="40">
        <v>14</v>
      </c>
      <c r="AR23" s="40">
        <v>1035</v>
      </c>
      <c r="AS23" s="40">
        <v>20674</v>
      </c>
      <c r="AT23" s="40">
        <v>19731881</v>
      </c>
      <c r="AU23" s="40">
        <v>38250</v>
      </c>
      <c r="AV23" s="40">
        <v>9946086</v>
      </c>
      <c r="AW23" s="40">
        <v>7172256</v>
      </c>
      <c r="AX23" s="40">
        <v>50923</v>
      </c>
      <c r="AY23" s="40">
        <v>0</v>
      </c>
      <c r="AZ23" s="40">
        <v>44380</v>
      </c>
      <c r="BA23" s="40">
        <v>454026</v>
      </c>
      <c r="BB23" s="40">
        <v>714900</v>
      </c>
      <c r="BC23" s="40">
        <v>4174136</v>
      </c>
      <c r="BD23" s="40">
        <v>784520</v>
      </c>
      <c r="BE23" s="40">
        <v>10000626</v>
      </c>
      <c r="BF23" s="40">
        <v>319920</v>
      </c>
      <c r="BG23" s="40">
        <v>8391018</v>
      </c>
      <c r="BH23" s="40">
        <v>2079547</v>
      </c>
      <c r="BI23" s="40">
        <v>813808</v>
      </c>
      <c r="BJ23" s="40">
        <v>945570</v>
      </c>
      <c r="BK23" s="40">
        <v>43868496</v>
      </c>
      <c r="BL23" s="40">
        <v>3300562</v>
      </c>
      <c r="BM23" s="40">
        <v>4159304</v>
      </c>
      <c r="BN23" s="40">
        <v>7600689</v>
      </c>
      <c r="BO23" s="40">
        <v>9169553</v>
      </c>
      <c r="BP23" s="40">
        <v>3844899</v>
      </c>
      <c r="BQ23" s="40">
        <v>1171043</v>
      </c>
      <c r="BR23" s="40">
        <v>4164578</v>
      </c>
      <c r="BS23" s="40">
        <v>0</v>
      </c>
      <c r="BT23" s="40">
        <v>183650801</v>
      </c>
      <c r="BU23" s="40">
        <v>71693554</v>
      </c>
      <c r="BV23" s="40">
        <v>0</v>
      </c>
      <c r="BW23" s="40">
        <v>0</v>
      </c>
      <c r="BX23" s="40">
        <v>71693554</v>
      </c>
      <c r="BY23" s="40">
        <v>0</v>
      </c>
      <c r="BZ23" s="40">
        <v>0</v>
      </c>
      <c r="CA23" s="40">
        <v>0</v>
      </c>
      <c r="CB23" s="40">
        <v>0</v>
      </c>
      <c r="CC23" s="40">
        <v>13431341</v>
      </c>
      <c r="CD23" s="40">
        <v>85124895</v>
      </c>
      <c r="CE23" s="40">
        <v>268775696</v>
      </c>
      <c r="CF23" s="41"/>
      <c r="CG23" s="41"/>
      <c r="CH23" s="42"/>
    </row>
    <row r="24" spans="1:86">
      <c r="A24" s="38">
        <v>18</v>
      </c>
      <c r="B24" s="65" t="s">
        <v>75</v>
      </c>
      <c r="C24" s="39" t="s">
        <v>74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2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27548</v>
      </c>
      <c r="V24" s="40">
        <v>0</v>
      </c>
      <c r="W24" s="40">
        <v>0</v>
      </c>
      <c r="X24" s="40">
        <v>37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0</v>
      </c>
      <c r="AP24" s="40">
        <v>4</v>
      </c>
      <c r="AQ24" s="40">
        <v>0</v>
      </c>
      <c r="AR24" s="40">
        <v>0</v>
      </c>
      <c r="AS24" s="40">
        <v>0</v>
      </c>
      <c r="AT24" s="40">
        <v>0</v>
      </c>
      <c r="AU24" s="40">
        <v>0</v>
      </c>
      <c r="AV24" s="40">
        <v>0</v>
      </c>
      <c r="AW24" s="40">
        <v>96</v>
      </c>
      <c r="AX24" s="40">
        <v>0</v>
      </c>
      <c r="AY24" s="40">
        <v>0</v>
      </c>
      <c r="AZ24" s="40">
        <v>0</v>
      </c>
      <c r="BA24" s="40">
        <v>3663</v>
      </c>
      <c r="BB24" s="40">
        <v>0</v>
      </c>
      <c r="BC24" s="40">
        <v>0</v>
      </c>
      <c r="BD24" s="40">
        <v>0</v>
      </c>
      <c r="BE24" s="40">
        <v>48603</v>
      </c>
      <c r="BF24" s="40">
        <v>33</v>
      </c>
      <c r="BG24" s="40">
        <v>0</v>
      </c>
      <c r="BH24" s="40">
        <v>0</v>
      </c>
      <c r="BI24" s="40">
        <v>0</v>
      </c>
      <c r="BJ24" s="40">
        <v>128</v>
      </c>
      <c r="BK24" s="40">
        <v>311</v>
      </c>
      <c r="BL24" s="40">
        <v>127</v>
      </c>
      <c r="BM24" s="40">
        <v>204053</v>
      </c>
      <c r="BN24" s="40">
        <v>90793</v>
      </c>
      <c r="BO24" s="40">
        <v>11664</v>
      </c>
      <c r="BP24" s="40">
        <v>112</v>
      </c>
      <c r="BQ24" s="40">
        <v>40</v>
      </c>
      <c r="BR24" s="40">
        <v>56868</v>
      </c>
      <c r="BS24" s="40">
        <v>0</v>
      </c>
      <c r="BT24" s="40">
        <v>444082</v>
      </c>
      <c r="BU24" s="40">
        <v>0</v>
      </c>
      <c r="BV24" s="40">
        <v>0</v>
      </c>
      <c r="BW24" s="40">
        <v>0</v>
      </c>
      <c r="BX24" s="40">
        <v>0</v>
      </c>
      <c r="BY24" s="40">
        <v>0</v>
      </c>
      <c r="BZ24" s="40">
        <v>0</v>
      </c>
      <c r="CA24" s="40">
        <v>0</v>
      </c>
      <c r="CB24" s="40">
        <v>0</v>
      </c>
      <c r="CC24" s="40">
        <v>2561</v>
      </c>
      <c r="CD24" s="40">
        <v>2561</v>
      </c>
      <c r="CE24" s="40">
        <v>446643</v>
      </c>
      <c r="CF24" s="41"/>
      <c r="CG24" s="41"/>
      <c r="CH24" s="42"/>
    </row>
    <row r="25" spans="1:86">
      <c r="A25" s="38">
        <v>19</v>
      </c>
      <c r="B25" s="65" t="s">
        <v>73</v>
      </c>
      <c r="C25" s="39" t="s">
        <v>72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0</v>
      </c>
      <c r="AP25" s="40">
        <v>0</v>
      </c>
      <c r="AQ25" s="40">
        <v>0</v>
      </c>
      <c r="AR25" s="40">
        <v>0</v>
      </c>
      <c r="AS25" s="40">
        <v>0</v>
      </c>
      <c r="AT25" s="40">
        <v>0</v>
      </c>
      <c r="AU25" s="40">
        <v>0</v>
      </c>
      <c r="AV25" s="40">
        <v>0</v>
      </c>
      <c r="AW25" s="40">
        <v>0</v>
      </c>
      <c r="AX25" s="40">
        <v>0</v>
      </c>
      <c r="AY25" s="40">
        <v>0</v>
      </c>
      <c r="AZ25" s="40">
        <v>0</v>
      </c>
      <c r="BA25" s="40">
        <v>0</v>
      </c>
      <c r="BB25" s="40">
        <v>0</v>
      </c>
      <c r="BC25" s="40">
        <v>0</v>
      </c>
      <c r="BD25" s="40">
        <v>0</v>
      </c>
      <c r="BE25" s="40">
        <v>0</v>
      </c>
      <c r="BF25" s="40">
        <v>0</v>
      </c>
      <c r="BG25" s="40">
        <v>0</v>
      </c>
      <c r="BH25" s="40">
        <v>0</v>
      </c>
      <c r="BI25" s="40">
        <v>0</v>
      </c>
      <c r="BJ25" s="40">
        <v>0</v>
      </c>
      <c r="BK25" s="40">
        <v>0</v>
      </c>
      <c r="BL25" s="40">
        <v>0</v>
      </c>
      <c r="BM25" s="40">
        <v>0</v>
      </c>
      <c r="BN25" s="40">
        <v>0</v>
      </c>
      <c r="BO25" s="40">
        <v>0</v>
      </c>
      <c r="BP25" s="40">
        <v>0</v>
      </c>
      <c r="BQ25" s="40">
        <v>0</v>
      </c>
      <c r="BR25" s="40">
        <v>0</v>
      </c>
      <c r="BS25" s="40">
        <v>0</v>
      </c>
      <c r="BT25" s="40">
        <v>0</v>
      </c>
      <c r="BU25" s="40">
        <v>0</v>
      </c>
      <c r="BV25" s="40">
        <v>0</v>
      </c>
      <c r="BW25" s="40">
        <v>0</v>
      </c>
      <c r="BX25" s="40">
        <v>0</v>
      </c>
      <c r="BY25" s="40">
        <v>0</v>
      </c>
      <c r="BZ25" s="40">
        <v>0</v>
      </c>
      <c r="CA25" s="40">
        <v>0</v>
      </c>
      <c r="CB25" s="40">
        <v>0</v>
      </c>
      <c r="CC25" s="40">
        <v>0</v>
      </c>
      <c r="CD25" s="40">
        <v>0</v>
      </c>
      <c r="CE25" s="40">
        <v>0</v>
      </c>
      <c r="CF25" s="41"/>
      <c r="CG25" s="41"/>
      <c r="CH25" s="42"/>
    </row>
    <row r="26" spans="1:86">
      <c r="A26" s="38">
        <v>20</v>
      </c>
      <c r="B26" s="65" t="s">
        <v>71</v>
      </c>
      <c r="C26" s="39" t="s">
        <v>70</v>
      </c>
      <c r="D26" s="40">
        <v>33973704</v>
      </c>
      <c r="E26" s="40">
        <v>45126</v>
      </c>
      <c r="F26" s="40">
        <v>25986</v>
      </c>
      <c r="G26" s="40">
        <v>5372395</v>
      </c>
      <c r="H26" s="40">
        <v>8406448</v>
      </c>
      <c r="I26" s="40">
        <v>399090</v>
      </c>
      <c r="J26" s="40">
        <v>754403</v>
      </c>
      <c r="K26" s="40">
        <v>1340670</v>
      </c>
      <c r="L26" s="40">
        <v>1338985</v>
      </c>
      <c r="M26" s="40">
        <v>439496</v>
      </c>
      <c r="N26" s="40">
        <v>1736725</v>
      </c>
      <c r="O26" s="40">
        <v>0</v>
      </c>
      <c r="P26" s="40">
        <v>5549</v>
      </c>
      <c r="Q26" s="40">
        <v>3435</v>
      </c>
      <c r="R26" s="40">
        <v>626</v>
      </c>
      <c r="S26" s="40">
        <v>4318</v>
      </c>
      <c r="T26" s="40">
        <v>103826</v>
      </c>
      <c r="U26" s="40">
        <v>391</v>
      </c>
      <c r="V26" s="40">
        <v>215296</v>
      </c>
      <c r="W26" s="40">
        <v>3829390</v>
      </c>
      <c r="X26" s="40">
        <v>141499</v>
      </c>
      <c r="Y26" s="40">
        <v>7874</v>
      </c>
      <c r="Z26" s="40">
        <v>17583</v>
      </c>
      <c r="AA26" s="40">
        <v>591141</v>
      </c>
      <c r="AB26" s="40">
        <v>314063</v>
      </c>
      <c r="AC26" s="40">
        <v>144</v>
      </c>
      <c r="AD26" s="40">
        <v>440</v>
      </c>
      <c r="AE26" s="40">
        <v>194378</v>
      </c>
      <c r="AF26" s="40">
        <v>306</v>
      </c>
      <c r="AG26" s="40">
        <v>2237</v>
      </c>
      <c r="AH26" s="40">
        <v>487</v>
      </c>
      <c r="AI26" s="40">
        <v>751</v>
      </c>
      <c r="AJ26" s="40">
        <v>5850</v>
      </c>
      <c r="AK26" s="40">
        <v>40970</v>
      </c>
      <c r="AL26" s="40">
        <v>69047</v>
      </c>
      <c r="AM26" s="40">
        <v>3160</v>
      </c>
      <c r="AN26" s="40">
        <v>3529</v>
      </c>
      <c r="AO26" s="40">
        <v>228993</v>
      </c>
      <c r="AP26" s="40">
        <v>3414311</v>
      </c>
      <c r="AQ26" s="40">
        <v>8332542</v>
      </c>
      <c r="AR26" s="40">
        <v>1632014</v>
      </c>
      <c r="AS26" s="40">
        <v>1207484</v>
      </c>
      <c r="AT26" s="40">
        <v>16236457</v>
      </c>
      <c r="AU26" s="40">
        <v>1110473</v>
      </c>
      <c r="AV26" s="40">
        <v>40500772</v>
      </c>
      <c r="AW26" s="40">
        <v>18610726</v>
      </c>
      <c r="AX26" s="40">
        <v>137556782</v>
      </c>
      <c r="AY26" s="40">
        <v>240048</v>
      </c>
      <c r="AZ26" s="40">
        <v>71252986</v>
      </c>
      <c r="BA26" s="40">
        <v>91373071</v>
      </c>
      <c r="BB26" s="40">
        <v>504591</v>
      </c>
      <c r="BC26" s="40">
        <v>748706</v>
      </c>
      <c r="BD26" s="40">
        <v>122794</v>
      </c>
      <c r="BE26" s="40">
        <v>1594521</v>
      </c>
      <c r="BF26" s="40">
        <v>3219899</v>
      </c>
      <c r="BG26" s="40">
        <v>479213</v>
      </c>
      <c r="BH26" s="40">
        <v>216733</v>
      </c>
      <c r="BI26" s="40">
        <v>82336</v>
      </c>
      <c r="BJ26" s="40">
        <v>1535176</v>
      </c>
      <c r="BK26" s="40">
        <v>6012140</v>
      </c>
      <c r="BL26" s="40">
        <v>9032299</v>
      </c>
      <c r="BM26" s="40">
        <v>50864334</v>
      </c>
      <c r="BN26" s="40">
        <v>10156900</v>
      </c>
      <c r="BO26" s="40">
        <v>16637400</v>
      </c>
      <c r="BP26" s="40">
        <v>405009</v>
      </c>
      <c r="BQ26" s="40">
        <v>1663561</v>
      </c>
      <c r="BR26" s="40">
        <v>2306145</v>
      </c>
      <c r="BS26" s="40">
        <v>0</v>
      </c>
      <c r="BT26" s="40">
        <v>556667734</v>
      </c>
      <c r="BU26" s="40">
        <v>217252555</v>
      </c>
      <c r="BV26" s="40">
        <v>0</v>
      </c>
      <c r="BW26" s="40">
        <v>0</v>
      </c>
      <c r="BX26" s="40">
        <v>217252555</v>
      </c>
      <c r="BY26" s="40">
        <v>0</v>
      </c>
      <c r="BZ26" s="40">
        <v>0</v>
      </c>
      <c r="CA26" s="40">
        <v>0</v>
      </c>
      <c r="CB26" s="40">
        <v>0</v>
      </c>
      <c r="CC26" s="40">
        <v>167679037</v>
      </c>
      <c r="CD26" s="40">
        <v>384931592</v>
      </c>
      <c r="CE26" s="40">
        <v>941599326</v>
      </c>
      <c r="CF26" s="41"/>
      <c r="CG26" s="41"/>
      <c r="CH26" s="42"/>
    </row>
    <row r="27" spans="1:86" ht="22.5">
      <c r="A27" s="38">
        <v>21</v>
      </c>
      <c r="B27" s="65" t="s">
        <v>99</v>
      </c>
      <c r="C27" s="39" t="s">
        <v>176</v>
      </c>
      <c r="D27" s="40">
        <v>291097405</v>
      </c>
      <c r="E27" s="40">
        <v>24</v>
      </c>
      <c r="F27" s="40">
        <v>84314</v>
      </c>
      <c r="G27" s="40">
        <v>4231814</v>
      </c>
      <c r="H27" s="40">
        <v>29077144</v>
      </c>
      <c r="I27" s="40">
        <v>1382211</v>
      </c>
      <c r="J27" s="40">
        <v>19004098</v>
      </c>
      <c r="K27" s="40">
        <v>65158626</v>
      </c>
      <c r="L27" s="40">
        <v>249225</v>
      </c>
      <c r="M27" s="40">
        <v>1104607</v>
      </c>
      <c r="N27" s="40">
        <v>1485996</v>
      </c>
      <c r="O27" s="40">
        <v>0</v>
      </c>
      <c r="P27" s="40">
        <v>26796</v>
      </c>
      <c r="Q27" s="40">
        <v>570</v>
      </c>
      <c r="R27" s="40">
        <v>306758</v>
      </c>
      <c r="S27" s="40">
        <v>777143</v>
      </c>
      <c r="T27" s="40">
        <v>1757381</v>
      </c>
      <c r="U27" s="40">
        <v>615384</v>
      </c>
      <c r="V27" s="40">
        <v>1589</v>
      </c>
      <c r="W27" s="40">
        <v>16349906</v>
      </c>
      <c r="X27" s="40">
        <v>17955279</v>
      </c>
      <c r="Y27" s="40">
        <v>2227949</v>
      </c>
      <c r="Z27" s="40">
        <v>11377224</v>
      </c>
      <c r="AA27" s="40">
        <v>3602521</v>
      </c>
      <c r="AB27" s="40">
        <v>56004</v>
      </c>
      <c r="AC27" s="40">
        <v>4013</v>
      </c>
      <c r="AD27" s="40">
        <v>9001</v>
      </c>
      <c r="AE27" s="40">
        <v>1536820</v>
      </c>
      <c r="AF27" s="40">
        <v>0</v>
      </c>
      <c r="AG27" s="40">
        <v>17199</v>
      </c>
      <c r="AH27" s="40">
        <v>6213</v>
      </c>
      <c r="AI27" s="40">
        <v>101394</v>
      </c>
      <c r="AJ27" s="40">
        <v>370851</v>
      </c>
      <c r="AK27" s="40">
        <v>7401170</v>
      </c>
      <c r="AL27" s="40">
        <v>5898889</v>
      </c>
      <c r="AM27" s="40">
        <v>516431</v>
      </c>
      <c r="AN27" s="40">
        <v>2728</v>
      </c>
      <c r="AO27" s="40">
        <v>381752</v>
      </c>
      <c r="AP27" s="40">
        <v>2624203</v>
      </c>
      <c r="AQ27" s="40">
        <v>213198</v>
      </c>
      <c r="AR27" s="40">
        <v>1097749</v>
      </c>
      <c r="AS27" s="40">
        <v>234525</v>
      </c>
      <c r="AT27" s="40">
        <v>22629645</v>
      </c>
      <c r="AU27" s="40">
        <v>128736</v>
      </c>
      <c r="AV27" s="40">
        <v>5154276</v>
      </c>
      <c r="AW27" s="40">
        <v>4434730</v>
      </c>
      <c r="AX27" s="40">
        <v>18296872</v>
      </c>
      <c r="AY27" s="40">
        <v>0</v>
      </c>
      <c r="AZ27" s="40">
        <v>1320527</v>
      </c>
      <c r="BA27" s="40">
        <v>830698</v>
      </c>
      <c r="BB27" s="40">
        <v>8806</v>
      </c>
      <c r="BC27" s="40">
        <v>3797892</v>
      </c>
      <c r="BD27" s="40">
        <v>3592261</v>
      </c>
      <c r="BE27" s="40">
        <v>2018425</v>
      </c>
      <c r="BF27" s="40">
        <v>0</v>
      </c>
      <c r="BG27" s="40">
        <v>957433</v>
      </c>
      <c r="BH27" s="40">
        <v>49075</v>
      </c>
      <c r="BI27" s="40">
        <v>21058</v>
      </c>
      <c r="BJ27" s="40">
        <v>16861444</v>
      </c>
      <c r="BK27" s="40">
        <v>10222863</v>
      </c>
      <c r="BL27" s="40">
        <v>14163861</v>
      </c>
      <c r="BM27" s="40">
        <v>8557429</v>
      </c>
      <c r="BN27" s="40">
        <v>33846333</v>
      </c>
      <c r="BO27" s="40">
        <v>55994735</v>
      </c>
      <c r="BP27" s="40">
        <v>364314</v>
      </c>
      <c r="BQ27" s="40">
        <v>9657692</v>
      </c>
      <c r="BR27" s="40">
        <v>2614669</v>
      </c>
      <c r="BS27" s="40">
        <v>0</v>
      </c>
      <c r="BT27" s="40">
        <v>703869878</v>
      </c>
      <c r="BU27" s="40">
        <v>538341930</v>
      </c>
      <c r="BV27" s="40">
        <v>0</v>
      </c>
      <c r="BW27" s="40">
        <v>0</v>
      </c>
      <c r="BX27" s="40">
        <v>538341930</v>
      </c>
      <c r="BY27" s="40">
        <v>0</v>
      </c>
      <c r="BZ27" s="40">
        <v>0</v>
      </c>
      <c r="CA27" s="40">
        <v>0</v>
      </c>
      <c r="CB27" s="40">
        <v>0</v>
      </c>
      <c r="CC27" s="40">
        <v>157889760</v>
      </c>
      <c r="CD27" s="40">
        <v>696231690</v>
      </c>
      <c r="CE27" s="40">
        <v>1400101568</v>
      </c>
      <c r="CF27" s="41"/>
      <c r="CG27" s="41"/>
      <c r="CH27" s="42"/>
    </row>
    <row r="28" spans="1:86" ht="22.5">
      <c r="A28" s="38">
        <v>22</v>
      </c>
      <c r="B28" s="65" t="s">
        <v>69</v>
      </c>
      <c r="C28" s="39" t="s">
        <v>68</v>
      </c>
      <c r="D28" s="40">
        <v>1590660</v>
      </c>
      <c r="E28" s="40">
        <v>8</v>
      </c>
      <c r="F28" s="40">
        <v>0</v>
      </c>
      <c r="G28" s="40">
        <v>0</v>
      </c>
      <c r="H28" s="40">
        <v>65032</v>
      </c>
      <c r="I28" s="40">
        <v>3090</v>
      </c>
      <c r="J28" s="40">
        <v>0</v>
      </c>
      <c r="K28" s="40">
        <v>45343</v>
      </c>
      <c r="L28" s="40">
        <v>0</v>
      </c>
      <c r="M28" s="40">
        <v>6072</v>
      </c>
      <c r="N28" s="40">
        <v>916176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102994</v>
      </c>
      <c r="X28" s="40">
        <v>0</v>
      </c>
      <c r="Y28" s="40">
        <v>0</v>
      </c>
      <c r="Z28" s="40">
        <v>0</v>
      </c>
      <c r="AA28" s="40">
        <v>47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40">
        <v>0</v>
      </c>
      <c r="AJ28" s="40">
        <v>22</v>
      </c>
      <c r="AK28" s="40">
        <v>0</v>
      </c>
      <c r="AL28" s="40">
        <v>0</v>
      </c>
      <c r="AM28" s="40">
        <v>0</v>
      </c>
      <c r="AN28" s="40">
        <v>0</v>
      </c>
      <c r="AO28" s="40">
        <v>72009</v>
      </c>
      <c r="AP28" s="40">
        <v>13520</v>
      </c>
      <c r="AQ28" s="40">
        <v>98</v>
      </c>
      <c r="AR28" s="40">
        <v>1817</v>
      </c>
      <c r="AS28" s="40">
        <v>62564</v>
      </c>
      <c r="AT28" s="40">
        <v>5302</v>
      </c>
      <c r="AU28" s="40">
        <v>2967</v>
      </c>
      <c r="AV28" s="40">
        <v>388060</v>
      </c>
      <c r="AW28" s="40">
        <v>1482139</v>
      </c>
      <c r="AX28" s="40">
        <v>1276</v>
      </c>
      <c r="AY28" s="40">
        <v>0</v>
      </c>
      <c r="AZ28" s="40">
        <v>7071</v>
      </c>
      <c r="BA28" s="40">
        <v>0</v>
      </c>
      <c r="BB28" s="40">
        <v>0</v>
      </c>
      <c r="BC28" s="40">
        <v>427</v>
      </c>
      <c r="BD28" s="40">
        <v>232</v>
      </c>
      <c r="BE28" s="40">
        <v>36</v>
      </c>
      <c r="BF28" s="40">
        <v>0</v>
      </c>
      <c r="BG28" s="40">
        <v>948</v>
      </c>
      <c r="BH28" s="40">
        <v>0</v>
      </c>
      <c r="BI28" s="40">
        <v>0</v>
      </c>
      <c r="BJ28" s="40">
        <v>0</v>
      </c>
      <c r="BK28" s="40">
        <v>28472838</v>
      </c>
      <c r="BL28" s="40">
        <v>5253</v>
      </c>
      <c r="BM28" s="40">
        <v>8859450</v>
      </c>
      <c r="BN28" s="40">
        <v>4673856</v>
      </c>
      <c r="BO28" s="40">
        <v>563388217</v>
      </c>
      <c r="BP28" s="40">
        <v>1128678</v>
      </c>
      <c r="BQ28" s="40">
        <v>183279</v>
      </c>
      <c r="BR28" s="40">
        <v>91168</v>
      </c>
      <c r="BS28" s="40">
        <v>0</v>
      </c>
      <c r="BT28" s="40">
        <v>611570649</v>
      </c>
      <c r="BU28" s="40">
        <v>1420284266</v>
      </c>
      <c r="BV28" s="40">
        <v>0</v>
      </c>
      <c r="BW28" s="40">
        <v>0</v>
      </c>
      <c r="BX28" s="40">
        <v>1420284266</v>
      </c>
      <c r="BY28" s="40">
        <v>0</v>
      </c>
      <c r="BZ28" s="40">
        <v>0</v>
      </c>
      <c r="CA28" s="40">
        <v>0</v>
      </c>
      <c r="CB28" s="40">
        <v>0</v>
      </c>
      <c r="CC28" s="40">
        <v>18588490</v>
      </c>
      <c r="CD28" s="40">
        <v>1438872756</v>
      </c>
      <c r="CE28" s="40">
        <v>2050443405</v>
      </c>
      <c r="CF28" s="41"/>
      <c r="CG28" s="41"/>
      <c r="CH28" s="42"/>
    </row>
    <row r="29" spans="1:86">
      <c r="A29" s="38">
        <v>23</v>
      </c>
      <c r="B29" s="65" t="s">
        <v>98</v>
      </c>
      <c r="C29" s="39" t="s">
        <v>175</v>
      </c>
      <c r="D29" s="40">
        <v>858661</v>
      </c>
      <c r="E29" s="40">
        <v>426</v>
      </c>
      <c r="F29" s="40">
        <v>633</v>
      </c>
      <c r="G29" s="40">
        <v>2804754</v>
      </c>
      <c r="H29" s="40">
        <v>9960746</v>
      </c>
      <c r="I29" s="40">
        <v>385572</v>
      </c>
      <c r="J29" s="40">
        <v>418544</v>
      </c>
      <c r="K29" s="40">
        <v>1238612</v>
      </c>
      <c r="L29" s="40">
        <v>315557</v>
      </c>
      <c r="M29" s="40">
        <v>346181</v>
      </c>
      <c r="N29" s="40">
        <v>9878372</v>
      </c>
      <c r="O29" s="40">
        <v>0</v>
      </c>
      <c r="P29" s="40">
        <v>663</v>
      </c>
      <c r="Q29" s="40">
        <v>1695</v>
      </c>
      <c r="R29" s="40">
        <v>144266</v>
      </c>
      <c r="S29" s="40">
        <v>632</v>
      </c>
      <c r="T29" s="40">
        <v>3844066</v>
      </c>
      <c r="U29" s="40">
        <v>886</v>
      </c>
      <c r="V29" s="40">
        <v>905</v>
      </c>
      <c r="W29" s="40">
        <v>464759</v>
      </c>
      <c r="X29" s="40">
        <v>67733</v>
      </c>
      <c r="Y29" s="40">
        <v>34750</v>
      </c>
      <c r="Z29" s="40">
        <v>23786818</v>
      </c>
      <c r="AA29" s="40">
        <v>7353307</v>
      </c>
      <c r="AB29" s="40">
        <v>18702</v>
      </c>
      <c r="AC29" s="40">
        <v>6099</v>
      </c>
      <c r="AD29" s="40">
        <v>0</v>
      </c>
      <c r="AE29" s="40">
        <v>5756</v>
      </c>
      <c r="AF29" s="40">
        <v>285</v>
      </c>
      <c r="AG29" s="40">
        <v>375791</v>
      </c>
      <c r="AH29" s="40">
        <v>198570</v>
      </c>
      <c r="AI29" s="40">
        <v>8577</v>
      </c>
      <c r="AJ29" s="40">
        <v>1705254</v>
      </c>
      <c r="AK29" s="40">
        <v>78563566</v>
      </c>
      <c r="AL29" s="40">
        <v>283470</v>
      </c>
      <c r="AM29" s="40">
        <v>267021</v>
      </c>
      <c r="AN29" s="40">
        <v>3903</v>
      </c>
      <c r="AO29" s="40">
        <v>171529</v>
      </c>
      <c r="AP29" s="40">
        <v>806905</v>
      </c>
      <c r="AQ29" s="40">
        <v>1338</v>
      </c>
      <c r="AR29" s="40">
        <v>73018</v>
      </c>
      <c r="AS29" s="40">
        <v>7559319</v>
      </c>
      <c r="AT29" s="40">
        <v>181031648</v>
      </c>
      <c r="AU29" s="40">
        <v>1063459</v>
      </c>
      <c r="AV29" s="40">
        <v>83681690</v>
      </c>
      <c r="AW29" s="40">
        <v>11147595</v>
      </c>
      <c r="AX29" s="40">
        <v>33364342</v>
      </c>
      <c r="AY29" s="40">
        <v>919246</v>
      </c>
      <c r="AZ29" s="40">
        <v>12373906</v>
      </c>
      <c r="BA29" s="40">
        <v>2019898</v>
      </c>
      <c r="BB29" s="40">
        <v>81440</v>
      </c>
      <c r="BC29" s="40">
        <v>62290</v>
      </c>
      <c r="BD29" s="40">
        <v>5637706</v>
      </c>
      <c r="BE29" s="40">
        <v>456688</v>
      </c>
      <c r="BF29" s="40">
        <v>5935427</v>
      </c>
      <c r="BG29" s="40">
        <v>354976</v>
      </c>
      <c r="BH29" s="40">
        <v>185590</v>
      </c>
      <c r="BI29" s="40">
        <v>41260</v>
      </c>
      <c r="BJ29" s="40">
        <v>2154079</v>
      </c>
      <c r="BK29" s="40">
        <v>3622400</v>
      </c>
      <c r="BL29" s="40">
        <v>40192614</v>
      </c>
      <c r="BM29" s="40">
        <v>13500576</v>
      </c>
      <c r="BN29" s="40">
        <v>15980753</v>
      </c>
      <c r="BO29" s="40">
        <v>47889054</v>
      </c>
      <c r="BP29" s="40">
        <v>171235</v>
      </c>
      <c r="BQ29" s="40">
        <v>368045</v>
      </c>
      <c r="BR29" s="40">
        <v>3352210</v>
      </c>
      <c r="BS29" s="40">
        <v>0</v>
      </c>
      <c r="BT29" s="40">
        <v>617545768</v>
      </c>
      <c r="BU29" s="40">
        <v>158110601</v>
      </c>
      <c r="BV29" s="40">
        <v>0</v>
      </c>
      <c r="BW29" s="40">
        <v>0</v>
      </c>
      <c r="BX29" s="40">
        <v>158110601</v>
      </c>
      <c r="BY29" s="40">
        <v>0</v>
      </c>
      <c r="BZ29" s="40">
        <v>0</v>
      </c>
      <c r="CA29" s="40">
        <v>0</v>
      </c>
      <c r="CB29" s="40">
        <v>0</v>
      </c>
      <c r="CC29" s="40">
        <v>31366243</v>
      </c>
      <c r="CD29" s="40">
        <v>189476844</v>
      </c>
      <c r="CE29" s="40">
        <v>807022612</v>
      </c>
      <c r="CF29" s="41"/>
      <c r="CG29" s="41"/>
      <c r="CH29" s="42"/>
    </row>
    <row r="30" spans="1:86" ht="22.5">
      <c r="A30" s="38">
        <v>24</v>
      </c>
      <c r="B30" s="65" t="s">
        <v>97</v>
      </c>
      <c r="C30" s="39" t="s">
        <v>67</v>
      </c>
      <c r="D30" s="40">
        <v>787153</v>
      </c>
      <c r="E30" s="40">
        <v>0</v>
      </c>
      <c r="F30" s="40">
        <v>17265</v>
      </c>
      <c r="G30" s="40">
        <v>2539</v>
      </c>
      <c r="H30" s="40">
        <v>3764985</v>
      </c>
      <c r="I30" s="40">
        <v>179130</v>
      </c>
      <c r="J30" s="40">
        <v>421361</v>
      </c>
      <c r="K30" s="40">
        <v>5511176</v>
      </c>
      <c r="L30" s="40">
        <v>1766775</v>
      </c>
      <c r="M30" s="40">
        <v>2233386</v>
      </c>
      <c r="N30" s="40">
        <v>9328133</v>
      </c>
      <c r="O30" s="40">
        <v>0</v>
      </c>
      <c r="P30" s="40">
        <v>0</v>
      </c>
      <c r="Q30" s="40">
        <v>0</v>
      </c>
      <c r="R30" s="40">
        <v>29</v>
      </c>
      <c r="S30" s="40">
        <v>0</v>
      </c>
      <c r="T30" s="40">
        <v>0</v>
      </c>
      <c r="U30" s="40">
        <v>0</v>
      </c>
      <c r="V30" s="40">
        <v>217179</v>
      </c>
      <c r="W30" s="40">
        <v>996611</v>
      </c>
      <c r="X30" s="40">
        <v>63223</v>
      </c>
      <c r="Y30" s="40">
        <v>1376535</v>
      </c>
      <c r="Z30" s="40">
        <v>19263</v>
      </c>
      <c r="AA30" s="40">
        <v>55027093</v>
      </c>
      <c r="AB30" s="40">
        <v>4044092</v>
      </c>
      <c r="AC30" s="40">
        <v>0</v>
      </c>
      <c r="AD30" s="40">
        <v>31526</v>
      </c>
      <c r="AE30" s="40">
        <v>371237</v>
      </c>
      <c r="AF30" s="40">
        <v>8861</v>
      </c>
      <c r="AG30" s="40">
        <v>35780</v>
      </c>
      <c r="AH30" s="40">
        <v>38</v>
      </c>
      <c r="AI30" s="40">
        <v>1885</v>
      </c>
      <c r="AJ30" s="40">
        <v>38144</v>
      </c>
      <c r="AK30" s="40">
        <v>5613936</v>
      </c>
      <c r="AL30" s="40">
        <v>638459</v>
      </c>
      <c r="AM30" s="40">
        <v>13798</v>
      </c>
      <c r="AN30" s="40">
        <v>1021</v>
      </c>
      <c r="AO30" s="40">
        <v>914081</v>
      </c>
      <c r="AP30" s="40">
        <v>7930125</v>
      </c>
      <c r="AQ30" s="40">
        <v>0</v>
      </c>
      <c r="AR30" s="40">
        <v>476688</v>
      </c>
      <c r="AS30" s="40">
        <v>191878</v>
      </c>
      <c r="AT30" s="40">
        <v>439028362</v>
      </c>
      <c r="AU30" s="40">
        <v>0</v>
      </c>
      <c r="AV30" s="40">
        <v>20536617</v>
      </c>
      <c r="AW30" s="40">
        <v>2398021</v>
      </c>
      <c r="AX30" s="40">
        <v>1464355</v>
      </c>
      <c r="AY30" s="40">
        <v>0</v>
      </c>
      <c r="AZ30" s="40">
        <v>758851</v>
      </c>
      <c r="BA30" s="40">
        <v>873021</v>
      </c>
      <c r="BB30" s="40">
        <v>0</v>
      </c>
      <c r="BC30" s="40">
        <v>9042077</v>
      </c>
      <c r="BD30" s="40">
        <v>11297452</v>
      </c>
      <c r="BE30" s="40">
        <v>482</v>
      </c>
      <c r="BF30" s="40">
        <v>28844</v>
      </c>
      <c r="BG30" s="40">
        <v>2086</v>
      </c>
      <c r="BH30" s="40">
        <v>0</v>
      </c>
      <c r="BI30" s="40">
        <v>381</v>
      </c>
      <c r="BJ30" s="40">
        <v>1177364</v>
      </c>
      <c r="BK30" s="40">
        <v>2361733</v>
      </c>
      <c r="BL30" s="40">
        <v>4651040</v>
      </c>
      <c r="BM30" s="40">
        <v>874347</v>
      </c>
      <c r="BN30" s="40">
        <v>5188206</v>
      </c>
      <c r="BO30" s="40">
        <v>18940492</v>
      </c>
      <c r="BP30" s="40">
        <v>50562</v>
      </c>
      <c r="BQ30" s="40">
        <v>2836191</v>
      </c>
      <c r="BR30" s="40">
        <v>2166274</v>
      </c>
      <c r="BS30" s="40">
        <v>0</v>
      </c>
      <c r="BT30" s="40">
        <v>625700143</v>
      </c>
      <c r="BU30" s="40">
        <v>74857796</v>
      </c>
      <c r="BV30" s="40">
        <v>0</v>
      </c>
      <c r="BW30" s="40">
        <v>0</v>
      </c>
      <c r="BX30" s="40">
        <v>74857796</v>
      </c>
      <c r="BY30" s="40">
        <v>626506</v>
      </c>
      <c r="BZ30" s="40">
        <v>0</v>
      </c>
      <c r="CA30" s="40">
        <v>0</v>
      </c>
      <c r="CB30" s="40">
        <v>626506</v>
      </c>
      <c r="CC30" s="40">
        <v>36018067</v>
      </c>
      <c r="CD30" s="40">
        <v>111502369</v>
      </c>
      <c r="CE30" s="40">
        <v>737202512</v>
      </c>
      <c r="CF30" s="41"/>
      <c r="CG30" s="41"/>
      <c r="CH30" s="42"/>
    </row>
    <row r="31" spans="1:86" ht="22.5">
      <c r="A31" s="38">
        <v>25</v>
      </c>
      <c r="B31" s="65" t="s">
        <v>174</v>
      </c>
      <c r="C31" s="39" t="s">
        <v>173</v>
      </c>
      <c r="D31" s="40">
        <v>0</v>
      </c>
      <c r="E31" s="40">
        <v>0</v>
      </c>
      <c r="F31" s="40">
        <v>0</v>
      </c>
      <c r="G31" s="40">
        <v>1800142</v>
      </c>
      <c r="H31" s="40">
        <v>1631586</v>
      </c>
      <c r="I31" s="40">
        <v>0</v>
      </c>
      <c r="J31" s="40">
        <v>74184670</v>
      </c>
      <c r="K31" s="40">
        <v>39670992</v>
      </c>
      <c r="L31" s="40">
        <v>9159634</v>
      </c>
      <c r="M31" s="40">
        <v>111369078</v>
      </c>
      <c r="N31" s="40">
        <v>16447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20142803</v>
      </c>
      <c r="W31" s="40">
        <v>46376263</v>
      </c>
      <c r="X31" s="40">
        <v>15009429</v>
      </c>
      <c r="Y31" s="40">
        <v>0</v>
      </c>
      <c r="Z31" s="40">
        <v>0</v>
      </c>
      <c r="AA31" s="40">
        <v>54923218</v>
      </c>
      <c r="AB31" s="40">
        <v>428350974</v>
      </c>
      <c r="AC31" s="40">
        <v>41949169</v>
      </c>
      <c r="AD31" s="40">
        <v>9213679</v>
      </c>
      <c r="AE31" s="40">
        <v>2151651</v>
      </c>
      <c r="AF31" s="40">
        <v>1648631</v>
      </c>
      <c r="AG31" s="40">
        <v>67894644</v>
      </c>
      <c r="AH31" s="40">
        <v>30436</v>
      </c>
      <c r="AI31" s="40">
        <v>6893909</v>
      </c>
      <c r="AJ31" s="40">
        <v>66851042</v>
      </c>
      <c r="AK31" s="40">
        <v>53881259</v>
      </c>
      <c r="AL31" s="40">
        <v>70658898</v>
      </c>
      <c r="AM31" s="40">
        <v>0</v>
      </c>
      <c r="AN31" s="40">
        <v>208789</v>
      </c>
      <c r="AO31" s="40">
        <v>196913951</v>
      </c>
      <c r="AP31" s="40">
        <v>121854776</v>
      </c>
      <c r="AQ31" s="40">
        <v>0</v>
      </c>
      <c r="AR31" s="40">
        <v>41816504</v>
      </c>
      <c r="AS31" s="40">
        <v>31054056</v>
      </c>
      <c r="AT31" s="40">
        <v>277648880</v>
      </c>
      <c r="AU31" s="40">
        <v>0</v>
      </c>
      <c r="AV31" s="40">
        <v>0</v>
      </c>
      <c r="AW31" s="40">
        <v>17067046</v>
      </c>
      <c r="AX31" s="40">
        <v>49263653</v>
      </c>
      <c r="AY31" s="40">
        <v>0</v>
      </c>
      <c r="AZ31" s="40">
        <v>0</v>
      </c>
      <c r="BA31" s="40">
        <v>16695308</v>
      </c>
      <c r="BB31" s="40">
        <v>0</v>
      </c>
      <c r="BC31" s="40">
        <v>0</v>
      </c>
      <c r="BD31" s="40">
        <v>0</v>
      </c>
      <c r="BE31" s="40">
        <v>31</v>
      </c>
      <c r="BF31" s="40">
        <v>0</v>
      </c>
      <c r="BG31" s="40">
        <v>0</v>
      </c>
      <c r="BH31" s="40">
        <v>0</v>
      </c>
      <c r="BI31" s="40">
        <v>0</v>
      </c>
      <c r="BJ31" s="40">
        <v>90167</v>
      </c>
      <c r="BK31" s="40">
        <v>51739544</v>
      </c>
      <c r="BL31" s="40">
        <v>812419</v>
      </c>
      <c r="BM31" s="40">
        <v>0</v>
      </c>
      <c r="BN31" s="40">
        <v>0</v>
      </c>
      <c r="BO31" s="40">
        <v>0</v>
      </c>
      <c r="BP31" s="40">
        <v>0</v>
      </c>
      <c r="BQ31" s="40">
        <v>0</v>
      </c>
      <c r="BR31" s="40">
        <v>0</v>
      </c>
      <c r="BS31" s="40">
        <v>0</v>
      </c>
      <c r="BT31" s="40">
        <v>1928973678</v>
      </c>
      <c r="BU31" s="40">
        <v>0</v>
      </c>
      <c r="BV31" s="40">
        <v>0</v>
      </c>
      <c r="BW31" s="40">
        <v>0</v>
      </c>
      <c r="BX31" s="40">
        <v>0</v>
      </c>
      <c r="BY31" s="40">
        <v>0</v>
      </c>
      <c r="BZ31" s="40">
        <v>0</v>
      </c>
      <c r="CA31" s="40">
        <v>0</v>
      </c>
      <c r="CB31" s="40">
        <v>0</v>
      </c>
      <c r="CC31" s="40">
        <v>663777932</v>
      </c>
      <c r="CD31" s="40">
        <v>663777932</v>
      </c>
      <c r="CE31" s="40">
        <v>2592751610</v>
      </c>
      <c r="CF31" s="41"/>
      <c r="CG31" s="41"/>
      <c r="CH31" s="42"/>
    </row>
    <row r="32" spans="1:86" ht="33.75">
      <c r="A32" s="38">
        <v>26</v>
      </c>
      <c r="B32" s="65" t="s">
        <v>172</v>
      </c>
      <c r="C32" s="39" t="s">
        <v>171</v>
      </c>
      <c r="D32" s="40">
        <v>457314</v>
      </c>
      <c r="E32" s="40">
        <v>0</v>
      </c>
      <c r="F32" s="40">
        <v>0</v>
      </c>
      <c r="G32" s="40">
        <v>337288</v>
      </c>
      <c r="H32" s="40">
        <v>261159143</v>
      </c>
      <c r="I32" s="40">
        <v>0</v>
      </c>
      <c r="J32" s="40">
        <v>5203878</v>
      </c>
      <c r="K32" s="40">
        <v>767288</v>
      </c>
      <c r="L32" s="40">
        <v>680918</v>
      </c>
      <c r="M32" s="40">
        <v>34779004</v>
      </c>
      <c r="N32" s="40">
        <v>47759</v>
      </c>
      <c r="O32" s="40">
        <v>0</v>
      </c>
      <c r="P32" s="40">
        <v>0</v>
      </c>
      <c r="Q32" s="40">
        <v>0</v>
      </c>
      <c r="R32" s="40">
        <v>14401</v>
      </c>
      <c r="S32" s="40">
        <v>0</v>
      </c>
      <c r="T32" s="40">
        <v>0</v>
      </c>
      <c r="U32" s="40">
        <v>0</v>
      </c>
      <c r="V32" s="40">
        <v>3245588</v>
      </c>
      <c r="W32" s="40">
        <v>14363430</v>
      </c>
      <c r="X32" s="40">
        <v>222001</v>
      </c>
      <c r="Y32" s="40">
        <v>0</v>
      </c>
      <c r="Z32" s="40">
        <v>0</v>
      </c>
      <c r="AA32" s="40">
        <v>282751</v>
      </c>
      <c r="AB32" s="40">
        <v>28709</v>
      </c>
      <c r="AC32" s="40">
        <v>4155537</v>
      </c>
      <c r="AD32" s="40">
        <v>789809</v>
      </c>
      <c r="AE32" s="40">
        <v>185151</v>
      </c>
      <c r="AF32" s="40">
        <v>0</v>
      </c>
      <c r="AG32" s="40">
        <v>1387745</v>
      </c>
      <c r="AH32" s="40">
        <v>0</v>
      </c>
      <c r="AI32" s="40">
        <v>0</v>
      </c>
      <c r="AJ32" s="40">
        <v>7666040</v>
      </c>
      <c r="AK32" s="40">
        <v>1369112</v>
      </c>
      <c r="AL32" s="40">
        <v>70670</v>
      </c>
      <c r="AM32" s="40">
        <v>0</v>
      </c>
      <c r="AN32" s="40">
        <v>118178</v>
      </c>
      <c r="AO32" s="40">
        <v>12981264</v>
      </c>
      <c r="AP32" s="40">
        <v>21539383</v>
      </c>
      <c r="AQ32" s="40">
        <v>150801</v>
      </c>
      <c r="AR32" s="40">
        <v>8237974</v>
      </c>
      <c r="AS32" s="40">
        <v>1505680</v>
      </c>
      <c r="AT32" s="40">
        <v>39117780</v>
      </c>
      <c r="AU32" s="40">
        <v>0</v>
      </c>
      <c r="AV32" s="40">
        <v>1778553</v>
      </c>
      <c r="AW32" s="40">
        <v>282901</v>
      </c>
      <c r="AX32" s="40">
        <v>95483357</v>
      </c>
      <c r="AY32" s="40">
        <v>0</v>
      </c>
      <c r="AZ32" s="40">
        <v>0</v>
      </c>
      <c r="BA32" s="40">
        <v>188731</v>
      </c>
      <c r="BB32" s="40">
        <v>0</v>
      </c>
      <c r="BC32" s="40">
        <v>0</v>
      </c>
      <c r="BD32" s="40">
        <v>0</v>
      </c>
      <c r="BE32" s="40">
        <v>0</v>
      </c>
      <c r="BF32" s="40">
        <v>0</v>
      </c>
      <c r="BG32" s="40">
        <v>0</v>
      </c>
      <c r="BH32" s="40">
        <v>0</v>
      </c>
      <c r="BI32" s="40">
        <v>0</v>
      </c>
      <c r="BJ32" s="40">
        <v>471754</v>
      </c>
      <c r="BK32" s="40">
        <v>31109804</v>
      </c>
      <c r="BL32" s="40">
        <v>1075238</v>
      </c>
      <c r="BM32" s="40">
        <v>0</v>
      </c>
      <c r="BN32" s="40">
        <v>0</v>
      </c>
      <c r="BO32" s="40">
        <v>0</v>
      </c>
      <c r="BP32" s="40">
        <v>0</v>
      </c>
      <c r="BQ32" s="40">
        <v>896130</v>
      </c>
      <c r="BR32" s="40">
        <v>0</v>
      </c>
      <c r="BS32" s="40">
        <v>0</v>
      </c>
      <c r="BT32" s="40">
        <v>552151064</v>
      </c>
      <c r="BU32" s="40">
        <v>752377</v>
      </c>
      <c r="BV32" s="40">
        <v>0</v>
      </c>
      <c r="BW32" s="40">
        <v>0</v>
      </c>
      <c r="BX32" s="40">
        <v>752377</v>
      </c>
      <c r="BY32" s="40">
        <v>0</v>
      </c>
      <c r="BZ32" s="40">
        <v>0</v>
      </c>
      <c r="CA32" s="40">
        <v>0</v>
      </c>
      <c r="CB32" s="40">
        <v>0</v>
      </c>
      <c r="CC32" s="40">
        <v>28298351</v>
      </c>
      <c r="CD32" s="40">
        <v>29050728</v>
      </c>
      <c r="CE32" s="40">
        <v>581201792</v>
      </c>
      <c r="CF32" s="41"/>
      <c r="CG32" s="41"/>
      <c r="CH32" s="42"/>
    </row>
    <row r="33" spans="1:86" ht="22.5">
      <c r="A33" s="38">
        <v>27</v>
      </c>
      <c r="B33" s="65" t="s">
        <v>170</v>
      </c>
      <c r="C33" s="39" t="s">
        <v>169</v>
      </c>
      <c r="D33" s="40">
        <v>158991</v>
      </c>
      <c r="E33" s="40">
        <v>0</v>
      </c>
      <c r="F33" s="40">
        <v>92300</v>
      </c>
      <c r="G33" s="40">
        <v>0</v>
      </c>
      <c r="H33" s="40">
        <v>1533099</v>
      </c>
      <c r="I33" s="40">
        <v>0</v>
      </c>
      <c r="J33" s="40">
        <v>0</v>
      </c>
      <c r="K33" s="40">
        <v>399140</v>
      </c>
      <c r="L33" s="40">
        <v>213742</v>
      </c>
      <c r="M33" s="40">
        <v>0</v>
      </c>
      <c r="N33" s="40">
        <v>46802</v>
      </c>
      <c r="O33" s="40">
        <v>0</v>
      </c>
      <c r="P33" s="40">
        <v>2899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751856</v>
      </c>
      <c r="AB33" s="40">
        <v>90966</v>
      </c>
      <c r="AC33" s="40">
        <v>0</v>
      </c>
      <c r="AD33" s="40">
        <v>3206554</v>
      </c>
      <c r="AE33" s="40">
        <v>0</v>
      </c>
      <c r="AF33" s="40">
        <v>29031</v>
      </c>
      <c r="AG33" s="40">
        <v>1051647</v>
      </c>
      <c r="AH33" s="40">
        <v>100</v>
      </c>
      <c r="AI33" s="40">
        <v>20523</v>
      </c>
      <c r="AJ33" s="40">
        <v>2195605</v>
      </c>
      <c r="AK33" s="40">
        <v>0</v>
      </c>
      <c r="AL33" s="40">
        <v>10</v>
      </c>
      <c r="AM33" s="40">
        <v>0</v>
      </c>
      <c r="AN33" s="40">
        <v>0</v>
      </c>
      <c r="AO33" s="40">
        <v>1703246</v>
      </c>
      <c r="AP33" s="40">
        <v>517822</v>
      </c>
      <c r="AQ33" s="40">
        <v>0</v>
      </c>
      <c r="AR33" s="40">
        <v>249678</v>
      </c>
      <c r="AS33" s="40">
        <v>102204</v>
      </c>
      <c r="AT33" s="40">
        <v>10270408</v>
      </c>
      <c r="AU33" s="40">
        <v>0</v>
      </c>
      <c r="AV33" s="40">
        <v>205503</v>
      </c>
      <c r="AW33" s="40">
        <v>113247</v>
      </c>
      <c r="AX33" s="40">
        <v>119494</v>
      </c>
      <c r="AY33" s="40">
        <v>0</v>
      </c>
      <c r="AZ33" s="40">
        <v>0</v>
      </c>
      <c r="BA33" s="40">
        <v>0</v>
      </c>
      <c r="BB33" s="40">
        <v>0</v>
      </c>
      <c r="BC33" s="40">
        <v>0</v>
      </c>
      <c r="BD33" s="40">
        <v>0</v>
      </c>
      <c r="BE33" s="40">
        <v>3131</v>
      </c>
      <c r="BF33" s="40">
        <v>0</v>
      </c>
      <c r="BG33" s="40">
        <v>0</v>
      </c>
      <c r="BH33" s="40">
        <v>0</v>
      </c>
      <c r="BI33" s="40">
        <v>0</v>
      </c>
      <c r="BJ33" s="40">
        <v>54344</v>
      </c>
      <c r="BK33" s="40">
        <v>303148</v>
      </c>
      <c r="BL33" s="40">
        <v>11028</v>
      </c>
      <c r="BM33" s="40">
        <v>0</v>
      </c>
      <c r="BN33" s="40">
        <v>0</v>
      </c>
      <c r="BO33" s="40">
        <v>0</v>
      </c>
      <c r="BP33" s="40">
        <v>0</v>
      </c>
      <c r="BQ33" s="40">
        <v>0</v>
      </c>
      <c r="BR33" s="40">
        <v>0</v>
      </c>
      <c r="BS33" s="40">
        <v>0</v>
      </c>
      <c r="BT33" s="40">
        <v>23446518</v>
      </c>
      <c r="BU33" s="40">
        <v>0</v>
      </c>
      <c r="BV33" s="40">
        <v>0</v>
      </c>
      <c r="BW33" s="40">
        <v>0</v>
      </c>
      <c r="BX33" s="40">
        <v>0</v>
      </c>
      <c r="BY33" s="40">
        <v>0</v>
      </c>
      <c r="BZ33" s="40">
        <v>0</v>
      </c>
      <c r="CA33" s="40">
        <v>0</v>
      </c>
      <c r="CB33" s="40">
        <v>0</v>
      </c>
      <c r="CC33" s="40">
        <v>424040</v>
      </c>
      <c r="CD33" s="40">
        <v>424040</v>
      </c>
      <c r="CE33" s="40">
        <v>23870558</v>
      </c>
      <c r="CF33" s="41"/>
      <c r="CG33" s="41"/>
      <c r="CH33" s="42"/>
    </row>
    <row r="34" spans="1:86" ht="22.5">
      <c r="A34" s="38">
        <v>28</v>
      </c>
      <c r="B34" s="65" t="s">
        <v>168</v>
      </c>
      <c r="C34" s="39" t="s">
        <v>167</v>
      </c>
      <c r="D34" s="40">
        <v>0</v>
      </c>
      <c r="E34" s="40">
        <v>0</v>
      </c>
      <c r="F34" s="40">
        <v>0</v>
      </c>
      <c r="G34" s="40">
        <v>0</v>
      </c>
      <c r="H34" s="40">
        <v>7157925</v>
      </c>
      <c r="I34" s="40">
        <v>0</v>
      </c>
      <c r="J34" s="40">
        <v>0</v>
      </c>
      <c r="K34" s="40">
        <v>874970725</v>
      </c>
      <c r="L34" s="40">
        <v>0</v>
      </c>
      <c r="M34" s="40">
        <v>864661</v>
      </c>
      <c r="N34" s="40">
        <v>1756313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165748</v>
      </c>
      <c r="U34" s="40">
        <v>0</v>
      </c>
      <c r="V34" s="40">
        <v>0</v>
      </c>
      <c r="W34" s="40">
        <v>4756009</v>
      </c>
      <c r="X34" s="40">
        <v>3910314</v>
      </c>
      <c r="Y34" s="40">
        <v>2544702</v>
      </c>
      <c r="Z34" s="40">
        <v>1008889</v>
      </c>
      <c r="AA34" s="40">
        <v>23117716</v>
      </c>
      <c r="AB34" s="40">
        <v>215853975</v>
      </c>
      <c r="AC34" s="40">
        <v>0</v>
      </c>
      <c r="AD34" s="40">
        <v>1020249</v>
      </c>
      <c r="AE34" s="40">
        <v>381568980</v>
      </c>
      <c r="AF34" s="40">
        <v>10957610</v>
      </c>
      <c r="AG34" s="40">
        <v>60444228</v>
      </c>
      <c r="AH34" s="40">
        <v>19585574</v>
      </c>
      <c r="AI34" s="40">
        <v>109791102</v>
      </c>
      <c r="AJ34" s="40">
        <v>31758467</v>
      </c>
      <c r="AK34" s="40">
        <v>49726028</v>
      </c>
      <c r="AL34" s="40">
        <v>19532258</v>
      </c>
      <c r="AM34" s="40">
        <v>1993</v>
      </c>
      <c r="AN34" s="40">
        <v>16777029</v>
      </c>
      <c r="AO34" s="40">
        <v>6938180</v>
      </c>
      <c r="AP34" s="40">
        <v>78471525</v>
      </c>
      <c r="AQ34" s="40">
        <v>0</v>
      </c>
      <c r="AR34" s="40">
        <v>145836</v>
      </c>
      <c r="AS34" s="40">
        <v>41144167</v>
      </c>
      <c r="AT34" s="40">
        <v>1309255557</v>
      </c>
      <c r="AU34" s="40">
        <v>9873204</v>
      </c>
      <c r="AV34" s="40">
        <v>0</v>
      </c>
      <c r="AW34" s="40">
        <v>0</v>
      </c>
      <c r="AX34" s="40">
        <v>1574349</v>
      </c>
      <c r="AY34" s="40">
        <v>0</v>
      </c>
      <c r="AZ34" s="40">
        <v>0</v>
      </c>
      <c r="BA34" s="40">
        <v>0</v>
      </c>
      <c r="BB34" s="40">
        <v>0</v>
      </c>
      <c r="BC34" s="40">
        <v>0</v>
      </c>
      <c r="BD34" s="40">
        <v>0</v>
      </c>
      <c r="BE34" s="40">
        <v>24472</v>
      </c>
      <c r="BF34" s="40">
        <v>2635654</v>
      </c>
      <c r="BG34" s="40">
        <v>153706</v>
      </c>
      <c r="BH34" s="40">
        <v>0</v>
      </c>
      <c r="BI34" s="40">
        <v>0</v>
      </c>
      <c r="BJ34" s="40">
        <v>1062354</v>
      </c>
      <c r="BK34" s="40">
        <v>8590266</v>
      </c>
      <c r="BL34" s="40">
        <v>233837</v>
      </c>
      <c r="BM34" s="40">
        <v>0</v>
      </c>
      <c r="BN34" s="40">
        <v>0</v>
      </c>
      <c r="BO34" s="40">
        <v>0</v>
      </c>
      <c r="BP34" s="40">
        <v>6</v>
      </c>
      <c r="BQ34" s="40">
        <v>6935</v>
      </c>
      <c r="BR34" s="40">
        <v>0</v>
      </c>
      <c r="BS34" s="40">
        <v>0</v>
      </c>
      <c r="BT34" s="40">
        <v>3297380543</v>
      </c>
      <c r="BU34" s="40">
        <v>0</v>
      </c>
      <c r="BV34" s="40">
        <v>0</v>
      </c>
      <c r="BW34" s="40">
        <v>0</v>
      </c>
      <c r="BX34" s="40">
        <v>0</v>
      </c>
      <c r="BY34" s="40">
        <v>0</v>
      </c>
      <c r="BZ34" s="40">
        <v>0</v>
      </c>
      <c r="CA34" s="40">
        <v>0</v>
      </c>
      <c r="CB34" s="40">
        <v>0</v>
      </c>
      <c r="CC34" s="40">
        <v>2358669703</v>
      </c>
      <c r="CD34" s="40">
        <v>2358669703</v>
      </c>
      <c r="CE34" s="40">
        <v>5656050246</v>
      </c>
      <c r="CF34" s="41"/>
      <c r="CG34" s="41"/>
      <c r="CH34" s="42"/>
    </row>
    <row r="35" spans="1:86">
      <c r="A35" s="38">
        <v>29</v>
      </c>
      <c r="B35" s="65" t="s">
        <v>166</v>
      </c>
      <c r="C35" s="39" t="s">
        <v>165</v>
      </c>
      <c r="D35" s="40">
        <v>10296</v>
      </c>
      <c r="E35" s="40">
        <v>0</v>
      </c>
      <c r="F35" s="40">
        <v>0</v>
      </c>
      <c r="G35" s="40">
        <v>0</v>
      </c>
      <c r="H35" s="40">
        <v>5846913</v>
      </c>
      <c r="I35" s="40">
        <v>277398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1062</v>
      </c>
      <c r="AA35" s="40">
        <v>0</v>
      </c>
      <c r="AB35" s="40">
        <v>0</v>
      </c>
      <c r="AC35" s="40">
        <v>0</v>
      </c>
      <c r="AD35" s="40">
        <v>0</v>
      </c>
      <c r="AE35" s="40">
        <v>349</v>
      </c>
      <c r="AF35" s="40">
        <v>0</v>
      </c>
      <c r="AG35" s="40">
        <v>16244</v>
      </c>
      <c r="AH35" s="40">
        <v>0</v>
      </c>
      <c r="AI35" s="40">
        <v>0</v>
      </c>
      <c r="AJ35" s="40">
        <v>0</v>
      </c>
      <c r="AK35" s="40">
        <v>0</v>
      </c>
      <c r="AL35" s="40">
        <v>0</v>
      </c>
      <c r="AM35" s="40">
        <v>0</v>
      </c>
      <c r="AN35" s="40">
        <v>0</v>
      </c>
      <c r="AO35" s="40">
        <v>3300</v>
      </c>
      <c r="AP35" s="40">
        <v>40169</v>
      </c>
      <c r="AQ35" s="40">
        <v>179733</v>
      </c>
      <c r="AR35" s="40">
        <v>182718</v>
      </c>
      <c r="AS35" s="40">
        <v>604430</v>
      </c>
      <c r="AT35" s="40">
        <v>104375</v>
      </c>
      <c r="AU35" s="40">
        <v>0</v>
      </c>
      <c r="AV35" s="40">
        <v>0</v>
      </c>
      <c r="AW35" s="40">
        <v>0</v>
      </c>
      <c r="AX35" s="40">
        <v>641413</v>
      </c>
      <c r="AY35" s="40">
        <v>0</v>
      </c>
      <c r="AZ35" s="40">
        <v>0</v>
      </c>
      <c r="BA35" s="40">
        <v>0</v>
      </c>
      <c r="BB35" s="40">
        <v>0</v>
      </c>
      <c r="BC35" s="40">
        <v>0</v>
      </c>
      <c r="BD35" s="40">
        <v>0</v>
      </c>
      <c r="BE35" s="40">
        <v>0</v>
      </c>
      <c r="BF35" s="40">
        <v>0</v>
      </c>
      <c r="BG35" s="40">
        <v>0</v>
      </c>
      <c r="BH35" s="40">
        <v>0</v>
      </c>
      <c r="BI35" s="40">
        <v>0</v>
      </c>
      <c r="BJ35" s="40">
        <v>81551</v>
      </c>
      <c r="BK35" s="40">
        <v>7178</v>
      </c>
      <c r="BL35" s="40">
        <v>0</v>
      </c>
      <c r="BM35" s="40">
        <v>0</v>
      </c>
      <c r="BN35" s="40">
        <v>0</v>
      </c>
      <c r="BO35" s="40">
        <v>0</v>
      </c>
      <c r="BP35" s="40">
        <v>0</v>
      </c>
      <c r="BQ35" s="40">
        <v>0</v>
      </c>
      <c r="BR35" s="40">
        <v>0</v>
      </c>
      <c r="BS35" s="40">
        <v>0</v>
      </c>
      <c r="BT35" s="40">
        <v>7997129</v>
      </c>
      <c r="BU35" s="40">
        <v>0</v>
      </c>
      <c r="BV35" s="40">
        <v>0</v>
      </c>
      <c r="BW35" s="40">
        <v>0</v>
      </c>
      <c r="BX35" s="40">
        <v>0</v>
      </c>
      <c r="BY35" s="40">
        <v>0</v>
      </c>
      <c r="BZ35" s="40">
        <v>0</v>
      </c>
      <c r="CA35" s="40">
        <v>0</v>
      </c>
      <c r="CB35" s="40">
        <v>0</v>
      </c>
      <c r="CC35" s="40">
        <v>66696</v>
      </c>
      <c r="CD35" s="40">
        <v>66696</v>
      </c>
      <c r="CE35" s="40">
        <v>8063825</v>
      </c>
      <c r="CF35" s="41"/>
      <c r="CG35" s="41"/>
      <c r="CH35" s="42"/>
    </row>
    <row r="36" spans="1:86" ht="22.5">
      <c r="A36" s="38">
        <v>30</v>
      </c>
      <c r="B36" s="65" t="s">
        <v>66</v>
      </c>
      <c r="C36" s="39" t="s">
        <v>65</v>
      </c>
      <c r="D36" s="40">
        <v>1409030</v>
      </c>
      <c r="E36" s="40">
        <v>7888</v>
      </c>
      <c r="F36" s="40">
        <v>4725</v>
      </c>
      <c r="G36" s="40">
        <v>5798792</v>
      </c>
      <c r="H36" s="40">
        <v>29368362</v>
      </c>
      <c r="I36" s="40">
        <v>1392539</v>
      </c>
      <c r="J36" s="40">
        <v>212432</v>
      </c>
      <c r="K36" s="40">
        <v>1867105</v>
      </c>
      <c r="L36" s="40">
        <v>7981489</v>
      </c>
      <c r="M36" s="40">
        <v>1039753</v>
      </c>
      <c r="N36" s="40">
        <v>86718</v>
      </c>
      <c r="O36" s="40">
        <v>0</v>
      </c>
      <c r="P36" s="40">
        <v>3703</v>
      </c>
      <c r="Q36" s="40">
        <v>1014</v>
      </c>
      <c r="R36" s="40">
        <v>2406</v>
      </c>
      <c r="S36" s="40">
        <v>4820</v>
      </c>
      <c r="T36" s="40">
        <v>0</v>
      </c>
      <c r="U36" s="40">
        <v>0</v>
      </c>
      <c r="V36" s="40">
        <v>186896</v>
      </c>
      <c r="W36" s="40">
        <v>482817</v>
      </c>
      <c r="X36" s="40">
        <v>0</v>
      </c>
      <c r="Y36" s="40">
        <v>557</v>
      </c>
      <c r="Z36" s="40">
        <v>0</v>
      </c>
      <c r="AA36" s="40">
        <v>4421550</v>
      </c>
      <c r="AB36" s="40">
        <v>59086</v>
      </c>
      <c r="AC36" s="40">
        <v>0</v>
      </c>
      <c r="AD36" s="40">
        <v>632</v>
      </c>
      <c r="AE36" s="40">
        <v>62057</v>
      </c>
      <c r="AF36" s="40">
        <v>564</v>
      </c>
      <c r="AG36" s="40">
        <v>374588</v>
      </c>
      <c r="AH36" s="40">
        <v>1869</v>
      </c>
      <c r="AI36" s="40">
        <v>9098</v>
      </c>
      <c r="AJ36" s="40">
        <v>79046</v>
      </c>
      <c r="AK36" s="40">
        <v>3112864</v>
      </c>
      <c r="AL36" s="40">
        <v>1892308</v>
      </c>
      <c r="AM36" s="40">
        <v>1262335</v>
      </c>
      <c r="AN36" s="40">
        <v>43306</v>
      </c>
      <c r="AO36" s="40">
        <v>3061327</v>
      </c>
      <c r="AP36" s="40">
        <v>1772945</v>
      </c>
      <c r="AQ36" s="40">
        <v>209914</v>
      </c>
      <c r="AR36" s="40">
        <v>249622</v>
      </c>
      <c r="AS36" s="40">
        <v>1011933</v>
      </c>
      <c r="AT36" s="40">
        <v>37524965</v>
      </c>
      <c r="AU36" s="40">
        <v>7729999</v>
      </c>
      <c r="AV36" s="40">
        <v>18489073</v>
      </c>
      <c r="AW36" s="40">
        <v>28603457</v>
      </c>
      <c r="AX36" s="40">
        <v>8054687</v>
      </c>
      <c r="AY36" s="40">
        <v>52987</v>
      </c>
      <c r="AZ36" s="40">
        <v>327761</v>
      </c>
      <c r="BA36" s="40">
        <v>7254370</v>
      </c>
      <c r="BB36" s="40">
        <v>283170</v>
      </c>
      <c r="BC36" s="40">
        <v>2044519</v>
      </c>
      <c r="BD36" s="40">
        <v>1540958</v>
      </c>
      <c r="BE36" s="40">
        <v>8240669</v>
      </c>
      <c r="BF36" s="40">
        <v>29059086</v>
      </c>
      <c r="BG36" s="40">
        <v>35891</v>
      </c>
      <c r="BH36" s="40">
        <v>87041</v>
      </c>
      <c r="BI36" s="40">
        <v>1558</v>
      </c>
      <c r="BJ36" s="40">
        <v>48273141</v>
      </c>
      <c r="BK36" s="40">
        <v>17582448</v>
      </c>
      <c r="BL36" s="40">
        <v>8392938</v>
      </c>
      <c r="BM36" s="40">
        <v>5165594</v>
      </c>
      <c r="BN36" s="40">
        <v>8152231</v>
      </c>
      <c r="BO36" s="40">
        <v>2747468</v>
      </c>
      <c r="BP36" s="40">
        <v>87464</v>
      </c>
      <c r="BQ36" s="40">
        <v>13215212</v>
      </c>
      <c r="BR36" s="40">
        <v>4234823</v>
      </c>
      <c r="BS36" s="40">
        <v>0</v>
      </c>
      <c r="BT36" s="40">
        <v>324657600</v>
      </c>
      <c r="BU36" s="40">
        <v>49558517</v>
      </c>
      <c r="BV36" s="40">
        <v>0</v>
      </c>
      <c r="BW36" s="40">
        <v>0</v>
      </c>
      <c r="BX36" s="40">
        <v>49558517</v>
      </c>
      <c r="BY36" s="40">
        <v>174378145</v>
      </c>
      <c r="BZ36" s="40">
        <v>0</v>
      </c>
      <c r="CA36" s="40">
        <v>0</v>
      </c>
      <c r="CB36" s="40">
        <v>174378145</v>
      </c>
      <c r="CC36" s="40">
        <v>33656071</v>
      </c>
      <c r="CD36" s="40">
        <v>257592733</v>
      </c>
      <c r="CE36" s="40">
        <v>582250333</v>
      </c>
      <c r="CF36" s="41"/>
      <c r="CG36" s="41"/>
      <c r="CH36" s="42"/>
    </row>
    <row r="37" spans="1:86" ht="22.5">
      <c r="A37" s="38">
        <v>31</v>
      </c>
      <c r="B37" s="65" t="s">
        <v>64</v>
      </c>
      <c r="C37" s="39" t="s">
        <v>135</v>
      </c>
      <c r="D37" s="40">
        <v>44552</v>
      </c>
      <c r="E37" s="40">
        <v>554</v>
      </c>
      <c r="F37" s="40">
        <v>0</v>
      </c>
      <c r="G37" s="40">
        <v>1</v>
      </c>
      <c r="H37" s="40">
        <v>2256151</v>
      </c>
      <c r="I37" s="40">
        <v>104043</v>
      </c>
      <c r="J37" s="40">
        <v>107</v>
      </c>
      <c r="K37" s="40">
        <v>15363</v>
      </c>
      <c r="L37" s="40">
        <v>406</v>
      </c>
      <c r="M37" s="40">
        <v>14422</v>
      </c>
      <c r="N37" s="40">
        <v>5878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13</v>
      </c>
      <c r="U37" s="40">
        <v>326</v>
      </c>
      <c r="V37" s="40">
        <v>0</v>
      </c>
      <c r="W37" s="40">
        <v>21046</v>
      </c>
      <c r="X37" s="40">
        <v>9735</v>
      </c>
      <c r="Y37" s="40">
        <v>9652</v>
      </c>
      <c r="Z37" s="40">
        <v>332</v>
      </c>
      <c r="AA37" s="40">
        <v>640</v>
      </c>
      <c r="AB37" s="40">
        <v>5611</v>
      </c>
      <c r="AC37" s="40">
        <v>0</v>
      </c>
      <c r="AD37" s="40">
        <v>0</v>
      </c>
      <c r="AE37" s="40">
        <v>5</v>
      </c>
      <c r="AF37" s="40">
        <v>711</v>
      </c>
      <c r="AG37" s="40">
        <v>914</v>
      </c>
      <c r="AH37" s="40">
        <v>1523430</v>
      </c>
      <c r="AI37" s="40">
        <v>342132</v>
      </c>
      <c r="AJ37" s="40">
        <v>174950</v>
      </c>
      <c r="AK37" s="40">
        <v>1043337</v>
      </c>
      <c r="AL37" s="40">
        <v>1328451</v>
      </c>
      <c r="AM37" s="40">
        <v>0</v>
      </c>
      <c r="AN37" s="40">
        <v>0</v>
      </c>
      <c r="AO37" s="40">
        <v>45693</v>
      </c>
      <c r="AP37" s="40">
        <v>1808340</v>
      </c>
      <c r="AQ37" s="40">
        <v>3714</v>
      </c>
      <c r="AR37" s="40">
        <v>298</v>
      </c>
      <c r="AS37" s="40">
        <v>6538</v>
      </c>
      <c r="AT37" s="40">
        <v>46270</v>
      </c>
      <c r="AU37" s="40">
        <v>1436</v>
      </c>
      <c r="AV37" s="40">
        <v>446564</v>
      </c>
      <c r="AW37" s="40">
        <v>255462</v>
      </c>
      <c r="AX37" s="40">
        <v>314218</v>
      </c>
      <c r="AY37" s="40">
        <v>9282</v>
      </c>
      <c r="AZ37" s="40">
        <v>179450</v>
      </c>
      <c r="BA37" s="40">
        <v>366451</v>
      </c>
      <c r="BB37" s="40">
        <v>112937</v>
      </c>
      <c r="BC37" s="40">
        <v>37281</v>
      </c>
      <c r="BD37" s="40">
        <v>647867</v>
      </c>
      <c r="BE37" s="40">
        <v>6885243</v>
      </c>
      <c r="BF37" s="40">
        <v>13643512</v>
      </c>
      <c r="BG37" s="40">
        <v>3677049</v>
      </c>
      <c r="BH37" s="40">
        <v>2313535</v>
      </c>
      <c r="BI37" s="40">
        <v>1359850</v>
      </c>
      <c r="BJ37" s="40">
        <v>79214</v>
      </c>
      <c r="BK37" s="40">
        <v>2921957</v>
      </c>
      <c r="BL37" s="40">
        <v>3189985</v>
      </c>
      <c r="BM37" s="40">
        <v>2346850</v>
      </c>
      <c r="BN37" s="40">
        <v>5513655</v>
      </c>
      <c r="BO37" s="40">
        <v>12477722</v>
      </c>
      <c r="BP37" s="40">
        <v>85634</v>
      </c>
      <c r="BQ37" s="40">
        <v>125655</v>
      </c>
      <c r="BR37" s="40">
        <v>4081458</v>
      </c>
      <c r="BS37" s="40">
        <v>0</v>
      </c>
      <c r="BT37" s="40">
        <v>69885882</v>
      </c>
      <c r="BU37" s="40">
        <v>839280021</v>
      </c>
      <c r="BV37" s="40">
        <v>0</v>
      </c>
      <c r="BW37" s="40">
        <v>0</v>
      </c>
      <c r="BX37" s="40">
        <v>839280021</v>
      </c>
      <c r="BY37" s="40">
        <v>843254962</v>
      </c>
      <c r="BZ37" s="40">
        <v>0</v>
      </c>
      <c r="CA37" s="40">
        <v>0</v>
      </c>
      <c r="CB37" s="40">
        <v>843254962</v>
      </c>
      <c r="CC37" s="40">
        <v>178175113</v>
      </c>
      <c r="CD37" s="40">
        <v>1860710096</v>
      </c>
      <c r="CE37" s="40">
        <v>1930595978</v>
      </c>
      <c r="CF37" s="41"/>
      <c r="CG37" s="41"/>
      <c r="CH37" s="42"/>
    </row>
    <row r="38" spans="1:86">
      <c r="A38" s="38">
        <v>32</v>
      </c>
      <c r="B38" s="65" t="s">
        <v>96</v>
      </c>
      <c r="C38" s="39" t="s">
        <v>164</v>
      </c>
      <c r="D38" s="40">
        <v>441235</v>
      </c>
      <c r="E38" s="40">
        <v>0</v>
      </c>
      <c r="F38" s="40">
        <v>477</v>
      </c>
      <c r="G38" s="40">
        <v>13685</v>
      </c>
      <c r="H38" s="40">
        <v>10864431</v>
      </c>
      <c r="I38" s="40">
        <v>387093</v>
      </c>
      <c r="J38" s="40">
        <v>14203</v>
      </c>
      <c r="K38" s="40">
        <v>21018</v>
      </c>
      <c r="L38" s="40">
        <v>1379023</v>
      </c>
      <c r="M38" s="40">
        <v>4084</v>
      </c>
      <c r="N38" s="40">
        <v>0</v>
      </c>
      <c r="O38" s="40">
        <v>0</v>
      </c>
      <c r="P38" s="40">
        <v>0</v>
      </c>
      <c r="Q38" s="40">
        <v>0</v>
      </c>
      <c r="R38" s="40">
        <v>38</v>
      </c>
      <c r="S38" s="40">
        <v>0</v>
      </c>
      <c r="T38" s="40">
        <v>0</v>
      </c>
      <c r="U38" s="40">
        <v>0</v>
      </c>
      <c r="V38" s="40">
        <v>5268</v>
      </c>
      <c r="W38" s="40">
        <v>85881</v>
      </c>
      <c r="X38" s="40">
        <v>10569</v>
      </c>
      <c r="Y38" s="40">
        <v>0</v>
      </c>
      <c r="Z38" s="40">
        <v>0</v>
      </c>
      <c r="AA38" s="40">
        <v>1831</v>
      </c>
      <c r="AB38" s="40">
        <v>19838</v>
      </c>
      <c r="AC38" s="40">
        <v>1</v>
      </c>
      <c r="AD38" s="40">
        <v>0</v>
      </c>
      <c r="AE38" s="40">
        <v>13897</v>
      </c>
      <c r="AF38" s="40">
        <v>103</v>
      </c>
      <c r="AG38" s="40">
        <v>4387</v>
      </c>
      <c r="AH38" s="40">
        <v>384471</v>
      </c>
      <c r="AI38" s="40">
        <v>192995</v>
      </c>
      <c r="AJ38" s="40">
        <v>64902</v>
      </c>
      <c r="AK38" s="40">
        <v>2704795</v>
      </c>
      <c r="AL38" s="40">
        <v>1262059</v>
      </c>
      <c r="AM38" s="40">
        <v>0</v>
      </c>
      <c r="AN38" s="40">
        <v>0</v>
      </c>
      <c r="AO38" s="40">
        <v>964524</v>
      </c>
      <c r="AP38" s="40">
        <v>5112523</v>
      </c>
      <c r="AQ38" s="40">
        <v>0</v>
      </c>
      <c r="AR38" s="40">
        <v>29466</v>
      </c>
      <c r="AS38" s="40">
        <v>262441</v>
      </c>
      <c r="AT38" s="40">
        <v>3207948</v>
      </c>
      <c r="AU38" s="40">
        <v>15151210</v>
      </c>
      <c r="AV38" s="40">
        <v>6095378</v>
      </c>
      <c r="AW38" s="40">
        <v>4177271</v>
      </c>
      <c r="AX38" s="40">
        <v>334256</v>
      </c>
      <c r="AY38" s="40">
        <v>0</v>
      </c>
      <c r="AZ38" s="40">
        <v>290058</v>
      </c>
      <c r="BA38" s="40">
        <v>885903</v>
      </c>
      <c r="BB38" s="40">
        <v>0</v>
      </c>
      <c r="BC38" s="40">
        <v>3605102</v>
      </c>
      <c r="BD38" s="40">
        <v>1278112</v>
      </c>
      <c r="BE38" s="40">
        <v>1662270</v>
      </c>
      <c r="BF38" s="40">
        <v>6857270</v>
      </c>
      <c r="BG38" s="40">
        <v>277800</v>
      </c>
      <c r="BH38" s="40">
        <v>35719</v>
      </c>
      <c r="BI38" s="40">
        <v>62293</v>
      </c>
      <c r="BJ38" s="40">
        <v>13784695</v>
      </c>
      <c r="BK38" s="40">
        <v>2113446</v>
      </c>
      <c r="BL38" s="40">
        <v>13049258</v>
      </c>
      <c r="BM38" s="40">
        <v>4403788</v>
      </c>
      <c r="BN38" s="40">
        <v>8180475</v>
      </c>
      <c r="BO38" s="40">
        <v>2104471</v>
      </c>
      <c r="BP38" s="40">
        <v>57901</v>
      </c>
      <c r="BQ38" s="40">
        <v>13979321</v>
      </c>
      <c r="BR38" s="40">
        <v>3776820</v>
      </c>
      <c r="BS38" s="40">
        <v>0</v>
      </c>
      <c r="BT38" s="40">
        <v>129616003</v>
      </c>
      <c r="BU38" s="40">
        <v>404220950</v>
      </c>
      <c r="BV38" s="40">
        <v>0</v>
      </c>
      <c r="BW38" s="40">
        <v>0</v>
      </c>
      <c r="BX38" s="40">
        <v>404220950</v>
      </c>
      <c r="BY38" s="40">
        <v>738733434</v>
      </c>
      <c r="BZ38" s="40">
        <v>0</v>
      </c>
      <c r="CA38" s="40">
        <v>0</v>
      </c>
      <c r="CB38" s="40">
        <v>738733434</v>
      </c>
      <c r="CC38" s="40">
        <v>122314811</v>
      </c>
      <c r="CD38" s="40">
        <v>1265269195</v>
      </c>
      <c r="CE38" s="40">
        <v>1394885198</v>
      </c>
      <c r="CF38" s="41"/>
      <c r="CG38" s="41"/>
      <c r="CH38" s="42"/>
    </row>
    <row r="39" spans="1:86" ht="22.5">
      <c r="A39" s="38">
        <v>33</v>
      </c>
      <c r="B39" s="65" t="s">
        <v>95</v>
      </c>
      <c r="C39" s="39" t="s">
        <v>163</v>
      </c>
      <c r="D39" s="40">
        <v>24933881</v>
      </c>
      <c r="E39" s="40">
        <v>2221</v>
      </c>
      <c r="F39" s="40">
        <v>13600</v>
      </c>
      <c r="G39" s="40">
        <v>34623000</v>
      </c>
      <c r="H39" s="40">
        <v>40445897</v>
      </c>
      <c r="I39" s="40">
        <v>961676</v>
      </c>
      <c r="J39" s="40">
        <v>2448666</v>
      </c>
      <c r="K39" s="40">
        <v>5567873</v>
      </c>
      <c r="L39" s="40">
        <v>6378441</v>
      </c>
      <c r="M39" s="40">
        <v>6675318</v>
      </c>
      <c r="N39" s="40">
        <v>1242030</v>
      </c>
      <c r="O39" s="40">
        <v>25354</v>
      </c>
      <c r="P39" s="40">
        <v>2426</v>
      </c>
      <c r="Q39" s="40">
        <v>951</v>
      </c>
      <c r="R39" s="40">
        <v>10</v>
      </c>
      <c r="S39" s="40">
        <v>25</v>
      </c>
      <c r="T39" s="40">
        <v>13226</v>
      </c>
      <c r="U39" s="40">
        <v>0</v>
      </c>
      <c r="V39" s="40">
        <v>1475945</v>
      </c>
      <c r="W39" s="40">
        <v>2808180</v>
      </c>
      <c r="X39" s="40">
        <v>0</v>
      </c>
      <c r="Y39" s="40">
        <v>25633</v>
      </c>
      <c r="Z39" s="40">
        <v>1403</v>
      </c>
      <c r="AA39" s="40">
        <v>996208</v>
      </c>
      <c r="AB39" s="40">
        <v>3650555</v>
      </c>
      <c r="AC39" s="40">
        <v>18456</v>
      </c>
      <c r="AD39" s="40">
        <v>0</v>
      </c>
      <c r="AE39" s="40">
        <v>181833</v>
      </c>
      <c r="AF39" s="40">
        <v>7</v>
      </c>
      <c r="AG39" s="40">
        <v>591</v>
      </c>
      <c r="AH39" s="40">
        <v>308</v>
      </c>
      <c r="AI39" s="40">
        <v>0</v>
      </c>
      <c r="AJ39" s="40">
        <v>4473375</v>
      </c>
      <c r="AK39" s="40">
        <v>2087329</v>
      </c>
      <c r="AL39" s="40">
        <v>36774</v>
      </c>
      <c r="AM39" s="40">
        <v>0</v>
      </c>
      <c r="AN39" s="40">
        <v>0</v>
      </c>
      <c r="AO39" s="40">
        <v>311621</v>
      </c>
      <c r="AP39" s="40">
        <v>263798</v>
      </c>
      <c r="AQ39" s="40">
        <v>135547</v>
      </c>
      <c r="AR39" s="40">
        <v>214138</v>
      </c>
      <c r="AS39" s="40">
        <v>130098</v>
      </c>
      <c r="AT39" s="40">
        <v>1541660</v>
      </c>
      <c r="AU39" s="40">
        <v>7007936</v>
      </c>
      <c r="AV39" s="40">
        <v>5256049</v>
      </c>
      <c r="AW39" s="40">
        <v>2009451</v>
      </c>
      <c r="AX39" s="40">
        <v>8817454</v>
      </c>
      <c r="AY39" s="40">
        <v>98200</v>
      </c>
      <c r="AZ39" s="40">
        <v>66938</v>
      </c>
      <c r="BA39" s="40">
        <v>5458657</v>
      </c>
      <c r="BB39" s="40">
        <v>687</v>
      </c>
      <c r="BC39" s="40">
        <v>1571584</v>
      </c>
      <c r="BD39" s="40">
        <v>2354990</v>
      </c>
      <c r="BE39" s="40">
        <v>1509417</v>
      </c>
      <c r="BF39" s="40">
        <v>279401</v>
      </c>
      <c r="BG39" s="40">
        <v>245603</v>
      </c>
      <c r="BH39" s="40">
        <v>369093</v>
      </c>
      <c r="BI39" s="40">
        <v>147668</v>
      </c>
      <c r="BJ39" s="40">
        <v>74649</v>
      </c>
      <c r="BK39" s="40">
        <v>35257627</v>
      </c>
      <c r="BL39" s="40">
        <v>5751976</v>
      </c>
      <c r="BM39" s="40">
        <v>4186229</v>
      </c>
      <c r="BN39" s="40">
        <v>4244548</v>
      </c>
      <c r="BO39" s="40">
        <v>4851665</v>
      </c>
      <c r="BP39" s="40">
        <v>43392</v>
      </c>
      <c r="BQ39" s="40">
        <v>788538</v>
      </c>
      <c r="BR39" s="40">
        <v>2291272</v>
      </c>
      <c r="BS39" s="40">
        <v>0</v>
      </c>
      <c r="BT39" s="40">
        <v>234371078</v>
      </c>
      <c r="BU39" s="40">
        <v>36299822</v>
      </c>
      <c r="BV39" s="40">
        <v>0</v>
      </c>
      <c r="BW39" s="40">
        <v>0</v>
      </c>
      <c r="BX39" s="40">
        <v>36299822</v>
      </c>
      <c r="BY39" s="40">
        <v>692833549</v>
      </c>
      <c r="BZ39" s="40">
        <v>0</v>
      </c>
      <c r="CA39" s="40">
        <v>0</v>
      </c>
      <c r="CB39" s="40">
        <v>692833549</v>
      </c>
      <c r="CC39" s="40">
        <v>85433309</v>
      </c>
      <c r="CD39" s="40">
        <v>814566680</v>
      </c>
      <c r="CE39" s="40">
        <v>1048937758</v>
      </c>
      <c r="CF39" s="41"/>
      <c r="CG39" s="41"/>
      <c r="CH39" s="42"/>
    </row>
    <row r="40" spans="1:86">
      <c r="A40" s="38">
        <v>34</v>
      </c>
      <c r="B40" s="65" t="s">
        <v>63</v>
      </c>
      <c r="C40" s="39" t="s">
        <v>62</v>
      </c>
      <c r="D40" s="40">
        <v>2433975</v>
      </c>
      <c r="E40" s="40">
        <v>24</v>
      </c>
      <c r="F40" s="40">
        <v>5007</v>
      </c>
      <c r="G40" s="40">
        <v>129186</v>
      </c>
      <c r="H40" s="40">
        <v>317955</v>
      </c>
      <c r="I40" s="40">
        <v>15081</v>
      </c>
      <c r="J40" s="40">
        <v>200183</v>
      </c>
      <c r="K40" s="40">
        <v>328021</v>
      </c>
      <c r="L40" s="40">
        <v>59487</v>
      </c>
      <c r="M40" s="40">
        <v>172462</v>
      </c>
      <c r="N40" s="40">
        <v>153953</v>
      </c>
      <c r="O40" s="40">
        <v>0</v>
      </c>
      <c r="P40" s="40">
        <v>113</v>
      </c>
      <c r="Q40" s="40">
        <v>0</v>
      </c>
      <c r="R40" s="40">
        <v>0</v>
      </c>
      <c r="S40" s="40">
        <v>1369</v>
      </c>
      <c r="T40" s="40">
        <v>1186</v>
      </c>
      <c r="U40" s="40">
        <v>172</v>
      </c>
      <c r="V40" s="40">
        <v>56731</v>
      </c>
      <c r="W40" s="40">
        <v>0</v>
      </c>
      <c r="X40" s="40">
        <v>0</v>
      </c>
      <c r="Y40" s="40">
        <v>0</v>
      </c>
      <c r="Z40" s="40">
        <v>0</v>
      </c>
      <c r="AA40" s="40">
        <v>14188</v>
      </c>
      <c r="AB40" s="40">
        <v>7909</v>
      </c>
      <c r="AC40" s="40">
        <v>0</v>
      </c>
      <c r="AD40" s="40">
        <v>0</v>
      </c>
      <c r="AE40" s="40">
        <v>4472</v>
      </c>
      <c r="AF40" s="40">
        <v>0</v>
      </c>
      <c r="AG40" s="40">
        <v>0</v>
      </c>
      <c r="AH40" s="40">
        <v>0</v>
      </c>
      <c r="AI40" s="40">
        <v>0</v>
      </c>
      <c r="AJ40" s="40">
        <v>1065</v>
      </c>
      <c r="AK40" s="40">
        <v>24360220</v>
      </c>
      <c r="AL40" s="40">
        <v>0</v>
      </c>
      <c r="AM40" s="40">
        <v>0</v>
      </c>
      <c r="AN40" s="40">
        <v>0</v>
      </c>
      <c r="AO40" s="40">
        <v>4150918</v>
      </c>
      <c r="AP40" s="40">
        <v>220368</v>
      </c>
      <c r="AQ40" s="40">
        <v>662</v>
      </c>
      <c r="AR40" s="40">
        <v>22526</v>
      </c>
      <c r="AS40" s="40">
        <v>323107</v>
      </c>
      <c r="AT40" s="40">
        <v>2220399</v>
      </c>
      <c r="AU40" s="40">
        <v>263932352</v>
      </c>
      <c r="AV40" s="40">
        <v>1326110</v>
      </c>
      <c r="AW40" s="40">
        <v>505628</v>
      </c>
      <c r="AX40" s="40">
        <v>4592968</v>
      </c>
      <c r="AY40" s="40">
        <v>0</v>
      </c>
      <c r="AZ40" s="40">
        <v>22980</v>
      </c>
      <c r="BA40" s="40">
        <v>2483891</v>
      </c>
      <c r="BB40" s="40">
        <v>72174</v>
      </c>
      <c r="BC40" s="40">
        <v>0</v>
      </c>
      <c r="BD40" s="40">
        <v>1525162</v>
      </c>
      <c r="BE40" s="40">
        <v>2824</v>
      </c>
      <c r="BF40" s="40">
        <v>0</v>
      </c>
      <c r="BG40" s="40">
        <v>28516</v>
      </c>
      <c r="BH40" s="40">
        <v>91764</v>
      </c>
      <c r="BI40" s="40">
        <v>39156</v>
      </c>
      <c r="BJ40" s="40">
        <v>868199</v>
      </c>
      <c r="BK40" s="40">
        <v>707761</v>
      </c>
      <c r="BL40" s="40">
        <v>1435261</v>
      </c>
      <c r="BM40" s="40">
        <v>2342179</v>
      </c>
      <c r="BN40" s="40">
        <v>1468552</v>
      </c>
      <c r="BO40" s="40">
        <v>1224088</v>
      </c>
      <c r="BP40" s="40">
        <v>83207</v>
      </c>
      <c r="BQ40" s="40">
        <v>105061</v>
      </c>
      <c r="BR40" s="40">
        <v>67880</v>
      </c>
      <c r="BS40" s="40">
        <v>0</v>
      </c>
      <c r="BT40" s="40">
        <v>318126452</v>
      </c>
      <c r="BU40" s="40">
        <v>948059105</v>
      </c>
      <c r="BV40" s="40">
        <v>0</v>
      </c>
      <c r="BW40" s="40">
        <v>0</v>
      </c>
      <c r="BX40" s="40">
        <v>948059105</v>
      </c>
      <c r="BY40" s="40">
        <v>733478159</v>
      </c>
      <c r="BZ40" s="40">
        <v>0</v>
      </c>
      <c r="CA40" s="40">
        <v>0</v>
      </c>
      <c r="CB40" s="40">
        <v>733478159</v>
      </c>
      <c r="CC40" s="40">
        <v>34495575</v>
      </c>
      <c r="CD40" s="40">
        <v>1716032839</v>
      </c>
      <c r="CE40" s="40">
        <v>2034159291</v>
      </c>
      <c r="CF40" s="41"/>
      <c r="CG40" s="41"/>
      <c r="CH40" s="42"/>
    </row>
    <row r="41" spans="1:86">
      <c r="A41" s="38">
        <v>35</v>
      </c>
      <c r="B41" s="65" t="s">
        <v>61</v>
      </c>
      <c r="C41" s="39" t="s">
        <v>60</v>
      </c>
      <c r="D41" s="40">
        <v>0</v>
      </c>
      <c r="E41" s="40">
        <v>0</v>
      </c>
      <c r="F41" s="40">
        <v>0</v>
      </c>
      <c r="G41" s="40">
        <v>214724</v>
      </c>
      <c r="H41" s="40">
        <v>0</v>
      </c>
      <c r="I41" s="40">
        <v>0</v>
      </c>
      <c r="J41" s="40">
        <v>241013</v>
      </c>
      <c r="K41" s="40">
        <v>13382</v>
      </c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9324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13226</v>
      </c>
      <c r="AF41" s="40">
        <v>214</v>
      </c>
      <c r="AG41" s="40">
        <v>0</v>
      </c>
      <c r="AH41" s="40">
        <v>0</v>
      </c>
      <c r="AI41" s="40">
        <v>445</v>
      </c>
      <c r="AJ41" s="40">
        <v>2403</v>
      </c>
      <c r="AK41" s="40">
        <v>0</v>
      </c>
      <c r="AL41" s="40">
        <v>16028893</v>
      </c>
      <c r="AM41" s="40">
        <v>0</v>
      </c>
      <c r="AN41" s="40">
        <v>0</v>
      </c>
      <c r="AO41" s="40">
        <v>347906</v>
      </c>
      <c r="AP41" s="40">
        <v>3249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333405</v>
      </c>
      <c r="AX41" s="40">
        <v>36253190</v>
      </c>
      <c r="AY41" s="40">
        <v>0</v>
      </c>
      <c r="AZ41" s="40">
        <v>5226382</v>
      </c>
      <c r="BA41" s="40">
        <v>2102802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288</v>
      </c>
      <c r="BL41" s="40">
        <v>1394839</v>
      </c>
      <c r="BM41" s="40">
        <v>693794</v>
      </c>
      <c r="BN41" s="40">
        <v>312435</v>
      </c>
      <c r="BO41" s="40">
        <v>731766</v>
      </c>
      <c r="BP41" s="40">
        <v>0</v>
      </c>
      <c r="BQ41" s="40">
        <v>994255</v>
      </c>
      <c r="BR41" s="40">
        <v>0</v>
      </c>
      <c r="BS41" s="40">
        <v>0</v>
      </c>
      <c r="BT41" s="40">
        <v>64917935</v>
      </c>
      <c r="BU41" s="40">
        <v>22998110</v>
      </c>
      <c r="BV41" s="40">
        <v>0</v>
      </c>
      <c r="BW41" s="40">
        <v>0</v>
      </c>
      <c r="BX41" s="40">
        <v>22998110</v>
      </c>
      <c r="BY41" s="40">
        <v>838636782</v>
      </c>
      <c r="BZ41" s="40">
        <v>0</v>
      </c>
      <c r="CA41" s="40">
        <v>0</v>
      </c>
      <c r="CB41" s="40">
        <v>838636782</v>
      </c>
      <c r="CC41" s="40">
        <v>167500126</v>
      </c>
      <c r="CD41" s="40">
        <v>1029135018</v>
      </c>
      <c r="CE41" s="40">
        <v>1094052953</v>
      </c>
      <c r="CF41" s="41"/>
      <c r="CG41" s="41"/>
      <c r="CH41" s="42"/>
    </row>
    <row r="42" spans="1:86">
      <c r="A42" s="38">
        <v>36</v>
      </c>
      <c r="B42" s="65" t="s">
        <v>59</v>
      </c>
      <c r="C42" s="39" t="s">
        <v>58</v>
      </c>
      <c r="D42" s="40">
        <v>2670</v>
      </c>
      <c r="E42" s="40">
        <v>1</v>
      </c>
      <c r="F42" s="40">
        <v>0</v>
      </c>
      <c r="G42" s="40">
        <v>0</v>
      </c>
      <c r="H42" s="40">
        <v>131</v>
      </c>
      <c r="I42" s="40">
        <v>6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3</v>
      </c>
      <c r="AB42" s="40">
        <v>0</v>
      </c>
      <c r="AC42" s="40">
        <v>0</v>
      </c>
      <c r="AD42" s="40">
        <v>0</v>
      </c>
      <c r="AE42" s="40">
        <v>0</v>
      </c>
      <c r="AF42" s="40">
        <v>0</v>
      </c>
      <c r="AG42" s="40">
        <v>2506</v>
      </c>
      <c r="AH42" s="40">
        <v>0</v>
      </c>
      <c r="AI42" s="40">
        <v>0</v>
      </c>
      <c r="AJ42" s="40">
        <v>0</v>
      </c>
      <c r="AK42" s="40">
        <v>0</v>
      </c>
      <c r="AL42" s="40">
        <v>0</v>
      </c>
      <c r="AM42" s="40">
        <v>0</v>
      </c>
      <c r="AN42" s="40">
        <v>0</v>
      </c>
      <c r="AO42" s="40">
        <v>0</v>
      </c>
      <c r="AP42" s="40">
        <v>782</v>
      </c>
      <c r="AQ42" s="40">
        <v>0</v>
      </c>
      <c r="AR42" s="40">
        <v>0</v>
      </c>
      <c r="AS42" s="40">
        <v>464</v>
      </c>
      <c r="AT42" s="40">
        <v>60347</v>
      </c>
      <c r="AU42" s="40">
        <v>0</v>
      </c>
      <c r="AV42" s="40">
        <v>5097</v>
      </c>
      <c r="AW42" s="40">
        <v>2007</v>
      </c>
      <c r="AX42" s="40">
        <v>165</v>
      </c>
      <c r="AY42" s="40">
        <v>0</v>
      </c>
      <c r="AZ42" s="40">
        <v>0</v>
      </c>
      <c r="BA42" s="40">
        <v>0</v>
      </c>
      <c r="BB42" s="40">
        <v>0</v>
      </c>
      <c r="BC42" s="40">
        <v>87752</v>
      </c>
      <c r="BD42" s="40">
        <v>106263</v>
      </c>
      <c r="BE42" s="40">
        <v>59</v>
      </c>
      <c r="BF42" s="40">
        <v>0</v>
      </c>
      <c r="BG42" s="40">
        <v>1990</v>
      </c>
      <c r="BH42" s="40">
        <v>0</v>
      </c>
      <c r="BI42" s="40">
        <v>0</v>
      </c>
      <c r="BJ42" s="40">
        <v>6710</v>
      </c>
      <c r="BK42" s="40">
        <v>2092</v>
      </c>
      <c r="BL42" s="40">
        <v>92302</v>
      </c>
      <c r="BM42" s="40">
        <v>265500</v>
      </c>
      <c r="BN42" s="40">
        <v>518830</v>
      </c>
      <c r="BO42" s="40">
        <v>49190</v>
      </c>
      <c r="BP42" s="40">
        <v>25538</v>
      </c>
      <c r="BQ42" s="40">
        <v>129031</v>
      </c>
      <c r="BR42" s="40">
        <v>7816</v>
      </c>
      <c r="BS42" s="40">
        <v>0</v>
      </c>
      <c r="BT42" s="40">
        <v>1367252</v>
      </c>
      <c r="BU42" s="40">
        <v>98357259</v>
      </c>
      <c r="BV42" s="40">
        <v>0</v>
      </c>
      <c r="BW42" s="40">
        <v>0</v>
      </c>
      <c r="BX42" s="40">
        <v>98357259</v>
      </c>
      <c r="BY42" s="40">
        <v>130245017</v>
      </c>
      <c r="BZ42" s="40">
        <v>0</v>
      </c>
      <c r="CA42" s="40">
        <v>0</v>
      </c>
      <c r="CB42" s="40">
        <v>130245017</v>
      </c>
      <c r="CC42" s="40">
        <v>993939</v>
      </c>
      <c r="CD42" s="40">
        <v>229596215</v>
      </c>
      <c r="CE42" s="40">
        <v>230963467</v>
      </c>
      <c r="CF42" s="41"/>
      <c r="CG42" s="41"/>
      <c r="CH42" s="42"/>
    </row>
    <row r="43" spans="1:86">
      <c r="A43" s="38">
        <v>37</v>
      </c>
      <c r="B43" s="65" t="s">
        <v>57</v>
      </c>
      <c r="C43" s="39" t="s">
        <v>56</v>
      </c>
      <c r="D43" s="40">
        <v>142268</v>
      </c>
      <c r="E43" s="40">
        <v>1</v>
      </c>
      <c r="F43" s="40">
        <v>0</v>
      </c>
      <c r="G43" s="40">
        <v>0</v>
      </c>
      <c r="H43" s="40">
        <v>135341</v>
      </c>
      <c r="I43" s="40">
        <v>6397</v>
      </c>
      <c r="J43" s="40">
        <v>0</v>
      </c>
      <c r="K43" s="40">
        <v>6187</v>
      </c>
      <c r="L43" s="40">
        <v>0</v>
      </c>
      <c r="M43" s="40">
        <v>0</v>
      </c>
      <c r="N43" s="40">
        <v>74206</v>
      </c>
      <c r="O43" s="40">
        <v>0</v>
      </c>
      <c r="P43" s="40">
        <v>0</v>
      </c>
      <c r="Q43" s="40">
        <v>1824414</v>
      </c>
      <c r="R43" s="40">
        <v>371</v>
      </c>
      <c r="S43" s="40">
        <v>0</v>
      </c>
      <c r="T43" s="40">
        <v>0</v>
      </c>
      <c r="U43" s="40">
        <v>0</v>
      </c>
      <c r="V43" s="40">
        <v>0</v>
      </c>
      <c r="W43" s="40">
        <v>31947</v>
      </c>
      <c r="X43" s="40">
        <v>0</v>
      </c>
      <c r="Y43" s="40">
        <v>174209</v>
      </c>
      <c r="Z43" s="40">
        <v>986</v>
      </c>
      <c r="AA43" s="40">
        <v>966501</v>
      </c>
      <c r="AB43" s="40">
        <v>163</v>
      </c>
      <c r="AC43" s="40">
        <v>0</v>
      </c>
      <c r="AD43" s="40">
        <v>0</v>
      </c>
      <c r="AE43" s="40">
        <v>0</v>
      </c>
      <c r="AF43" s="40">
        <v>0</v>
      </c>
      <c r="AG43" s="40">
        <v>0</v>
      </c>
      <c r="AH43" s="40">
        <v>317814</v>
      </c>
      <c r="AI43" s="40">
        <v>0</v>
      </c>
      <c r="AJ43" s="40">
        <v>177</v>
      </c>
      <c r="AK43" s="40">
        <v>0</v>
      </c>
      <c r="AL43" s="40">
        <v>0</v>
      </c>
      <c r="AM43" s="40">
        <v>0</v>
      </c>
      <c r="AN43" s="40">
        <v>105788</v>
      </c>
      <c r="AO43" s="40">
        <v>0</v>
      </c>
      <c r="AP43" s="40">
        <v>705</v>
      </c>
      <c r="AQ43" s="40">
        <v>0</v>
      </c>
      <c r="AR43" s="40">
        <v>54</v>
      </c>
      <c r="AS43" s="40">
        <v>0</v>
      </c>
      <c r="AT43" s="40">
        <v>31980</v>
      </c>
      <c r="AU43" s="40">
        <v>343509</v>
      </c>
      <c r="AV43" s="40">
        <v>128109</v>
      </c>
      <c r="AW43" s="40">
        <v>1167188</v>
      </c>
      <c r="AX43" s="40">
        <v>103922</v>
      </c>
      <c r="AY43" s="40">
        <v>0</v>
      </c>
      <c r="AZ43" s="40">
        <v>0</v>
      </c>
      <c r="BA43" s="40">
        <v>61649</v>
      </c>
      <c r="BB43" s="40">
        <v>0</v>
      </c>
      <c r="BC43" s="40">
        <v>0</v>
      </c>
      <c r="BD43" s="40">
        <v>884060</v>
      </c>
      <c r="BE43" s="40">
        <v>25181</v>
      </c>
      <c r="BF43" s="40">
        <v>157442</v>
      </c>
      <c r="BG43" s="40">
        <v>3021639</v>
      </c>
      <c r="BH43" s="40">
        <v>260473</v>
      </c>
      <c r="BI43" s="40">
        <v>61841</v>
      </c>
      <c r="BJ43" s="40">
        <v>627327</v>
      </c>
      <c r="BK43" s="40">
        <v>893044</v>
      </c>
      <c r="BL43" s="40">
        <v>8341781</v>
      </c>
      <c r="BM43" s="40">
        <v>9056913</v>
      </c>
      <c r="BN43" s="40">
        <v>6570232</v>
      </c>
      <c r="BO43" s="40">
        <v>11494896</v>
      </c>
      <c r="BP43" s="40">
        <v>81233</v>
      </c>
      <c r="BQ43" s="40">
        <v>944140</v>
      </c>
      <c r="BR43" s="40">
        <v>1070624</v>
      </c>
      <c r="BS43" s="40">
        <v>0</v>
      </c>
      <c r="BT43" s="40">
        <v>49114712</v>
      </c>
      <c r="BU43" s="40">
        <v>348973042</v>
      </c>
      <c r="BV43" s="40">
        <v>0</v>
      </c>
      <c r="BW43" s="40">
        <v>0</v>
      </c>
      <c r="BX43" s="40">
        <v>348973042</v>
      </c>
      <c r="BY43" s="40">
        <v>260265597</v>
      </c>
      <c r="BZ43" s="40">
        <v>0</v>
      </c>
      <c r="CA43" s="40">
        <v>0</v>
      </c>
      <c r="CB43" s="40">
        <v>260265597</v>
      </c>
      <c r="CC43" s="40">
        <v>10094650</v>
      </c>
      <c r="CD43" s="40">
        <v>619333289</v>
      </c>
      <c r="CE43" s="40">
        <v>668448001</v>
      </c>
      <c r="CF43" s="41"/>
      <c r="CG43" s="41"/>
      <c r="CH43" s="42"/>
    </row>
    <row r="44" spans="1:86" ht="22.5">
      <c r="A44" s="38">
        <v>38</v>
      </c>
      <c r="B44" s="65" t="s">
        <v>55</v>
      </c>
      <c r="C44" s="39" t="s">
        <v>136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40">
        <v>0</v>
      </c>
      <c r="AJ44" s="40">
        <v>0</v>
      </c>
      <c r="AK44" s="40">
        <v>0</v>
      </c>
      <c r="AL44" s="40">
        <v>0</v>
      </c>
      <c r="AM44" s="40">
        <v>0</v>
      </c>
      <c r="AN44" s="40">
        <v>0</v>
      </c>
      <c r="AO44" s="40">
        <v>0</v>
      </c>
      <c r="AP44" s="40">
        <v>0</v>
      </c>
      <c r="AQ44" s="40">
        <v>0</v>
      </c>
      <c r="AR44" s="40">
        <v>0</v>
      </c>
      <c r="AS44" s="40">
        <v>0</v>
      </c>
      <c r="AT44" s="40">
        <v>0</v>
      </c>
      <c r="AU44" s="40">
        <v>0</v>
      </c>
      <c r="AV44" s="40">
        <v>0</v>
      </c>
      <c r="AW44" s="40">
        <v>0</v>
      </c>
      <c r="AX44" s="40">
        <v>0</v>
      </c>
      <c r="AY44" s="40">
        <v>0</v>
      </c>
      <c r="AZ44" s="40">
        <v>0</v>
      </c>
      <c r="BA44" s="40">
        <v>0</v>
      </c>
      <c r="BB44" s="40">
        <v>0</v>
      </c>
      <c r="BC44" s="40">
        <v>0</v>
      </c>
      <c r="BD44" s="40">
        <v>0</v>
      </c>
      <c r="BE44" s="40">
        <v>0</v>
      </c>
      <c r="BF44" s="40">
        <v>0</v>
      </c>
      <c r="BG44" s="40">
        <v>0</v>
      </c>
      <c r="BH44" s="40">
        <v>0</v>
      </c>
      <c r="BI44" s="40">
        <v>0</v>
      </c>
      <c r="BJ44" s="40">
        <v>0</v>
      </c>
      <c r="BK44" s="40">
        <v>0</v>
      </c>
      <c r="BL44" s="40">
        <v>0</v>
      </c>
      <c r="BM44" s="40">
        <v>0</v>
      </c>
      <c r="BN44" s="40">
        <v>0</v>
      </c>
      <c r="BO44" s="40">
        <v>0</v>
      </c>
      <c r="BP44" s="40">
        <v>0</v>
      </c>
      <c r="BQ44" s="40">
        <v>0</v>
      </c>
      <c r="BR44" s="40">
        <v>0</v>
      </c>
      <c r="BS44" s="40">
        <v>0</v>
      </c>
      <c r="BT44" s="40">
        <v>0</v>
      </c>
      <c r="BU44" s="40">
        <v>0</v>
      </c>
      <c r="BV44" s="40">
        <v>0</v>
      </c>
      <c r="BW44" s="40">
        <v>0</v>
      </c>
      <c r="BX44" s="40">
        <v>0</v>
      </c>
      <c r="BY44" s="40">
        <v>0</v>
      </c>
      <c r="BZ44" s="40">
        <v>0</v>
      </c>
      <c r="CA44" s="40">
        <v>0</v>
      </c>
      <c r="CB44" s="40">
        <v>0</v>
      </c>
      <c r="CC44" s="40">
        <v>0</v>
      </c>
      <c r="CD44" s="40">
        <v>0</v>
      </c>
      <c r="CE44" s="40">
        <v>0</v>
      </c>
      <c r="CF44" s="41"/>
      <c r="CG44" s="41"/>
      <c r="CH44" s="42"/>
    </row>
    <row r="45" spans="1:86" ht="22.5">
      <c r="A45" s="38">
        <v>39</v>
      </c>
      <c r="B45" s="65" t="s">
        <v>54</v>
      </c>
      <c r="C45" s="39" t="s">
        <v>53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  <c r="Q45" s="40">
        <v>0</v>
      </c>
      <c r="R45" s="40">
        <v>0</v>
      </c>
      <c r="S45" s="40">
        <v>0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0">
        <v>0</v>
      </c>
      <c r="AG45" s="40">
        <v>0</v>
      </c>
      <c r="AH45" s="40">
        <v>0</v>
      </c>
      <c r="AI45" s="40">
        <v>0</v>
      </c>
      <c r="AJ45" s="40">
        <v>0</v>
      </c>
      <c r="AK45" s="40">
        <v>0</v>
      </c>
      <c r="AL45" s="40">
        <v>0</v>
      </c>
      <c r="AM45" s="40">
        <v>0</v>
      </c>
      <c r="AN45" s="40">
        <v>0</v>
      </c>
      <c r="AO45" s="40">
        <v>0</v>
      </c>
      <c r="AP45" s="40">
        <v>0</v>
      </c>
      <c r="AQ45" s="40">
        <v>0</v>
      </c>
      <c r="AR45" s="40">
        <v>0</v>
      </c>
      <c r="AS45" s="40">
        <v>0</v>
      </c>
      <c r="AT45" s="40">
        <v>0</v>
      </c>
      <c r="AU45" s="40">
        <v>0</v>
      </c>
      <c r="AV45" s="40">
        <v>0</v>
      </c>
      <c r="AW45" s="40">
        <v>0</v>
      </c>
      <c r="AX45" s="40">
        <v>0</v>
      </c>
      <c r="AY45" s="40">
        <v>0</v>
      </c>
      <c r="AZ45" s="40">
        <v>0</v>
      </c>
      <c r="BA45" s="40">
        <v>0</v>
      </c>
      <c r="BB45" s="40">
        <v>0</v>
      </c>
      <c r="BC45" s="40">
        <v>0</v>
      </c>
      <c r="BD45" s="40">
        <v>0</v>
      </c>
      <c r="BE45" s="40">
        <v>0</v>
      </c>
      <c r="BF45" s="40">
        <v>0</v>
      </c>
      <c r="BG45" s="40">
        <v>0</v>
      </c>
      <c r="BH45" s="40">
        <v>0</v>
      </c>
      <c r="BI45" s="40">
        <v>0</v>
      </c>
      <c r="BJ45" s="40">
        <v>0</v>
      </c>
      <c r="BK45" s="40">
        <v>0</v>
      </c>
      <c r="BL45" s="40">
        <v>0</v>
      </c>
      <c r="BM45" s="40">
        <v>0</v>
      </c>
      <c r="BN45" s="40">
        <v>0</v>
      </c>
      <c r="BO45" s="40">
        <v>0</v>
      </c>
      <c r="BP45" s="40">
        <v>0</v>
      </c>
      <c r="BQ45" s="40">
        <v>0</v>
      </c>
      <c r="BR45" s="40">
        <v>0</v>
      </c>
      <c r="BS45" s="40">
        <v>0</v>
      </c>
      <c r="BT45" s="40">
        <v>0</v>
      </c>
      <c r="BU45" s="40">
        <v>0</v>
      </c>
      <c r="BV45" s="40">
        <v>0</v>
      </c>
      <c r="BW45" s="40">
        <v>0</v>
      </c>
      <c r="BX45" s="40">
        <v>0</v>
      </c>
      <c r="BY45" s="40">
        <v>0</v>
      </c>
      <c r="BZ45" s="40">
        <v>0</v>
      </c>
      <c r="CA45" s="40">
        <v>0</v>
      </c>
      <c r="CB45" s="40">
        <v>0</v>
      </c>
      <c r="CC45" s="40">
        <v>0</v>
      </c>
      <c r="CD45" s="40">
        <v>0</v>
      </c>
      <c r="CE45" s="40">
        <v>0</v>
      </c>
      <c r="CF45" s="41"/>
      <c r="CG45" s="41"/>
      <c r="CH45" s="42"/>
    </row>
    <row r="46" spans="1:86" ht="33.75">
      <c r="A46" s="38">
        <v>40</v>
      </c>
      <c r="B46" s="65" t="s">
        <v>52</v>
      </c>
      <c r="C46" s="39" t="s">
        <v>51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  <c r="AI46" s="40">
        <v>0</v>
      </c>
      <c r="AJ46" s="40">
        <v>0</v>
      </c>
      <c r="AK46" s="40">
        <v>0</v>
      </c>
      <c r="AL46" s="40">
        <v>0</v>
      </c>
      <c r="AM46" s="40">
        <v>0</v>
      </c>
      <c r="AN46" s="40">
        <v>0</v>
      </c>
      <c r="AO46" s="40">
        <v>0</v>
      </c>
      <c r="AP46" s="40">
        <v>0</v>
      </c>
      <c r="AQ46" s="40">
        <v>0</v>
      </c>
      <c r="AR46" s="40">
        <v>0</v>
      </c>
      <c r="AS46" s="40">
        <v>0</v>
      </c>
      <c r="AT46" s="40">
        <v>0</v>
      </c>
      <c r="AU46" s="40">
        <v>0</v>
      </c>
      <c r="AV46" s="40">
        <v>0</v>
      </c>
      <c r="AW46" s="40">
        <v>0</v>
      </c>
      <c r="AX46" s="40">
        <v>0</v>
      </c>
      <c r="AY46" s="40">
        <v>0</v>
      </c>
      <c r="AZ46" s="40">
        <v>0</v>
      </c>
      <c r="BA46" s="40">
        <v>0</v>
      </c>
      <c r="BB46" s="40">
        <v>0</v>
      </c>
      <c r="BC46" s="40">
        <v>0</v>
      </c>
      <c r="BD46" s="40">
        <v>0</v>
      </c>
      <c r="BE46" s="40">
        <v>0</v>
      </c>
      <c r="BF46" s="40">
        <v>0</v>
      </c>
      <c r="BG46" s="40">
        <v>0</v>
      </c>
      <c r="BH46" s="40">
        <v>0</v>
      </c>
      <c r="BI46" s="40">
        <v>0</v>
      </c>
      <c r="BJ46" s="40">
        <v>0</v>
      </c>
      <c r="BK46" s="40">
        <v>0</v>
      </c>
      <c r="BL46" s="40">
        <v>0</v>
      </c>
      <c r="BM46" s="40">
        <v>0</v>
      </c>
      <c r="BN46" s="40">
        <v>0</v>
      </c>
      <c r="BO46" s="40">
        <v>0</v>
      </c>
      <c r="BP46" s="40">
        <v>0</v>
      </c>
      <c r="BQ46" s="40">
        <v>0</v>
      </c>
      <c r="BR46" s="40">
        <v>0</v>
      </c>
      <c r="BS46" s="40">
        <v>0</v>
      </c>
      <c r="BT46" s="40">
        <v>0</v>
      </c>
      <c r="BU46" s="40">
        <v>0</v>
      </c>
      <c r="BV46" s="40">
        <v>0</v>
      </c>
      <c r="BW46" s="40">
        <v>0</v>
      </c>
      <c r="BX46" s="40">
        <v>0</v>
      </c>
      <c r="BY46" s="40">
        <v>0</v>
      </c>
      <c r="BZ46" s="40">
        <v>0</v>
      </c>
      <c r="CA46" s="40">
        <v>0</v>
      </c>
      <c r="CB46" s="40">
        <v>0</v>
      </c>
      <c r="CC46" s="40">
        <v>0</v>
      </c>
      <c r="CD46" s="40">
        <v>0</v>
      </c>
      <c r="CE46" s="40">
        <v>0</v>
      </c>
      <c r="CF46" s="41"/>
      <c r="CG46" s="41"/>
      <c r="CH46" s="42"/>
    </row>
    <row r="47" spans="1:86" ht="22.5">
      <c r="A47" s="38">
        <v>41</v>
      </c>
      <c r="B47" s="65" t="s">
        <v>50</v>
      </c>
      <c r="C47" s="39" t="s">
        <v>49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  <c r="AI47" s="40">
        <v>0</v>
      </c>
      <c r="AJ47" s="40">
        <v>0</v>
      </c>
      <c r="AK47" s="40">
        <v>0</v>
      </c>
      <c r="AL47" s="40">
        <v>0</v>
      </c>
      <c r="AM47" s="40">
        <v>0</v>
      </c>
      <c r="AN47" s="40">
        <v>0</v>
      </c>
      <c r="AO47" s="40">
        <v>0</v>
      </c>
      <c r="AP47" s="40">
        <v>0</v>
      </c>
      <c r="AQ47" s="40">
        <v>0</v>
      </c>
      <c r="AR47" s="40">
        <v>0</v>
      </c>
      <c r="AS47" s="40">
        <v>0</v>
      </c>
      <c r="AT47" s="40">
        <v>0</v>
      </c>
      <c r="AU47" s="40">
        <v>0</v>
      </c>
      <c r="AV47" s="40">
        <v>0</v>
      </c>
      <c r="AW47" s="40">
        <v>0</v>
      </c>
      <c r="AX47" s="40">
        <v>0</v>
      </c>
      <c r="AY47" s="40">
        <v>0</v>
      </c>
      <c r="AZ47" s="40">
        <v>0</v>
      </c>
      <c r="BA47" s="40">
        <v>0</v>
      </c>
      <c r="BB47" s="40">
        <v>0</v>
      </c>
      <c r="BC47" s="40">
        <v>0</v>
      </c>
      <c r="BD47" s="40">
        <v>0</v>
      </c>
      <c r="BE47" s="40">
        <v>0</v>
      </c>
      <c r="BF47" s="40">
        <v>0</v>
      </c>
      <c r="BG47" s="40">
        <v>0</v>
      </c>
      <c r="BH47" s="40">
        <v>0</v>
      </c>
      <c r="BI47" s="40">
        <v>0</v>
      </c>
      <c r="BJ47" s="40">
        <v>0</v>
      </c>
      <c r="BK47" s="40">
        <v>0</v>
      </c>
      <c r="BL47" s="40">
        <v>0</v>
      </c>
      <c r="BM47" s="40">
        <v>0</v>
      </c>
      <c r="BN47" s="40">
        <v>0</v>
      </c>
      <c r="BO47" s="40">
        <v>0</v>
      </c>
      <c r="BP47" s="40">
        <v>0</v>
      </c>
      <c r="BQ47" s="40">
        <v>0</v>
      </c>
      <c r="BR47" s="40">
        <v>0</v>
      </c>
      <c r="BS47" s="40">
        <v>0</v>
      </c>
      <c r="BT47" s="40">
        <v>0</v>
      </c>
      <c r="BU47" s="40">
        <v>0</v>
      </c>
      <c r="BV47" s="40">
        <v>0</v>
      </c>
      <c r="BW47" s="40">
        <v>0</v>
      </c>
      <c r="BX47" s="40">
        <v>0</v>
      </c>
      <c r="BY47" s="40">
        <v>0</v>
      </c>
      <c r="BZ47" s="40">
        <v>0</v>
      </c>
      <c r="CA47" s="40">
        <v>0</v>
      </c>
      <c r="CB47" s="40">
        <v>0</v>
      </c>
      <c r="CC47" s="40">
        <v>0</v>
      </c>
      <c r="CD47" s="40">
        <v>0</v>
      </c>
      <c r="CE47" s="40">
        <v>0</v>
      </c>
      <c r="CF47" s="41"/>
      <c r="CG47" s="41"/>
      <c r="CH47" s="42"/>
    </row>
    <row r="48" spans="1:86" ht="33.75">
      <c r="A48" s="38">
        <v>42</v>
      </c>
      <c r="B48" s="65" t="s">
        <v>94</v>
      </c>
      <c r="C48" s="39" t="s">
        <v>162</v>
      </c>
      <c r="D48" s="40">
        <v>336503</v>
      </c>
      <c r="E48" s="40">
        <v>871</v>
      </c>
      <c r="F48" s="40">
        <v>0</v>
      </c>
      <c r="G48" s="40">
        <v>7384</v>
      </c>
      <c r="H48" s="40">
        <v>1957234</v>
      </c>
      <c r="I48" s="40">
        <v>92943</v>
      </c>
      <c r="J48" s="40">
        <v>0</v>
      </c>
      <c r="K48" s="40">
        <v>88892</v>
      </c>
      <c r="L48" s="40">
        <v>21907</v>
      </c>
      <c r="M48" s="40">
        <v>60183</v>
      </c>
      <c r="N48" s="40">
        <v>156740</v>
      </c>
      <c r="O48" s="40">
        <v>4106</v>
      </c>
      <c r="P48" s="40">
        <v>6</v>
      </c>
      <c r="Q48" s="40">
        <v>721</v>
      </c>
      <c r="R48" s="40">
        <v>456</v>
      </c>
      <c r="S48" s="40">
        <v>297</v>
      </c>
      <c r="T48" s="40">
        <v>1178</v>
      </c>
      <c r="U48" s="40">
        <v>2</v>
      </c>
      <c r="V48" s="40">
        <v>0</v>
      </c>
      <c r="W48" s="40">
        <v>74191</v>
      </c>
      <c r="X48" s="40">
        <v>2428</v>
      </c>
      <c r="Y48" s="40">
        <v>198356</v>
      </c>
      <c r="Z48" s="40">
        <v>23718</v>
      </c>
      <c r="AA48" s="40">
        <v>5074</v>
      </c>
      <c r="AB48" s="40">
        <v>23</v>
      </c>
      <c r="AC48" s="40">
        <v>1</v>
      </c>
      <c r="AD48" s="40">
        <v>53</v>
      </c>
      <c r="AE48" s="40">
        <v>3741</v>
      </c>
      <c r="AF48" s="40">
        <v>177</v>
      </c>
      <c r="AG48" s="40">
        <v>487</v>
      </c>
      <c r="AH48" s="40">
        <v>0</v>
      </c>
      <c r="AI48" s="40">
        <v>1</v>
      </c>
      <c r="AJ48" s="40">
        <v>31</v>
      </c>
      <c r="AK48" s="40">
        <v>4413</v>
      </c>
      <c r="AL48" s="40">
        <v>246</v>
      </c>
      <c r="AM48" s="40">
        <v>0</v>
      </c>
      <c r="AN48" s="40">
        <v>445</v>
      </c>
      <c r="AO48" s="40">
        <v>1034</v>
      </c>
      <c r="AP48" s="40">
        <v>227765</v>
      </c>
      <c r="AQ48" s="40">
        <v>1981</v>
      </c>
      <c r="AR48" s="40">
        <v>3622</v>
      </c>
      <c r="AS48" s="40">
        <v>640011</v>
      </c>
      <c r="AT48" s="40">
        <v>106964</v>
      </c>
      <c r="AU48" s="40">
        <v>1262690</v>
      </c>
      <c r="AV48" s="40">
        <v>218763</v>
      </c>
      <c r="AW48" s="40">
        <v>177859</v>
      </c>
      <c r="AX48" s="40">
        <v>293763</v>
      </c>
      <c r="AY48" s="40">
        <v>375</v>
      </c>
      <c r="AZ48" s="40">
        <v>23778</v>
      </c>
      <c r="BA48" s="40">
        <v>188571</v>
      </c>
      <c r="BB48" s="40">
        <v>9420</v>
      </c>
      <c r="BC48" s="40">
        <v>219530</v>
      </c>
      <c r="BD48" s="40">
        <v>41195</v>
      </c>
      <c r="BE48" s="40">
        <v>161146</v>
      </c>
      <c r="BF48" s="40">
        <v>177457</v>
      </c>
      <c r="BG48" s="40">
        <v>35721</v>
      </c>
      <c r="BH48" s="40">
        <v>26624</v>
      </c>
      <c r="BI48" s="40">
        <v>14398</v>
      </c>
      <c r="BJ48" s="40">
        <v>750750</v>
      </c>
      <c r="BK48" s="40">
        <v>1389942</v>
      </c>
      <c r="BL48" s="40">
        <v>4622003</v>
      </c>
      <c r="BM48" s="40">
        <v>2686885</v>
      </c>
      <c r="BN48" s="40">
        <v>1850261</v>
      </c>
      <c r="BO48" s="40">
        <v>6678753</v>
      </c>
      <c r="BP48" s="40">
        <v>17573</v>
      </c>
      <c r="BQ48" s="40">
        <v>115880</v>
      </c>
      <c r="BR48" s="40">
        <v>361664</v>
      </c>
      <c r="BS48" s="40">
        <v>0</v>
      </c>
      <c r="BT48" s="40">
        <v>25349186</v>
      </c>
      <c r="BU48" s="40">
        <v>9437296</v>
      </c>
      <c r="BV48" s="40">
        <v>0</v>
      </c>
      <c r="BW48" s="40">
        <v>0</v>
      </c>
      <c r="BX48" s="40">
        <v>9437296</v>
      </c>
      <c r="BY48" s="40">
        <v>0</v>
      </c>
      <c r="BZ48" s="40">
        <v>0</v>
      </c>
      <c r="CA48" s="40">
        <v>0</v>
      </c>
      <c r="CB48" s="40">
        <v>0</v>
      </c>
      <c r="CC48" s="40">
        <v>10378173</v>
      </c>
      <c r="CD48" s="40">
        <v>19815469</v>
      </c>
      <c r="CE48" s="40">
        <v>45164655</v>
      </c>
      <c r="CF48" s="41"/>
      <c r="CG48" s="41"/>
      <c r="CH48" s="42"/>
    </row>
    <row r="49" spans="1:86">
      <c r="A49" s="38">
        <v>43</v>
      </c>
      <c r="B49" s="65" t="s">
        <v>48</v>
      </c>
      <c r="C49" s="39" t="s">
        <v>47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0</v>
      </c>
      <c r="AH49" s="40">
        <v>0</v>
      </c>
      <c r="AI49" s="40">
        <v>0</v>
      </c>
      <c r="AJ49" s="40">
        <v>0</v>
      </c>
      <c r="AK49" s="40">
        <v>0</v>
      </c>
      <c r="AL49" s="40">
        <v>0</v>
      </c>
      <c r="AM49" s="40">
        <v>0</v>
      </c>
      <c r="AN49" s="40">
        <v>0</v>
      </c>
      <c r="AO49" s="40">
        <v>0</v>
      </c>
      <c r="AP49" s="40">
        <v>0</v>
      </c>
      <c r="AQ49" s="40">
        <v>0</v>
      </c>
      <c r="AR49" s="40">
        <v>0</v>
      </c>
      <c r="AS49" s="40">
        <v>0</v>
      </c>
      <c r="AT49" s="40">
        <v>0</v>
      </c>
      <c r="AU49" s="40">
        <v>0</v>
      </c>
      <c r="AV49" s="40">
        <v>0</v>
      </c>
      <c r="AW49" s="40">
        <v>0</v>
      </c>
      <c r="AX49" s="40">
        <v>0</v>
      </c>
      <c r="AY49" s="40">
        <v>0</v>
      </c>
      <c r="AZ49" s="40">
        <v>0</v>
      </c>
      <c r="BA49" s="40">
        <v>0</v>
      </c>
      <c r="BB49" s="40">
        <v>0</v>
      </c>
      <c r="BC49" s="40">
        <v>0</v>
      </c>
      <c r="BD49" s="40">
        <v>0</v>
      </c>
      <c r="BE49" s="40">
        <v>0</v>
      </c>
      <c r="BF49" s="40">
        <v>0</v>
      </c>
      <c r="BG49" s="40">
        <v>0</v>
      </c>
      <c r="BH49" s="40">
        <v>0</v>
      </c>
      <c r="BI49" s="40">
        <v>0</v>
      </c>
      <c r="BJ49" s="40">
        <v>0</v>
      </c>
      <c r="BK49" s="40">
        <v>0</v>
      </c>
      <c r="BL49" s="40">
        <v>0</v>
      </c>
      <c r="BM49" s="40">
        <v>0</v>
      </c>
      <c r="BN49" s="40">
        <v>0</v>
      </c>
      <c r="BO49" s="40">
        <v>0</v>
      </c>
      <c r="BP49" s="40">
        <v>0</v>
      </c>
      <c r="BQ49" s="40">
        <v>0</v>
      </c>
      <c r="BR49" s="40">
        <v>0</v>
      </c>
      <c r="BS49" s="40">
        <v>0</v>
      </c>
      <c r="BT49" s="40">
        <v>0</v>
      </c>
      <c r="BU49" s="40">
        <v>0</v>
      </c>
      <c r="BV49" s="40">
        <v>0</v>
      </c>
      <c r="BW49" s="40">
        <v>0</v>
      </c>
      <c r="BX49" s="40">
        <v>0</v>
      </c>
      <c r="BY49" s="40">
        <v>0</v>
      </c>
      <c r="BZ49" s="40">
        <v>0</v>
      </c>
      <c r="CA49" s="40">
        <v>0</v>
      </c>
      <c r="CB49" s="40">
        <v>0</v>
      </c>
      <c r="CC49" s="40">
        <v>0</v>
      </c>
      <c r="CD49" s="40">
        <v>0</v>
      </c>
      <c r="CE49" s="40">
        <v>0</v>
      </c>
      <c r="CF49" s="41"/>
      <c r="CG49" s="41"/>
      <c r="CH49" s="42"/>
    </row>
    <row r="50" spans="1:86" ht="33.75">
      <c r="A50" s="38">
        <v>44</v>
      </c>
      <c r="B50" s="65" t="s">
        <v>46</v>
      </c>
      <c r="C50" s="39" t="s">
        <v>137</v>
      </c>
      <c r="D50" s="40">
        <v>-25786375</v>
      </c>
      <c r="E50" s="40">
        <v>0</v>
      </c>
      <c r="F50" s="40">
        <v>-5634</v>
      </c>
      <c r="G50" s="40">
        <v>-2873230</v>
      </c>
      <c r="H50" s="40">
        <v>-696115</v>
      </c>
      <c r="I50" s="40">
        <v>-33041</v>
      </c>
      <c r="J50" s="40">
        <v>-1271465</v>
      </c>
      <c r="K50" s="40">
        <v>-749765</v>
      </c>
      <c r="L50" s="40">
        <v>-84511</v>
      </c>
      <c r="M50" s="40">
        <v>-74148</v>
      </c>
      <c r="N50" s="40">
        <v>-845228</v>
      </c>
      <c r="O50" s="40">
        <v>0</v>
      </c>
      <c r="P50" s="40">
        <v>-792</v>
      </c>
      <c r="Q50" s="40">
        <v>0</v>
      </c>
      <c r="R50" s="40">
        <v>0</v>
      </c>
      <c r="S50" s="40">
        <v>-2060</v>
      </c>
      <c r="T50" s="40">
        <v>-1157</v>
      </c>
      <c r="U50" s="40">
        <v>-169</v>
      </c>
      <c r="V50" s="40">
        <v>-56719</v>
      </c>
      <c r="W50" s="40">
        <v>-8743</v>
      </c>
      <c r="X50" s="40">
        <v>0</v>
      </c>
      <c r="Y50" s="40">
        <v>0</v>
      </c>
      <c r="Z50" s="40">
        <v>0</v>
      </c>
      <c r="AA50" s="40">
        <v>-14884</v>
      </c>
      <c r="AB50" s="40">
        <v>-23688</v>
      </c>
      <c r="AC50" s="40">
        <v>-4248</v>
      </c>
      <c r="AD50" s="40">
        <v>0</v>
      </c>
      <c r="AE50" s="40">
        <v>0</v>
      </c>
      <c r="AF50" s="40">
        <v>-213</v>
      </c>
      <c r="AG50" s="40">
        <v>0</v>
      </c>
      <c r="AH50" s="40">
        <v>0</v>
      </c>
      <c r="AI50" s="40">
        <v>0</v>
      </c>
      <c r="AJ50" s="40">
        <v>-4350440</v>
      </c>
      <c r="AK50" s="40">
        <v>-86014784</v>
      </c>
      <c r="AL50" s="40">
        <v>-16039777</v>
      </c>
      <c r="AM50" s="40">
        <v>0</v>
      </c>
      <c r="AN50" s="40">
        <v>-1562</v>
      </c>
      <c r="AO50" s="40">
        <v>-4055706</v>
      </c>
      <c r="AP50" s="40">
        <v>-269716</v>
      </c>
      <c r="AQ50" s="40">
        <v>-2110</v>
      </c>
      <c r="AR50" s="40">
        <v>-42994</v>
      </c>
      <c r="AS50" s="40">
        <v>-6596353</v>
      </c>
      <c r="AT50" s="40">
        <v>-3054743</v>
      </c>
      <c r="AU50" s="40">
        <v>-254167900</v>
      </c>
      <c r="AV50" s="40">
        <v>-2047295</v>
      </c>
      <c r="AW50" s="40">
        <v>-611506</v>
      </c>
      <c r="AX50" s="40">
        <v>-74616400</v>
      </c>
      <c r="AY50" s="40">
        <v>0</v>
      </c>
      <c r="AZ50" s="40">
        <v>-17654573</v>
      </c>
      <c r="BA50" s="40">
        <v>-8619664</v>
      </c>
      <c r="BB50" s="40">
        <v>-72159</v>
      </c>
      <c r="BC50" s="40">
        <v>-1514</v>
      </c>
      <c r="BD50" s="40">
        <v>-1698176</v>
      </c>
      <c r="BE50" s="40">
        <v>-47936</v>
      </c>
      <c r="BF50" s="40">
        <v>0</v>
      </c>
      <c r="BG50" s="40">
        <v>-156852</v>
      </c>
      <c r="BH50" s="40">
        <v>-91745</v>
      </c>
      <c r="BI50" s="40">
        <v>-39240</v>
      </c>
      <c r="BJ50" s="40">
        <v>-844432</v>
      </c>
      <c r="BK50" s="40">
        <v>-1523891</v>
      </c>
      <c r="BL50" s="40">
        <v>-41305259</v>
      </c>
      <c r="BM50" s="40">
        <v>-5776337</v>
      </c>
      <c r="BN50" s="40">
        <v>-3377348</v>
      </c>
      <c r="BO50" s="40">
        <v>-6040395</v>
      </c>
      <c r="BP50" s="40">
        <v>-164299</v>
      </c>
      <c r="BQ50" s="40">
        <v>-1110367</v>
      </c>
      <c r="BR50" s="40">
        <v>-75801</v>
      </c>
      <c r="BS50" s="40">
        <v>0</v>
      </c>
      <c r="BT50" s="40">
        <v>-573003459</v>
      </c>
      <c r="BU50" s="40">
        <v>-1021413790</v>
      </c>
      <c r="BV50" s="40">
        <v>0</v>
      </c>
      <c r="BW50" s="40">
        <v>0</v>
      </c>
      <c r="BX50" s="40">
        <v>-1021413790</v>
      </c>
      <c r="BY50" s="40">
        <v>-1440149337</v>
      </c>
      <c r="BZ50" s="40">
        <v>0</v>
      </c>
      <c r="CA50" s="40">
        <v>0</v>
      </c>
      <c r="CB50" s="40">
        <v>-1440149337</v>
      </c>
      <c r="CC50" s="40">
        <v>-215872004</v>
      </c>
      <c r="CD50" s="40">
        <v>-2677435131</v>
      </c>
      <c r="CE50" s="40">
        <v>-3250438590</v>
      </c>
      <c r="CF50" s="41"/>
      <c r="CG50" s="41"/>
      <c r="CH50" s="42"/>
    </row>
    <row r="51" spans="1:86" ht="22.5">
      <c r="A51" s="38">
        <v>45</v>
      </c>
      <c r="B51" s="65" t="s">
        <v>45</v>
      </c>
      <c r="C51" s="39" t="s">
        <v>44</v>
      </c>
      <c r="D51" s="40">
        <v>-816607509</v>
      </c>
      <c r="E51" s="40">
        <v>0</v>
      </c>
      <c r="F51" s="40">
        <v>-3328141</v>
      </c>
      <c r="G51" s="40">
        <v>-39602426</v>
      </c>
      <c r="H51" s="40">
        <v>-397578482</v>
      </c>
      <c r="I51" s="40">
        <v>-4722177</v>
      </c>
      <c r="J51" s="40">
        <v>-99964911</v>
      </c>
      <c r="K51" s="40">
        <v>-991729065</v>
      </c>
      <c r="L51" s="40">
        <v>-25807375</v>
      </c>
      <c r="M51" s="40">
        <v>-158017267</v>
      </c>
      <c r="N51" s="40">
        <v>-646010900</v>
      </c>
      <c r="O51" s="40">
        <v>-20477535</v>
      </c>
      <c r="P51" s="40">
        <v>-10090391</v>
      </c>
      <c r="Q51" s="40">
        <v>-7359151</v>
      </c>
      <c r="R51" s="40">
        <v>-771550</v>
      </c>
      <c r="S51" s="40">
        <v>-7951631</v>
      </c>
      <c r="T51" s="40">
        <v>-22315285</v>
      </c>
      <c r="U51" s="40">
        <v>-13191536</v>
      </c>
      <c r="V51" s="40">
        <v>-26505080</v>
      </c>
      <c r="W51" s="40">
        <v>-91352987</v>
      </c>
      <c r="X51" s="40">
        <v>-57016648</v>
      </c>
      <c r="Y51" s="40">
        <v>-37379546</v>
      </c>
      <c r="Z51" s="40">
        <v>-36763302</v>
      </c>
      <c r="AA51" s="40">
        <v>-217677332</v>
      </c>
      <c r="AB51" s="40">
        <v>-651829372</v>
      </c>
      <c r="AC51" s="40">
        <v>-45821011</v>
      </c>
      <c r="AD51" s="40">
        <v>-7123575</v>
      </c>
      <c r="AE51" s="40">
        <v>-384709767</v>
      </c>
      <c r="AF51" s="40">
        <v>-12645943</v>
      </c>
      <c r="AG51" s="40">
        <v>-131228527</v>
      </c>
      <c r="AH51" s="40">
        <v>-21789646</v>
      </c>
      <c r="AI51" s="40">
        <v>-117337730</v>
      </c>
      <c r="AJ51" s="40">
        <v>-106507356</v>
      </c>
      <c r="AK51" s="40">
        <v>-152834906</v>
      </c>
      <c r="AL51" s="40">
        <v>-101513430</v>
      </c>
      <c r="AM51" s="40">
        <v>-32041727</v>
      </c>
      <c r="AN51" s="40">
        <v>-17760016</v>
      </c>
      <c r="AO51" s="40">
        <v>-224263474</v>
      </c>
      <c r="AP51" s="40">
        <v>-272911628</v>
      </c>
      <c r="AQ51" s="40">
        <v>-3600664</v>
      </c>
      <c r="AR51" s="40">
        <v>-51024474</v>
      </c>
      <c r="AS51" s="40">
        <v>-76660092</v>
      </c>
      <c r="AT51" s="40">
        <v>-2536651856</v>
      </c>
      <c r="AU51" s="40">
        <v>-50064969</v>
      </c>
      <c r="AV51" s="40">
        <v>-89830997</v>
      </c>
      <c r="AW51" s="40">
        <v>-52206985</v>
      </c>
      <c r="AX51" s="40">
        <v>-171877754</v>
      </c>
      <c r="AY51" s="40">
        <v>-1181707</v>
      </c>
      <c r="AZ51" s="40">
        <v>-40816589</v>
      </c>
      <c r="BA51" s="40">
        <v>-88586553</v>
      </c>
      <c r="BB51" s="40">
        <v>-624877</v>
      </c>
      <c r="BC51" s="40">
        <v>-38708795</v>
      </c>
      <c r="BD51" s="40">
        <v>-304745542</v>
      </c>
      <c r="BE51" s="40">
        <v>-29098581</v>
      </c>
      <c r="BF51" s="40">
        <v>-54033023</v>
      </c>
      <c r="BG51" s="40">
        <v>-38334914</v>
      </c>
      <c r="BH51" s="40">
        <v>-5953125</v>
      </c>
      <c r="BI51" s="40">
        <v>-2840427</v>
      </c>
      <c r="BJ51" s="40">
        <v>-90096403</v>
      </c>
      <c r="BK51" s="40">
        <v>-289449025</v>
      </c>
      <c r="BL51" s="40">
        <v>-62989353</v>
      </c>
      <c r="BM51" s="40">
        <v>-12541637</v>
      </c>
      <c r="BN51" s="40">
        <v>-206583801</v>
      </c>
      <c r="BO51" s="40">
        <v>-772422094</v>
      </c>
      <c r="BP51" s="40">
        <v>-6891428</v>
      </c>
      <c r="BQ51" s="40">
        <v>-85661740</v>
      </c>
      <c r="BR51" s="40">
        <v>-27011201</v>
      </c>
      <c r="BS51" s="40">
        <v>0</v>
      </c>
      <c r="BT51" s="40">
        <v>-11203026941</v>
      </c>
      <c r="BU51" s="40">
        <v>-4396465407</v>
      </c>
      <c r="BV51" s="40">
        <v>0</v>
      </c>
      <c r="BW51" s="40">
        <v>0</v>
      </c>
      <c r="BX51" s="40">
        <v>-4396465407</v>
      </c>
      <c r="BY51" s="40">
        <v>-2108489173</v>
      </c>
      <c r="BZ51" s="40">
        <v>0</v>
      </c>
      <c r="CA51" s="40">
        <v>0</v>
      </c>
      <c r="CB51" s="40">
        <v>-2108489173</v>
      </c>
      <c r="CC51" s="40">
        <v>-4621333294</v>
      </c>
      <c r="CD51" s="40">
        <v>-11126287874</v>
      </c>
      <c r="CE51" s="40">
        <v>-22329314815</v>
      </c>
      <c r="CF51" s="41"/>
      <c r="CG51" s="41"/>
      <c r="CH51" s="42"/>
    </row>
    <row r="52" spans="1:86" ht="33.75">
      <c r="A52" s="38">
        <v>46</v>
      </c>
      <c r="B52" s="65" t="s">
        <v>43</v>
      </c>
      <c r="C52" s="39" t="s">
        <v>42</v>
      </c>
      <c r="D52" s="40">
        <v>-88253647</v>
      </c>
      <c r="E52" s="40">
        <v>-79018</v>
      </c>
      <c r="F52" s="40">
        <v>-67163</v>
      </c>
      <c r="G52" s="40">
        <v>-14544847</v>
      </c>
      <c r="H52" s="40">
        <v>-22386253</v>
      </c>
      <c r="I52" s="40">
        <v>-1029852</v>
      </c>
      <c r="J52" s="40">
        <v>-1971231</v>
      </c>
      <c r="K52" s="40">
        <v>-5296173</v>
      </c>
      <c r="L52" s="40">
        <v>-3774704</v>
      </c>
      <c r="M52" s="40">
        <v>-2278959</v>
      </c>
      <c r="N52" s="40">
        <v>-6748030</v>
      </c>
      <c r="O52" s="40">
        <v>0</v>
      </c>
      <c r="P52" s="40">
        <v>-17481</v>
      </c>
      <c r="Q52" s="40">
        <v>-8835</v>
      </c>
      <c r="R52" s="40">
        <v>-1617</v>
      </c>
      <c r="S52" s="40">
        <v>-49002</v>
      </c>
      <c r="T52" s="40">
        <v>-271005</v>
      </c>
      <c r="U52" s="40">
        <v>0</v>
      </c>
      <c r="V52" s="40">
        <v>-1212930</v>
      </c>
      <c r="W52" s="40">
        <v>-9742281</v>
      </c>
      <c r="X52" s="40">
        <v>-286251</v>
      </c>
      <c r="Y52" s="40">
        <v>-11467</v>
      </c>
      <c r="Z52" s="40">
        <v>-45924</v>
      </c>
      <c r="AA52" s="40">
        <v>-2241445</v>
      </c>
      <c r="AB52" s="40">
        <v>-1072215</v>
      </c>
      <c r="AC52" s="40">
        <v>-317619</v>
      </c>
      <c r="AD52" s="40">
        <v>-7151784</v>
      </c>
      <c r="AE52" s="40">
        <v>-1616869</v>
      </c>
      <c r="AF52" s="40">
        <v>-789</v>
      </c>
      <c r="AG52" s="40">
        <v>-415457</v>
      </c>
      <c r="AH52" s="40">
        <v>-350875</v>
      </c>
      <c r="AI52" s="40">
        <v>-43839</v>
      </c>
      <c r="AJ52" s="40">
        <v>-4757333</v>
      </c>
      <c r="AK52" s="40">
        <v>-159271</v>
      </c>
      <c r="AL52" s="40">
        <v>-178672</v>
      </c>
      <c r="AM52" s="40">
        <v>-7947</v>
      </c>
      <c r="AN52" s="40">
        <v>-9120</v>
      </c>
      <c r="AO52" s="40">
        <v>-1183914</v>
      </c>
      <c r="AP52" s="40">
        <v>-10684278</v>
      </c>
      <c r="AQ52" s="40">
        <v>-5629814</v>
      </c>
      <c r="AR52" s="40">
        <v>-4406595</v>
      </c>
      <c r="AS52" s="40">
        <v>-3395015</v>
      </c>
      <c r="AT52" s="40">
        <v>-35310913</v>
      </c>
      <c r="AU52" s="40">
        <v>-3458138</v>
      </c>
      <c r="AV52" s="40">
        <v>-109090206</v>
      </c>
      <c r="AW52" s="40">
        <v>-50548171</v>
      </c>
      <c r="AX52" s="40">
        <v>-154324962</v>
      </c>
      <c r="AY52" s="40">
        <v>-619925</v>
      </c>
      <c r="AZ52" s="40">
        <v>-34159720</v>
      </c>
      <c r="BA52" s="40">
        <v>-36505034</v>
      </c>
      <c r="BB52" s="40">
        <v>-1304135</v>
      </c>
      <c r="BC52" s="40">
        <v>-1943735</v>
      </c>
      <c r="BD52" s="40">
        <v>-1076527</v>
      </c>
      <c r="BE52" s="40">
        <v>-4140280</v>
      </c>
      <c r="BF52" s="40">
        <v>-8320757</v>
      </c>
      <c r="BG52" s="40">
        <v>-1238522</v>
      </c>
      <c r="BH52" s="40">
        <v>-560156</v>
      </c>
      <c r="BI52" s="40">
        <v>-209831</v>
      </c>
      <c r="BJ52" s="40">
        <v>-4303557</v>
      </c>
      <c r="BK52" s="40">
        <v>-15880939</v>
      </c>
      <c r="BL52" s="40">
        <v>-24258245</v>
      </c>
      <c r="BM52" s="40">
        <v>-114010880</v>
      </c>
      <c r="BN52" s="40">
        <v>-27364274</v>
      </c>
      <c r="BO52" s="40">
        <v>-44059824</v>
      </c>
      <c r="BP52" s="40">
        <v>-1052402</v>
      </c>
      <c r="BQ52" s="40">
        <v>-5338643</v>
      </c>
      <c r="BR52" s="40">
        <v>-6285328</v>
      </c>
      <c r="BS52" s="40">
        <v>0</v>
      </c>
      <c r="BT52" s="40">
        <v>-887064625</v>
      </c>
      <c r="BU52" s="40">
        <v>-7473937725</v>
      </c>
      <c r="BV52" s="40">
        <v>0</v>
      </c>
      <c r="BW52" s="40">
        <v>0</v>
      </c>
      <c r="BX52" s="40">
        <v>-7473937725</v>
      </c>
      <c r="BY52" s="40">
        <v>-939292851</v>
      </c>
      <c r="BZ52" s="40">
        <v>0</v>
      </c>
      <c r="CA52" s="40">
        <v>0</v>
      </c>
      <c r="CB52" s="40">
        <v>-939292851</v>
      </c>
      <c r="CC52" s="40">
        <v>-467987046</v>
      </c>
      <c r="CD52" s="40">
        <v>-8881217622</v>
      </c>
      <c r="CE52" s="40">
        <v>-9768282247</v>
      </c>
      <c r="CF52" s="41"/>
      <c r="CG52" s="41"/>
      <c r="CH52" s="42"/>
    </row>
    <row r="53" spans="1:86" ht="22.5">
      <c r="A53" s="38">
        <v>47</v>
      </c>
      <c r="B53" s="65" t="s">
        <v>41</v>
      </c>
      <c r="C53" s="39" t="s">
        <v>40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  <c r="Q53" s="40">
        <v>0</v>
      </c>
      <c r="R53" s="40">
        <v>0</v>
      </c>
      <c r="S53" s="40">
        <v>0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  <c r="AC53" s="40">
        <v>0</v>
      </c>
      <c r="AD53" s="40">
        <v>0</v>
      </c>
      <c r="AE53" s="40">
        <v>0</v>
      </c>
      <c r="AF53" s="40">
        <v>0</v>
      </c>
      <c r="AG53" s="40">
        <v>0</v>
      </c>
      <c r="AH53" s="40">
        <v>0</v>
      </c>
      <c r="AI53" s="40">
        <v>0</v>
      </c>
      <c r="AJ53" s="40">
        <v>0</v>
      </c>
      <c r="AK53" s="40">
        <v>0</v>
      </c>
      <c r="AL53" s="40">
        <v>0</v>
      </c>
      <c r="AM53" s="40">
        <v>0</v>
      </c>
      <c r="AN53" s="40">
        <v>0</v>
      </c>
      <c r="AO53" s="40">
        <v>0</v>
      </c>
      <c r="AP53" s="40">
        <v>0</v>
      </c>
      <c r="AQ53" s="40">
        <v>0</v>
      </c>
      <c r="AR53" s="40">
        <v>0</v>
      </c>
      <c r="AS53" s="40">
        <v>0</v>
      </c>
      <c r="AT53" s="40">
        <v>0</v>
      </c>
      <c r="AU53" s="40">
        <v>0</v>
      </c>
      <c r="AV53" s="40">
        <v>0</v>
      </c>
      <c r="AW53" s="40">
        <v>0</v>
      </c>
      <c r="AX53" s="40">
        <v>0</v>
      </c>
      <c r="AY53" s="40">
        <v>0</v>
      </c>
      <c r="AZ53" s="40">
        <v>0</v>
      </c>
      <c r="BA53" s="40">
        <v>0</v>
      </c>
      <c r="BB53" s="40">
        <v>0</v>
      </c>
      <c r="BC53" s="40">
        <v>0</v>
      </c>
      <c r="BD53" s="40">
        <v>0</v>
      </c>
      <c r="BE53" s="40">
        <v>0</v>
      </c>
      <c r="BF53" s="40">
        <v>0</v>
      </c>
      <c r="BG53" s="40">
        <v>0</v>
      </c>
      <c r="BH53" s="40">
        <v>0</v>
      </c>
      <c r="BI53" s="40">
        <v>0</v>
      </c>
      <c r="BJ53" s="40">
        <v>0</v>
      </c>
      <c r="BK53" s="40">
        <v>0</v>
      </c>
      <c r="BL53" s="40">
        <v>0</v>
      </c>
      <c r="BM53" s="40">
        <v>0</v>
      </c>
      <c r="BN53" s="40">
        <v>0</v>
      </c>
      <c r="BO53" s="40">
        <v>0</v>
      </c>
      <c r="BP53" s="40">
        <v>0</v>
      </c>
      <c r="BQ53" s="40">
        <v>0</v>
      </c>
      <c r="BR53" s="40">
        <v>0</v>
      </c>
      <c r="BS53" s="40">
        <v>0</v>
      </c>
      <c r="BT53" s="40">
        <v>0</v>
      </c>
      <c r="BU53" s="40">
        <v>0</v>
      </c>
      <c r="BV53" s="40">
        <v>0</v>
      </c>
      <c r="BW53" s="40">
        <v>0</v>
      </c>
      <c r="BX53" s="40">
        <v>0</v>
      </c>
      <c r="BY53" s="40">
        <v>0</v>
      </c>
      <c r="BZ53" s="40">
        <v>0</v>
      </c>
      <c r="CA53" s="40">
        <v>0</v>
      </c>
      <c r="CB53" s="40">
        <v>0</v>
      </c>
      <c r="CC53" s="40">
        <v>0</v>
      </c>
      <c r="CD53" s="40">
        <v>0</v>
      </c>
      <c r="CE53" s="40">
        <v>0</v>
      </c>
      <c r="CF53" s="41"/>
      <c r="CG53" s="41"/>
      <c r="CH53" s="42"/>
    </row>
    <row r="54" spans="1:86">
      <c r="A54" s="38">
        <v>48</v>
      </c>
      <c r="B54" s="65" t="s">
        <v>39</v>
      </c>
      <c r="C54" s="39" t="s">
        <v>38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40">
        <v>0</v>
      </c>
      <c r="AJ54" s="40">
        <v>0</v>
      </c>
      <c r="AK54" s="40">
        <v>0</v>
      </c>
      <c r="AL54" s="40">
        <v>0</v>
      </c>
      <c r="AM54" s="40">
        <v>0</v>
      </c>
      <c r="AN54" s="40">
        <v>0</v>
      </c>
      <c r="AO54" s="40">
        <v>0</v>
      </c>
      <c r="AP54" s="40">
        <v>0</v>
      </c>
      <c r="AQ54" s="40">
        <v>0</v>
      </c>
      <c r="AR54" s="40">
        <v>0</v>
      </c>
      <c r="AS54" s="40">
        <v>0</v>
      </c>
      <c r="AT54" s="40">
        <v>0</v>
      </c>
      <c r="AU54" s="40">
        <v>0</v>
      </c>
      <c r="AV54" s="40">
        <v>0</v>
      </c>
      <c r="AW54" s="40">
        <v>0</v>
      </c>
      <c r="AX54" s="40">
        <v>0</v>
      </c>
      <c r="AY54" s="40">
        <v>0</v>
      </c>
      <c r="AZ54" s="40">
        <v>0</v>
      </c>
      <c r="BA54" s="40">
        <v>0</v>
      </c>
      <c r="BB54" s="40">
        <v>0</v>
      </c>
      <c r="BC54" s="40">
        <v>0</v>
      </c>
      <c r="BD54" s="40">
        <v>0</v>
      </c>
      <c r="BE54" s="40">
        <v>0</v>
      </c>
      <c r="BF54" s="40">
        <v>0</v>
      </c>
      <c r="BG54" s="40">
        <v>0</v>
      </c>
      <c r="BH54" s="40">
        <v>0</v>
      </c>
      <c r="BI54" s="40">
        <v>0</v>
      </c>
      <c r="BJ54" s="40">
        <v>0</v>
      </c>
      <c r="BK54" s="40">
        <v>0</v>
      </c>
      <c r="BL54" s="40">
        <v>0</v>
      </c>
      <c r="BM54" s="40">
        <v>0</v>
      </c>
      <c r="BN54" s="40">
        <v>0</v>
      </c>
      <c r="BO54" s="40">
        <v>0</v>
      </c>
      <c r="BP54" s="40">
        <v>0</v>
      </c>
      <c r="BQ54" s="40">
        <v>0</v>
      </c>
      <c r="BR54" s="40">
        <v>0</v>
      </c>
      <c r="BS54" s="40">
        <v>0</v>
      </c>
      <c r="BT54" s="40">
        <v>0</v>
      </c>
      <c r="BU54" s="40">
        <v>0</v>
      </c>
      <c r="BV54" s="40">
        <v>0</v>
      </c>
      <c r="BW54" s="40">
        <v>0</v>
      </c>
      <c r="BX54" s="40">
        <v>0</v>
      </c>
      <c r="BY54" s="40">
        <v>0</v>
      </c>
      <c r="BZ54" s="40">
        <v>0</v>
      </c>
      <c r="CA54" s="40">
        <v>0</v>
      </c>
      <c r="CB54" s="40">
        <v>0</v>
      </c>
      <c r="CC54" s="40">
        <v>0</v>
      </c>
      <c r="CD54" s="40">
        <v>0</v>
      </c>
      <c r="CE54" s="40">
        <v>0</v>
      </c>
      <c r="CF54" s="41"/>
      <c r="CG54" s="41"/>
      <c r="CH54" s="42"/>
    </row>
    <row r="55" spans="1:86">
      <c r="A55" s="38">
        <v>49</v>
      </c>
      <c r="B55" s="65" t="s">
        <v>37</v>
      </c>
      <c r="C55" s="39" t="s">
        <v>36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0</v>
      </c>
      <c r="P55" s="40">
        <v>0</v>
      </c>
      <c r="Q55" s="40">
        <v>0</v>
      </c>
      <c r="R55" s="40">
        <v>0</v>
      </c>
      <c r="S55" s="40">
        <v>0</v>
      </c>
      <c r="T55" s="40">
        <v>0</v>
      </c>
      <c r="U55" s="40">
        <v>0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  <c r="AB55" s="40">
        <v>0</v>
      </c>
      <c r="AC55" s="40">
        <v>0</v>
      </c>
      <c r="AD55" s="40">
        <v>0</v>
      </c>
      <c r="AE55" s="40">
        <v>0</v>
      </c>
      <c r="AF55" s="40">
        <v>0</v>
      </c>
      <c r="AG55" s="40">
        <v>0</v>
      </c>
      <c r="AH55" s="40">
        <v>0</v>
      </c>
      <c r="AI55" s="40">
        <v>0</v>
      </c>
      <c r="AJ55" s="40">
        <v>0</v>
      </c>
      <c r="AK55" s="40">
        <v>0</v>
      </c>
      <c r="AL55" s="40">
        <v>0</v>
      </c>
      <c r="AM55" s="40">
        <v>0</v>
      </c>
      <c r="AN55" s="40">
        <v>0</v>
      </c>
      <c r="AO55" s="40">
        <v>0</v>
      </c>
      <c r="AP55" s="40">
        <v>0</v>
      </c>
      <c r="AQ55" s="40">
        <v>0</v>
      </c>
      <c r="AR55" s="40">
        <v>0</v>
      </c>
      <c r="AS55" s="40">
        <v>0</v>
      </c>
      <c r="AT55" s="40">
        <v>0</v>
      </c>
      <c r="AU55" s="40">
        <v>0</v>
      </c>
      <c r="AV55" s="40">
        <v>0</v>
      </c>
      <c r="AW55" s="40">
        <v>0</v>
      </c>
      <c r="AX55" s="40">
        <v>0</v>
      </c>
      <c r="AY55" s="40">
        <v>0</v>
      </c>
      <c r="AZ55" s="40">
        <v>0</v>
      </c>
      <c r="BA55" s="40">
        <v>0</v>
      </c>
      <c r="BB55" s="40">
        <v>0</v>
      </c>
      <c r="BC55" s="40">
        <v>0</v>
      </c>
      <c r="BD55" s="40">
        <v>0</v>
      </c>
      <c r="BE55" s="40">
        <v>0</v>
      </c>
      <c r="BF55" s="40">
        <v>0</v>
      </c>
      <c r="BG55" s="40">
        <v>0</v>
      </c>
      <c r="BH55" s="40">
        <v>0</v>
      </c>
      <c r="BI55" s="40">
        <v>0</v>
      </c>
      <c r="BJ55" s="40">
        <v>0</v>
      </c>
      <c r="BK55" s="40">
        <v>0</v>
      </c>
      <c r="BL55" s="40">
        <v>0</v>
      </c>
      <c r="BM55" s="40">
        <v>0</v>
      </c>
      <c r="BN55" s="40">
        <v>0</v>
      </c>
      <c r="BO55" s="40">
        <v>0</v>
      </c>
      <c r="BP55" s="40">
        <v>0</v>
      </c>
      <c r="BQ55" s="40">
        <v>0</v>
      </c>
      <c r="BR55" s="40">
        <v>0</v>
      </c>
      <c r="BS55" s="40">
        <v>0</v>
      </c>
      <c r="BT55" s="40">
        <v>0</v>
      </c>
      <c r="BU55" s="40">
        <v>0</v>
      </c>
      <c r="BV55" s="40">
        <v>0</v>
      </c>
      <c r="BW55" s="40">
        <v>0</v>
      </c>
      <c r="BX55" s="40">
        <v>0</v>
      </c>
      <c r="BY55" s="40">
        <v>0</v>
      </c>
      <c r="BZ55" s="40">
        <v>0</v>
      </c>
      <c r="CA55" s="40">
        <v>0</v>
      </c>
      <c r="CB55" s="40">
        <v>0</v>
      </c>
      <c r="CC55" s="40">
        <v>0</v>
      </c>
      <c r="CD55" s="40">
        <v>0</v>
      </c>
      <c r="CE55" s="40">
        <v>0</v>
      </c>
      <c r="CF55" s="41"/>
      <c r="CG55" s="41"/>
      <c r="CH55" s="42"/>
    </row>
    <row r="56" spans="1:86" ht="22.5">
      <c r="A56" s="38">
        <v>50</v>
      </c>
      <c r="B56" s="65" t="s">
        <v>35</v>
      </c>
      <c r="C56" s="39" t="s">
        <v>34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T56" s="40">
        <v>0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0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0</v>
      </c>
      <c r="AV56" s="40">
        <v>0</v>
      </c>
      <c r="AW56" s="40">
        <v>0</v>
      </c>
      <c r="AX56" s="40">
        <v>0</v>
      </c>
      <c r="AY56" s="40">
        <v>0</v>
      </c>
      <c r="AZ56" s="40">
        <v>0</v>
      </c>
      <c r="BA56" s="40">
        <v>0</v>
      </c>
      <c r="BB56" s="40">
        <v>0</v>
      </c>
      <c r="BC56" s="40">
        <v>0</v>
      </c>
      <c r="BD56" s="40">
        <v>0</v>
      </c>
      <c r="BE56" s="40">
        <v>0</v>
      </c>
      <c r="BF56" s="40">
        <v>0</v>
      </c>
      <c r="BG56" s="40">
        <v>0</v>
      </c>
      <c r="BH56" s="40">
        <v>0</v>
      </c>
      <c r="BI56" s="40">
        <v>0</v>
      </c>
      <c r="BJ56" s="40">
        <v>0</v>
      </c>
      <c r="BK56" s="40">
        <v>0</v>
      </c>
      <c r="BL56" s="40">
        <v>0</v>
      </c>
      <c r="BM56" s="40">
        <v>0</v>
      </c>
      <c r="BN56" s="40">
        <v>0</v>
      </c>
      <c r="BO56" s="40">
        <v>0</v>
      </c>
      <c r="BP56" s="40">
        <v>0</v>
      </c>
      <c r="BQ56" s="40">
        <v>0</v>
      </c>
      <c r="BR56" s="40">
        <v>0</v>
      </c>
      <c r="BS56" s="40">
        <v>0</v>
      </c>
      <c r="BT56" s="40">
        <v>0</v>
      </c>
      <c r="BU56" s="40">
        <v>0</v>
      </c>
      <c r="BV56" s="40">
        <v>0</v>
      </c>
      <c r="BW56" s="40">
        <v>0</v>
      </c>
      <c r="BX56" s="40">
        <v>0</v>
      </c>
      <c r="BY56" s="40">
        <v>0</v>
      </c>
      <c r="BZ56" s="40">
        <v>0</v>
      </c>
      <c r="CA56" s="40">
        <v>0</v>
      </c>
      <c r="CB56" s="40">
        <v>0</v>
      </c>
      <c r="CC56" s="40">
        <v>0</v>
      </c>
      <c r="CD56" s="40">
        <v>0</v>
      </c>
      <c r="CE56" s="40">
        <v>0</v>
      </c>
      <c r="CF56" s="41"/>
      <c r="CG56" s="41"/>
      <c r="CH56" s="42"/>
    </row>
    <row r="57" spans="1:86">
      <c r="A57" s="38">
        <v>51</v>
      </c>
      <c r="B57" s="65" t="s">
        <v>33</v>
      </c>
      <c r="C57" s="39" t="s">
        <v>32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40">
        <v>0</v>
      </c>
      <c r="S57" s="40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  <c r="AC57" s="40">
        <v>0</v>
      </c>
      <c r="AD57" s="40">
        <v>0</v>
      </c>
      <c r="AE57" s="40">
        <v>0</v>
      </c>
      <c r="AF57" s="40">
        <v>0</v>
      </c>
      <c r="AG57" s="40">
        <v>0</v>
      </c>
      <c r="AH57" s="40">
        <v>0</v>
      </c>
      <c r="AI57" s="40">
        <v>0</v>
      </c>
      <c r="AJ57" s="40">
        <v>0</v>
      </c>
      <c r="AK57" s="40">
        <v>0</v>
      </c>
      <c r="AL57" s="40">
        <v>0</v>
      </c>
      <c r="AM57" s="40">
        <v>0</v>
      </c>
      <c r="AN57" s="40">
        <v>0</v>
      </c>
      <c r="AO57" s="40">
        <v>0</v>
      </c>
      <c r="AP57" s="40">
        <v>0</v>
      </c>
      <c r="AQ57" s="40">
        <v>0</v>
      </c>
      <c r="AR57" s="40">
        <v>0</v>
      </c>
      <c r="AS57" s="40">
        <v>0</v>
      </c>
      <c r="AT57" s="40">
        <v>0</v>
      </c>
      <c r="AU57" s="40">
        <v>0</v>
      </c>
      <c r="AV57" s="40">
        <v>0</v>
      </c>
      <c r="AW57" s="40">
        <v>0</v>
      </c>
      <c r="AX57" s="40">
        <v>0</v>
      </c>
      <c r="AY57" s="40">
        <v>0</v>
      </c>
      <c r="AZ57" s="40">
        <v>0</v>
      </c>
      <c r="BA57" s="40">
        <v>0</v>
      </c>
      <c r="BB57" s="40">
        <v>0</v>
      </c>
      <c r="BC57" s="40">
        <v>0</v>
      </c>
      <c r="BD57" s="40">
        <v>0</v>
      </c>
      <c r="BE57" s="40">
        <v>0</v>
      </c>
      <c r="BF57" s="40">
        <v>0</v>
      </c>
      <c r="BG57" s="40">
        <v>0</v>
      </c>
      <c r="BH57" s="40">
        <v>0</v>
      </c>
      <c r="BI57" s="40">
        <v>0</v>
      </c>
      <c r="BJ57" s="40">
        <v>0</v>
      </c>
      <c r="BK57" s="40">
        <v>0</v>
      </c>
      <c r="BL57" s="40">
        <v>0</v>
      </c>
      <c r="BM57" s="40">
        <v>0</v>
      </c>
      <c r="BN57" s="40">
        <v>0</v>
      </c>
      <c r="BO57" s="40">
        <v>0</v>
      </c>
      <c r="BP57" s="40">
        <v>0</v>
      </c>
      <c r="BQ57" s="40">
        <v>0</v>
      </c>
      <c r="BR57" s="40">
        <v>0</v>
      </c>
      <c r="BS57" s="40">
        <v>0</v>
      </c>
      <c r="BT57" s="40">
        <v>0</v>
      </c>
      <c r="BU57" s="40">
        <v>0</v>
      </c>
      <c r="BV57" s="40">
        <v>0</v>
      </c>
      <c r="BW57" s="40">
        <v>0</v>
      </c>
      <c r="BX57" s="40">
        <v>0</v>
      </c>
      <c r="BY57" s="40">
        <v>0</v>
      </c>
      <c r="BZ57" s="40">
        <v>0</v>
      </c>
      <c r="CA57" s="40">
        <v>0</v>
      </c>
      <c r="CB57" s="40">
        <v>0</v>
      </c>
      <c r="CC57" s="40">
        <v>0</v>
      </c>
      <c r="CD57" s="40">
        <v>0</v>
      </c>
      <c r="CE57" s="40">
        <v>0</v>
      </c>
      <c r="CF57" s="41"/>
      <c r="CG57" s="41"/>
      <c r="CH57" s="42"/>
    </row>
    <row r="58" spans="1:86">
      <c r="A58" s="38">
        <v>52</v>
      </c>
      <c r="B58" s="65" t="s">
        <v>31</v>
      </c>
      <c r="C58" s="39" t="s">
        <v>30</v>
      </c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T58" s="40">
        <v>0</v>
      </c>
      <c r="U58" s="40">
        <v>0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0</v>
      </c>
      <c r="AI58" s="40">
        <v>0</v>
      </c>
      <c r="AJ58" s="40">
        <v>0</v>
      </c>
      <c r="AK58" s="40">
        <v>0</v>
      </c>
      <c r="AL58" s="40">
        <v>0</v>
      </c>
      <c r="AM58" s="40">
        <v>0</v>
      </c>
      <c r="AN58" s="40">
        <v>0</v>
      </c>
      <c r="AO58" s="40">
        <v>0</v>
      </c>
      <c r="AP58" s="40">
        <v>0</v>
      </c>
      <c r="AQ58" s="40">
        <v>0</v>
      </c>
      <c r="AR58" s="40">
        <v>0</v>
      </c>
      <c r="AS58" s="40">
        <v>0</v>
      </c>
      <c r="AT58" s="40">
        <v>0</v>
      </c>
      <c r="AU58" s="40">
        <v>0</v>
      </c>
      <c r="AV58" s="40">
        <v>0</v>
      </c>
      <c r="AW58" s="40">
        <v>0</v>
      </c>
      <c r="AX58" s="40">
        <v>0</v>
      </c>
      <c r="AY58" s="40">
        <v>0</v>
      </c>
      <c r="AZ58" s="40">
        <v>0</v>
      </c>
      <c r="BA58" s="40">
        <v>0</v>
      </c>
      <c r="BB58" s="40">
        <v>0</v>
      </c>
      <c r="BC58" s="40">
        <v>0</v>
      </c>
      <c r="BD58" s="40">
        <v>0</v>
      </c>
      <c r="BE58" s="40">
        <v>0</v>
      </c>
      <c r="BF58" s="40">
        <v>0</v>
      </c>
      <c r="BG58" s="40">
        <v>0</v>
      </c>
      <c r="BH58" s="40">
        <v>0</v>
      </c>
      <c r="BI58" s="40">
        <v>0</v>
      </c>
      <c r="BJ58" s="40">
        <v>0</v>
      </c>
      <c r="BK58" s="40">
        <v>0</v>
      </c>
      <c r="BL58" s="40">
        <v>0</v>
      </c>
      <c r="BM58" s="40">
        <v>0</v>
      </c>
      <c r="BN58" s="40">
        <v>0</v>
      </c>
      <c r="BO58" s="40">
        <v>0</v>
      </c>
      <c r="BP58" s="40">
        <v>0</v>
      </c>
      <c r="BQ58" s="40">
        <v>0</v>
      </c>
      <c r="BR58" s="40">
        <v>0</v>
      </c>
      <c r="BS58" s="40">
        <v>0</v>
      </c>
      <c r="BT58" s="40">
        <v>0</v>
      </c>
      <c r="BU58" s="40">
        <v>0</v>
      </c>
      <c r="BV58" s="40">
        <v>0</v>
      </c>
      <c r="BW58" s="40">
        <v>0</v>
      </c>
      <c r="BX58" s="40">
        <v>0</v>
      </c>
      <c r="BY58" s="40">
        <v>0</v>
      </c>
      <c r="BZ58" s="40">
        <v>0</v>
      </c>
      <c r="CA58" s="40">
        <v>0</v>
      </c>
      <c r="CB58" s="40">
        <v>0</v>
      </c>
      <c r="CC58" s="40">
        <v>0</v>
      </c>
      <c r="CD58" s="40">
        <v>0</v>
      </c>
      <c r="CE58" s="40">
        <v>0</v>
      </c>
      <c r="CF58" s="41"/>
      <c r="CG58" s="41"/>
      <c r="CH58" s="42"/>
    </row>
    <row r="59" spans="1:86" ht="22.5">
      <c r="A59" s="38">
        <v>53</v>
      </c>
      <c r="B59" s="65" t="s">
        <v>29</v>
      </c>
      <c r="C59" s="39" t="s">
        <v>28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40">
        <v>0</v>
      </c>
      <c r="AH59" s="40">
        <v>0</v>
      </c>
      <c r="AI59" s="40">
        <v>0</v>
      </c>
      <c r="AJ59" s="40">
        <v>0</v>
      </c>
      <c r="AK59" s="40">
        <v>0</v>
      </c>
      <c r="AL59" s="40">
        <v>0</v>
      </c>
      <c r="AM59" s="40">
        <v>0</v>
      </c>
      <c r="AN59" s="40">
        <v>0</v>
      </c>
      <c r="AO59" s="40">
        <v>0</v>
      </c>
      <c r="AP59" s="40">
        <v>0</v>
      </c>
      <c r="AQ59" s="40">
        <v>0</v>
      </c>
      <c r="AR59" s="40">
        <v>0</v>
      </c>
      <c r="AS59" s="40">
        <v>0</v>
      </c>
      <c r="AT59" s="40">
        <v>0</v>
      </c>
      <c r="AU59" s="40">
        <v>0</v>
      </c>
      <c r="AV59" s="40">
        <v>0</v>
      </c>
      <c r="AW59" s="40">
        <v>0</v>
      </c>
      <c r="AX59" s="40">
        <v>0</v>
      </c>
      <c r="AY59" s="40">
        <v>0</v>
      </c>
      <c r="AZ59" s="40">
        <v>0</v>
      </c>
      <c r="BA59" s="40">
        <v>0</v>
      </c>
      <c r="BB59" s="40">
        <v>0</v>
      </c>
      <c r="BC59" s="40">
        <v>0</v>
      </c>
      <c r="BD59" s="40">
        <v>0</v>
      </c>
      <c r="BE59" s="40">
        <v>0</v>
      </c>
      <c r="BF59" s="40">
        <v>0</v>
      </c>
      <c r="BG59" s="40">
        <v>0</v>
      </c>
      <c r="BH59" s="40">
        <v>0</v>
      </c>
      <c r="BI59" s="40">
        <v>0</v>
      </c>
      <c r="BJ59" s="40">
        <v>0</v>
      </c>
      <c r="BK59" s="40">
        <v>0</v>
      </c>
      <c r="BL59" s="40">
        <v>0</v>
      </c>
      <c r="BM59" s="40">
        <v>0</v>
      </c>
      <c r="BN59" s="40">
        <v>0</v>
      </c>
      <c r="BO59" s="40">
        <v>0</v>
      </c>
      <c r="BP59" s="40">
        <v>0</v>
      </c>
      <c r="BQ59" s="40">
        <v>0</v>
      </c>
      <c r="BR59" s="40">
        <v>0</v>
      </c>
      <c r="BS59" s="40">
        <v>0</v>
      </c>
      <c r="BT59" s="40">
        <v>0</v>
      </c>
      <c r="BU59" s="40">
        <v>0</v>
      </c>
      <c r="BV59" s="40">
        <v>0</v>
      </c>
      <c r="BW59" s="40">
        <v>0</v>
      </c>
      <c r="BX59" s="40">
        <v>0</v>
      </c>
      <c r="BY59" s="40">
        <v>0</v>
      </c>
      <c r="BZ59" s="40">
        <v>0</v>
      </c>
      <c r="CA59" s="40">
        <v>0</v>
      </c>
      <c r="CB59" s="40">
        <v>0</v>
      </c>
      <c r="CC59" s="40">
        <v>0</v>
      </c>
      <c r="CD59" s="40">
        <v>0</v>
      </c>
      <c r="CE59" s="40">
        <v>0</v>
      </c>
      <c r="CF59" s="41"/>
      <c r="CG59" s="41"/>
      <c r="CH59" s="42"/>
    </row>
    <row r="60" spans="1:86" ht="24" customHeight="1">
      <c r="A60" s="38">
        <v>54</v>
      </c>
      <c r="B60" s="67" t="s">
        <v>199</v>
      </c>
      <c r="C60" s="39" t="s">
        <v>161</v>
      </c>
      <c r="D60" s="40">
        <v>226</v>
      </c>
      <c r="E60" s="40">
        <v>23</v>
      </c>
      <c r="F60" s="40">
        <v>0</v>
      </c>
      <c r="G60" s="40">
        <v>0</v>
      </c>
      <c r="H60" s="40">
        <v>275</v>
      </c>
      <c r="I60" s="40">
        <v>12</v>
      </c>
      <c r="J60" s="40">
        <v>54</v>
      </c>
      <c r="K60" s="40">
        <v>0</v>
      </c>
      <c r="L60" s="40">
        <v>21</v>
      </c>
      <c r="M60" s="40">
        <v>2</v>
      </c>
      <c r="N60" s="40">
        <v>159</v>
      </c>
      <c r="O60" s="40">
        <v>0</v>
      </c>
      <c r="P60" s="40">
        <v>0</v>
      </c>
      <c r="Q60" s="40">
        <v>3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5</v>
      </c>
      <c r="X60" s="40">
        <v>0</v>
      </c>
      <c r="Y60" s="40">
        <v>65661</v>
      </c>
      <c r="Z60" s="40">
        <v>0</v>
      </c>
      <c r="AA60" s="40">
        <v>49</v>
      </c>
      <c r="AB60" s="40">
        <v>110</v>
      </c>
      <c r="AC60" s="40">
        <v>0</v>
      </c>
      <c r="AD60" s="40">
        <v>0</v>
      </c>
      <c r="AE60" s="40">
        <v>0</v>
      </c>
      <c r="AF60" s="40">
        <v>0</v>
      </c>
      <c r="AG60" s="40">
        <v>0</v>
      </c>
      <c r="AH60" s="40">
        <v>0</v>
      </c>
      <c r="AI60" s="40">
        <v>0</v>
      </c>
      <c r="AJ60" s="40">
        <v>5</v>
      </c>
      <c r="AK60" s="40">
        <v>114</v>
      </c>
      <c r="AL60" s="40">
        <v>1</v>
      </c>
      <c r="AM60" s="40">
        <v>0</v>
      </c>
      <c r="AN60" s="40">
        <v>0</v>
      </c>
      <c r="AO60" s="40">
        <v>9</v>
      </c>
      <c r="AP60" s="40">
        <v>113</v>
      </c>
      <c r="AQ60" s="40">
        <v>0</v>
      </c>
      <c r="AR60" s="40">
        <v>1</v>
      </c>
      <c r="AS60" s="40">
        <v>18</v>
      </c>
      <c r="AT60" s="40">
        <v>4309</v>
      </c>
      <c r="AU60" s="40">
        <v>0</v>
      </c>
      <c r="AV60" s="40">
        <v>62808</v>
      </c>
      <c r="AW60" s="40">
        <v>59526</v>
      </c>
      <c r="AX60" s="40">
        <v>1405</v>
      </c>
      <c r="AY60" s="40">
        <v>27</v>
      </c>
      <c r="AZ60" s="40">
        <v>350</v>
      </c>
      <c r="BA60" s="40">
        <v>556</v>
      </c>
      <c r="BB60" s="40">
        <v>4440</v>
      </c>
      <c r="BC60" s="40">
        <v>1189</v>
      </c>
      <c r="BD60" s="40">
        <v>18933</v>
      </c>
      <c r="BE60" s="40">
        <v>304824</v>
      </c>
      <c r="BF60" s="40">
        <v>6402</v>
      </c>
      <c r="BG60" s="40">
        <v>687106</v>
      </c>
      <c r="BH60" s="40">
        <v>782594</v>
      </c>
      <c r="BI60" s="40">
        <v>296959</v>
      </c>
      <c r="BJ60" s="40">
        <v>1966514</v>
      </c>
      <c r="BK60" s="40">
        <v>3966166</v>
      </c>
      <c r="BL60" s="40">
        <v>6461</v>
      </c>
      <c r="BM60" s="40">
        <v>1369231</v>
      </c>
      <c r="BN60" s="40">
        <v>10406422</v>
      </c>
      <c r="BO60" s="40">
        <v>14829</v>
      </c>
      <c r="BP60" s="40">
        <v>2352</v>
      </c>
      <c r="BQ60" s="40">
        <v>2265038</v>
      </c>
      <c r="BR60" s="40">
        <v>1589660</v>
      </c>
      <c r="BS60" s="40">
        <v>0</v>
      </c>
      <c r="BT60" s="40">
        <v>23884962</v>
      </c>
      <c r="BU60" s="40">
        <v>19799877</v>
      </c>
      <c r="BV60" s="40">
        <v>0</v>
      </c>
      <c r="BW60" s="40">
        <v>0</v>
      </c>
      <c r="BX60" s="40">
        <v>19799877</v>
      </c>
      <c r="BY60" s="40">
        <v>40329973</v>
      </c>
      <c r="BZ60" s="40">
        <v>0</v>
      </c>
      <c r="CA60" s="40">
        <v>0</v>
      </c>
      <c r="CB60" s="40">
        <v>40329973</v>
      </c>
      <c r="CC60" s="40">
        <v>394256</v>
      </c>
      <c r="CD60" s="40">
        <v>60524106</v>
      </c>
      <c r="CE60" s="40">
        <v>84409068</v>
      </c>
      <c r="CF60" s="41"/>
      <c r="CG60" s="41"/>
      <c r="CH60" s="42"/>
    </row>
    <row r="61" spans="1:86">
      <c r="A61" s="38">
        <v>55</v>
      </c>
      <c r="B61" s="65" t="s">
        <v>27</v>
      </c>
      <c r="C61" s="39" t="s">
        <v>26</v>
      </c>
      <c r="D61" s="40">
        <v>0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0</v>
      </c>
      <c r="T61" s="40">
        <v>0</v>
      </c>
      <c r="U61" s="40">
        <v>0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0</v>
      </c>
      <c r="AC61" s="40">
        <v>0</v>
      </c>
      <c r="AD61" s="40">
        <v>0</v>
      </c>
      <c r="AE61" s="40">
        <v>0</v>
      </c>
      <c r="AF61" s="40">
        <v>0</v>
      </c>
      <c r="AG61" s="40">
        <v>0</v>
      </c>
      <c r="AH61" s="40">
        <v>0</v>
      </c>
      <c r="AI61" s="40">
        <v>0</v>
      </c>
      <c r="AJ61" s="40">
        <v>0</v>
      </c>
      <c r="AK61" s="40">
        <v>0</v>
      </c>
      <c r="AL61" s="40">
        <v>0</v>
      </c>
      <c r="AM61" s="40">
        <v>0</v>
      </c>
      <c r="AN61" s="40">
        <v>0</v>
      </c>
      <c r="AO61" s="40">
        <v>0</v>
      </c>
      <c r="AP61" s="40">
        <v>0</v>
      </c>
      <c r="AQ61" s="40">
        <v>0</v>
      </c>
      <c r="AR61" s="40">
        <v>0</v>
      </c>
      <c r="AS61" s="40">
        <v>0</v>
      </c>
      <c r="AT61" s="40">
        <v>0</v>
      </c>
      <c r="AU61" s="40">
        <v>0</v>
      </c>
      <c r="AV61" s="40">
        <v>0</v>
      </c>
      <c r="AW61" s="40">
        <v>0</v>
      </c>
      <c r="AX61" s="40">
        <v>0</v>
      </c>
      <c r="AY61" s="40">
        <v>0</v>
      </c>
      <c r="AZ61" s="40">
        <v>0</v>
      </c>
      <c r="BA61" s="40">
        <v>0</v>
      </c>
      <c r="BB61" s="40">
        <v>0</v>
      </c>
      <c r="BC61" s="40">
        <v>0</v>
      </c>
      <c r="BD61" s="40">
        <v>0</v>
      </c>
      <c r="BE61" s="40">
        <v>0</v>
      </c>
      <c r="BF61" s="40">
        <v>0</v>
      </c>
      <c r="BG61" s="40">
        <v>0</v>
      </c>
      <c r="BH61" s="40">
        <v>0</v>
      </c>
      <c r="BI61" s="40">
        <v>0</v>
      </c>
      <c r="BJ61" s="40">
        <v>0</v>
      </c>
      <c r="BK61" s="40">
        <v>0</v>
      </c>
      <c r="BL61" s="40">
        <v>0</v>
      </c>
      <c r="BM61" s="40">
        <v>0</v>
      </c>
      <c r="BN61" s="40">
        <v>0</v>
      </c>
      <c r="BO61" s="40">
        <v>0</v>
      </c>
      <c r="BP61" s="40">
        <v>0</v>
      </c>
      <c r="BQ61" s="40">
        <v>0</v>
      </c>
      <c r="BR61" s="40">
        <v>0</v>
      </c>
      <c r="BS61" s="40">
        <v>0</v>
      </c>
      <c r="BT61" s="40">
        <v>0</v>
      </c>
      <c r="BU61" s="40">
        <v>0</v>
      </c>
      <c r="BV61" s="40">
        <v>0</v>
      </c>
      <c r="BW61" s="40">
        <v>0</v>
      </c>
      <c r="BX61" s="40">
        <v>0</v>
      </c>
      <c r="BY61" s="40">
        <v>0</v>
      </c>
      <c r="BZ61" s="40">
        <v>0</v>
      </c>
      <c r="CA61" s="40">
        <v>0</v>
      </c>
      <c r="CB61" s="40">
        <v>0</v>
      </c>
      <c r="CC61" s="40">
        <v>0</v>
      </c>
      <c r="CD61" s="40">
        <v>0</v>
      </c>
      <c r="CE61" s="40">
        <v>0</v>
      </c>
      <c r="CF61" s="41"/>
      <c r="CG61" s="41"/>
      <c r="CH61" s="42"/>
    </row>
    <row r="62" spans="1:86" ht="22.5">
      <c r="A62" s="38">
        <v>56</v>
      </c>
      <c r="B62" s="65" t="s">
        <v>25</v>
      </c>
      <c r="C62" s="39" t="s">
        <v>24</v>
      </c>
      <c r="D62" s="40">
        <v>0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T62" s="40">
        <v>0</v>
      </c>
      <c r="U62" s="40">
        <v>0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0</v>
      </c>
      <c r="AC62" s="40">
        <v>0</v>
      </c>
      <c r="AD62" s="40">
        <v>0</v>
      </c>
      <c r="AE62" s="40">
        <v>0</v>
      </c>
      <c r="AF62" s="40">
        <v>0</v>
      </c>
      <c r="AG62" s="40">
        <v>0</v>
      </c>
      <c r="AH62" s="40">
        <v>0</v>
      </c>
      <c r="AI62" s="40">
        <v>0</v>
      </c>
      <c r="AJ62" s="40">
        <v>0</v>
      </c>
      <c r="AK62" s="40">
        <v>0</v>
      </c>
      <c r="AL62" s="40">
        <v>0</v>
      </c>
      <c r="AM62" s="40">
        <v>0</v>
      </c>
      <c r="AN62" s="40">
        <v>0</v>
      </c>
      <c r="AO62" s="40">
        <v>0</v>
      </c>
      <c r="AP62" s="40">
        <v>0</v>
      </c>
      <c r="AQ62" s="40">
        <v>0</v>
      </c>
      <c r="AR62" s="40">
        <v>0</v>
      </c>
      <c r="AS62" s="40">
        <v>0</v>
      </c>
      <c r="AT62" s="40">
        <v>0</v>
      </c>
      <c r="AU62" s="40">
        <v>0</v>
      </c>
      <c r="AV62" s="40">
        <v>0</v>
      </c>
      <c r="AW62" s="40">
        <v>0</v>
      </c>
      <c r="AX62" s="40">
        <v>0</v>
      </c>
      <c r="AY62" s="40">
        <v>0</v>
      </c>
      <c r="AZ62" s="40">
        <v>0</v>
      </c>
      <c r="BA62" s="40">
        <v>0</v>
      </c>
      <c r="BB62" s="40">
        <v>0</v>
      </c>
      <c r="BC62" s="40">
        <v>0</v>
      </c>
      <c r="BD62" s="40">
        <v>0</v>
      </c>
      <c r="BE62" s="40">
        <v>0</v>
      </c>
      <c r="BF62" s="40">
        <v>0</v>
      </c>
      <c r="BG62" s="40">
        <v>0</v>
      </c>
      <c r="BH62" s="40">
        <v>0</v>
      </c>
      <c r="BI62" s="40">
        <v>0</v>
      </c>
      <c r="BJ62" s="40">
        <v>0</v>
      </c>
      <c r="BK62" s="40">
        <v>0</v>
      </c>
      <c r="BL62" s="40">
        <v>0</v>
      </c>
      <c r="BM62" s="40">
        <v>0</v>
      </c>
      <c r="BN62" s="40">
        <v>0</v>
      </c>
      <c r="BO62" s="40">
        <v>0</v>
      </c>
      <c r="BP62" s="40">
        <v>0</v>
      </c>
      <c r="BQ62" s="40">
        <v>0</v>
      </c>
      <c r="BR62" s="40">
        <v>0</v>
      </c>
      <c r="BS62" s="40">
        <v>0</v>
      </c>
      <c r="BT62" s="40">
        <v>0</v>
      </c>
      <c r="BU62" s="40">
        <v>0</v>
      </c>
      <c r="BV62" s="40">
        <v>0</v>
      </c>
      <c r="BW62" s="40">
        <v>0</v>
      </c>
      <c r="BX62" s="40">
        <v>0</v>
      </c>
      <c r="BY62" s="40">
        <v>0</v>
      </c>
      <c r="BZ62" s="40">
        <v>0</v>
      </c>
      <c r="CA62" s="40">
        <v>0</v>
      </c>
      <c r="CB62" s="40">
        <v>0</v>
      </c>
      <c r="CC62" s="40">
        <v>0</v>
      </c>
      <c r="CD62" s="40">
        <v>0</v>
      </c>
      <c r="CE62" s="40">
        <v>0</v>
      </c>
      <c r="CF62" s="41"/>
      <c r="CG62" s="41"/>
      <c r="CH62" s="42"/>
    </row>
    <row r="63" spans="1:86" ht="45">
      <c r="A63" s="38">
        <v>57</v>
      </c>
      <c r="B63" s="65" t="s">
        <v>23</v>
      </c>
      <c r="C63" s="39" t="s">
        <v>138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0</v>
      </c>
      <c r="Q63" s="40">
        <v>0</v>
      </c>
      <c r="R63" s="40">
        <v>0</v>
      </c>
      <c r="S63" s="40">
        <v>0</v>
      </c>
      <c r="T63" s="40">
        <v>0</v>
      </c>
      <c r="U63" s="40">
        <v>0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0</v>
      </c>
      <c r="AC63" s="40">
        <v>0</v>
      </c>
      <c r="AD63" s="40">
        <v>0</v>
      </c>
      <c r="AE63" s="40">
        <v>0</v>
      </c>
      <c r="AF63" s="40">
        <v>0</v>
      </c>
      <c r="AG63" s="40">
        <v>0</v>
      </c>
      <c r="AH63" s="40">
        <v>0</v>
      </c>
      <c r="AI63" s="40">
        <v>0</v>
      </c>
      <c r="AJ63" s="40">
        <v>0</v>
      </c>
      <c r="AK63" s="40">
        <v>0</v>
      </c>
      <c r="AL63" s="40">
        <v>0</v>
      </c>
      <c r="AM63" s="40">
        <v>0</v>
      </c>
      <c r="AN63" s="40">
        <v>0</v>
      </c>
      <c r="AO63" s="40">
        <v>0</v>
      </c>
      <c r="AP63" s="40">
        <v>0</v>
      </c>
      <c r="AQ63" s="40">
        <v>0</v>
      </c>
      <c r="AR63" s="40">
        <v>0</v>
      </c>
      <c r="AS63" s="40">
        <v>0</v>
      </c>
      <c r="AT63" s="40">
        <v>0</v>
      </c>
      <c r="AU63" s="40">
        <v>0</v>
      </c>
      <c r="AV63" s="40">
        <v>0</v>
      </c>
      <c r="AW63" s="40">
        <v>0</v>
      </c>
      <c r="AX63" s="40">
        <v>0</v>
      </c>
      <c r="AY63" s="40">
        <v>0</v>
      </c>
      <c r="AZ63" s="40">
        <v>0</v>
      </c>
      <c r="BA63" s="40">
        <v>0</v>
      </c>
      <c r="BB63" s="40">
        <v>0</v>
      </c>
      <c r="BC63" s="40">
        <v>0</v>
      </c>
      <c r="BD63" s="40">
        <v>0</v>
      </c>
      <c r="BE63" s="40">
        <v>0</v>
      </c>
      <c r="BF63" s="40">
        <v>0</v>
      </c>
      <c r="BG63" s="40">
        <v>0</v>
      </c>
      <c r="BH63" s="40">
        <v>0</v>
      </c>
      <c r="BI63" s="40">
        <v>0</v>
      </c>
      <c r="BJ63" s="40">
        <v>0</v>
      </c>
      <c r="BK63" s="40">
        <v>0</v>
      </c>
      <c r="BL63" s="40">
        <v>0</v>
      </c>
      <c r="BM63" s="40">
        <v>0</v>
      </c>
      <c r="BN63" s="40">
        <v>0</v>
      </c>
      <c r="BO63" s="40">
        <v>0</v>
      </c>
      <c r="BP63" s="40">
        <v>0</v>
      </c>
      <c r="BQ63" s="40">
        <v>0</v>
      </c>
      <c r="BR63" s="40">
        <v>0</v>
      </c>
      <c r="BS63" s="40">
        <v>0</v>
      </c>
      <c r="BT63" s="40">
        <v>0</v>
      </c>
      <c r="BU63" s="40">
        <v>0</v>
      </c>
      <c r="BV63" s="40">
        <v>0</v>
      </c>
      <c r="BW63" s="40">
        <v>0</v>
      </c>
      <c r="BX63" s="40">
        <v>0</v>
      </c>
      <c r="BY63" s="40">
        <v>0</v>
      </c>
      <c r="BZ63" s="40">
        <v>0</v>
      </c>
      <c r="CA63" s="40">
        <v>0</v>
      </c>
      <c r="CB63" s="40">
        <v>0</v>
      </c>
      <c r="CC63" s="40">
        <v>0</v>
      </c>
      <c r="CD63" s="40">
        <v>0</v>
      </c>
      <c r="CE63" s="40">
        <v>0</v>
      </c>
      <c r="CF63" s="41"/>
      <c r="CG63" s="41"/>
      <c r="CH63" s="42"/>
    </row>
    <row r="64" spans="1:86" ht="33.75">
      <c r="A64" s="38">
        <v>58</v>
      </c>
      <c r="B64" s="65" t="s">
        <v>22</v>
      </c>
      <c r="C64" s="39" t="s">
        <v>139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T64" s="40">
        <v>0</v>
      </c>
      <c r="U64" s="40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40">
        <v>0</v>
      </c>
      <c r="AJ64" s="40">
        <v>0</v>
      </c>
      <c r="AK64" s="40">
        <v>0</v>
      </c>
      <c r="AL64" s="40">
        <v>0</v>
      </c>
      <c r="AM64" s="40">
        <v>0</v>
      </c>
      <c r="AN64" s="40">
        <v>0</v>
      </c>
      <c r="AO64" s="40">
        <v>0</v>
      </c>
      <c r="AP64" s="40">
        <v>0</v>
      </c>
      <c r="AQ64" s="40">
        <v>0</v>
      </c>
      <c r="AR64" s="40">
        <v>0</v>
      </c>
      <c r="AS64" s="40">
        <v>0</v>
      </c>
      <c r="AT64" s="40">
        <v>0</v>
      </c>
      <c r="AU64" s="40">
        <v>0</v>
      </c>
      <c r="AV64" s="40">
        <v>0</v>
      </c>
      <c r="AW64" s="40">
        <v>0</v>
      </c>
      <c r="AX64" s="40">
        <v>0</v>
      </c>
      <c r="AY64" s="40">
        <v>0</v>
      </c>
      <c r="AZ64" s="40">
        <v>0</v>
      </c>
      <c r="BA64" s="40">
        <v>0</v>
      </c>
      <c r="BB64" s="40">
        <v>0</v>
      </c>
      <c r="BC64" s="40">
        <v>0</v>
      </c>
      <c r="BD64" s="40">
        <v>0</v>
      </c>
      <c r="BE64" s="40">
        <v>0</v>
      </c>
      <c r="BF64" s="40">
        <v>0</v>
      </c>
      <c r="BG64" s="40">
        <v>0</v>
      </c>
      <c r="BH64" s="40">
        <v>0</v>
      </c>
      <c r="BI64" s="40">
        <v>0</v>
      </c>
      <c r="BJ64" s="40">
        <v>0</v>
      </c>
      <c r="BK64" s="40">
        <v>0</v>
      </c>
      <c r="BL64" s="40">
        <v>0</v>
      </c>
      <c r="BM64" s="40">
        <v>0</v>
      </c>
      <c r="BN64" s="40">
        <v>0</v>
      </c>
      <c r="BO64" s="40">
        <v>0</v>
      </c>
      <c r="BP64" s="40">
        <v>0</v>
      </c>
      <c r="BQ64" s="40">
        <v>0</v>
      </c>
      <c r="BR64" s="40">
        <v>0</v>
      </c>
      <c r="BS64" s="40">
        <v>0</v>
      </c>
      <c r="BT64" s="40">
        <v>0</v>
      </c>
      <c r="BU64" s="40">
        <v>0</v>
      </c>
      <c r="BV64" s="40">
        <v>0</v>
      </c>
      <c r="BW64" s="40">
        <v>0</v>
      </c>
      <c r="BX64" s="40">
        <v>0</v>
      </c>
      <c r="BY64" s="40">
        <v>0</v>
      </c>
      <c r="BZ64" s="40">
        <v>0</v>
      </c>
      <c r="CA64" s="40">
        <v>0</v>
      </c>
      <c r="CB64" s="40">
        <v>0</v>
      </c>
      <c r="CC64" s="40">
        <v>0</v>
      </c>
      <c r="CD64" s="40">
        <v>0</v>
      </c>
      <c r="CE64" s="40">
        <v>0</v>
      </c>
      <c r="CF64" s="41"/>
      <c r="CG64" s="41"/>
      <c r="CH64" s="42"/>
    </row>
    <row r="65" spans="1:86" ht="22.5">
      <c r="A65" s="38">
        <v>59</v>
      </c>
      <c r="B65" s="65" t="s">
        <v>21</v>
      </c>
      <c r="C65" s="39" t="s">
        <v>20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 s="40">
        <v>0</v>
      </c>
      <c r="Q65" s="40">
        <v>0</v>
      </c>
      <c r="R65" s="40">
        <v>0</v>
      </c>
      <c r="S65" s="40">
        <v>0</v>
      </c>
      <c r="T65" s="40">
        <v>0</v>
      </c>
      <c r="U65" s="40">
        <v>0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0</v>
      </c>
      <c r="AB65" s="40">
        <v>0</v>
      </c>
      <c r="AC65" s="40">
        <v>0</v>
      </c>
      <c r="AD65" s="40">
        <v>0</v>
      </c>
      <c r="AE65" s="40">
        <v>0</v>
      </c>
      <c r="AF65" s="40">
        <v>0</v>
      </c>
      <c r="AG65" s="40">
        <v>0</v>
      </c>
      <c r="AH65" s="40">
        <v>0</v>
      </c>
      <c r="AI65" s="40">
        <v>0</v>
      </c>
      <c r="AJ65" s="40">
        <v>0</v>
      </c>
      <c r="AK65" s="40">
        <v>0</v>
      </c>
      <c r="AL65" s="40">
        <v>0</v>
      </c>
      <c r="AM65" s="40">
        <v>0</v>
      </c>
      <c r="AN65" s="40">
        <v>0</v>
      </c>
      <c r="AO65" s="40">
        <v>0</v>
      </c>
      <c r="AP65" s="40">
        <v>0</v>
      </c>
      <c r="AQ65" s="40">
        <v>0</v>
      </c>
      <c r="AR65" s="40">
        <v>0</v>
      </c>
      <c r="AS65" s="40">
        <v>0</v>
      </c>
      <c r="AT65" s="40">
        <v>0</v>
      </c>
      <c r="AU65" s="40">
        <v>0</v>
      </c>
      <c r="AV65" s="40">
        <v>0</v>
      </c>
      <c r="AW65" s="40">
        <v>0</v>
      </c>
      <c r="AX65" s="40">
        <v>0</v>
      </c>
      <c r="AY65" s="40">
        <v>0</v>
      </c>
      <c r="AZ65" s="40">
        <v>0</v>
      </c>
      <c r="BA65" s="40">
        <v>0</v>
      </c>
      <c r="BB65" s="40">
        <v>0</v>
      </c>
      <c r="BC65" s="40">
        <v>0</v>
      </c>
      <c r="BD65" s="40">
        <v>0</v>
      </c>
      <c r="BE65" s="40">
        <v>0</v>
      </c>
      <c r="BF65" s="40">
        <v>0</v>
      </c>
      <c r="BG65" s="40">
        <v>0</v>
      </c>
      <c r="BH65" s="40">
        <v>0</v>
      </c>
      <c r="BI65" s="40">
        <v>0</v>
      </c>
      <c r="BJ65" s="40">
        <v>0</v>
      </c>
      <c r="BK65" s="40">
        <v>0</v>
      </c>
      <c r="BL65" s="40">
        <v>0</v>
      </c>
      <c r="BM65" s="40">
        <v>0</v>
      </c>
      <c r="BN65" s="40">
        <v>0</v>
      </c>
      <c r="BO65" s="40">
        <v>0</v>
      </c>
      <c r="BP65" s="40">
        <v>0</v>
      </c>
      <c r="BQ65" s="40">
        <v>0</v>
      </c>
      <c r="BR65" s="40">
        <v>0</v>
      </c>
      <c r="BS65" s="40">
        <v>0</v>
      </c>
      <c r="BT65" s="40">
        <v>0</v>
      </c>
      <c r="BU65" s="40">
        <v>0</v>
      </c>
      <c r="BV65" s="40">
        <v>0</v>
      </c>
      <c r="BW65" s="40">
        <v>0</v>
      </c>
      <c r="BX65" s="40">
        <v>0</v>
      </c>
      <c r="BY65" s="40">
        <v>0</v>
      </c>
      <c r="BZ65" s="40">
        <v>0</v>
      </c>
      <c r="CA65" s="40">
        <v>0</v>
      </c>
      <c r="CB65" s="40">
        <v>0</v>
      </c>
      <c r="CC65" s="40">
        <v>0</v>
      </c>
      <c r="CD65" s="40">
        <v>0</v>
      </c>
      <c r="CE65" s="40">
        <v>0</v>
      </c>
      <c r="CF65" s="41"/>
      <c r="CG65" s="41"/>
      <c r="CH65" s="42"/>
    </row>
    <row r="66" spans="1:86" ht="22.5">
      <c r="A66" s="38">
        <v>60</v>
      </c>
      <c r="B66" s="65" t="s">
        <v>160</v>
      </c>
      <c r="C66" s="39" t="s">
        <v>159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0</v>
      </c>
      <c r="AF66" s="40">
        <v>0</v>
      </c>
      <c r="AG66" s="40">
        <v>0</v>
      </c>
      <c r="AH66" s="40">
        <v>0</v>
      </c>
      <c r="AI66" s="40">
        <v>0</v>
      </c>
      <c r="AJ66" s="40">
        <v>0</v>
      </c>
      <c r="AK66" s="40">
        <v>0</v>
      </c>
      <c r="AL66" s="40">
        <v>0</v>
      </c>
      <c r="AM66" s="40">
        <v>0</v>
      </c>
      <c r="AN66" s="40">
        <v>0</v>
      </c>
      <c r="AO66" s="40">
        <v>0</v>
      </c>
      <c r="AP66" s="40">
        <v>0</v>
      </c>
      <c r="AQ66" s="40">
        <v>0</v>
      </c>
      <c r="AR66" s="40">
        <v>0</v>
      </c>
      <c r="AS66" s="40">
        <v>0</v>
      </c>
      <c r="AT66" s="40">
        <v>0</v>
      </c>
      <c r="AU66" s="40">
        <v>0</v>
      </c>
      <c r="AV66" s="40">
        <v>0</v>
      </c>
      <c r="AW66" s="40">
        <v>0</v>
      </c>
      <c r="AX66" s="40">
        <v>0</v>
      </c>
      <c r="AY66" s="40">
        <v>0</v>
      </c>
      <c r="AZ66" s="40">
        <v>0</v>
      </c>
      <c r="BA66" s="40">
        <v>0</v>
      </c>
      <c r="BB66" s="40">
        <v>0</v>
      </c>
      <c r="BC66" s="40">
        <v>0</v>
      </c>
      <c r="BD66" s="40">
        <v>0</v>
      </c>
      <c r="BE66" s="40">
        <v>0</v>
      </c>
      <c r="BF66" s="40">
        <v>0</v>
      </c>
      <c r="BG66" s="40">
        <v>0</v>
      </c>
      <c r="BH66" s="40">
        <v>0</v>
      </c>
      <c r="BI66" s="40">
        <v>0</v>
      </c>
      <c r="BJ66" s="40">
        <v>0</v>
      </c>
      <c r="BK66" s="40">
        <v>0</v>
      </c>
      <c r="BL66" s="40">
        <v>0</v>
      </c>
      <c r="BM66" s="40">
        <v>0</v>
      </c>
      <c r="BN66" s="40">
        <v>0</v>
      </c>
      <c r="BO66" s="40">
        <v>0</v>
      </c>
      <c r="BP66" s="40">
        <v>0</v>
      </c>
      <c r="BQ66" s="40">
        <v>0</v>
      </c>
      <c r="BR66" s="40">
        <v>0</v>
      </c>
      <c r="BS66" s="40">
        <v>0</v>
      </c>
      <c r="BT66" s="40">
        <v>0</v>
      </c>
      <c r="BU66" s="40">
        <v>0</v>
      </c>
      <c r="BV66" s="40">
        <v>0</v>
      </c>
      <c r="BW66" s="40">
        <v>0</v>
      </c>
      <c r="BX66" s="40">
        <v>0</v>
      </c>
      <c r="BY66" s="40">
        <v>0</v>
      </c>
      <c r="BZ66" s="40">
        <v>0</v>
      </c>
      <c r="CA66" s="40">
        <v>0</v>
      </c>
      <c r="CB66" s="40">
        <v>0</v>
      </c>
      <c r="CC66" s="40">
        <v>0</v>
      </c>
      <c r="CD66" s="40">
        <v>0</v>
      </c>
      <c r="CE66" s="40">
        <v>0</v>
      </c>
      <c r="CF66" s="41"/>
      <c r="CG66" s="41"/>
      <c r="CH66" s="42"/>
    </row>
    <row r="67" spans="1:86" ht="22.5">
      <c r="A67" s="38">
        <v>61</v>
      </c>
      <c r="B67" s="65" t="s">
        <v>158</v>
      </c>
      <c r="C67" s="39" t="s">
        <v>157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40">
        <v>0</v>
      </c>
      <c r="P67" s="40">
        <v>0</v>
      </c>
      <c r="Q67" s="40">
        <v>0</v>
      </c>
      <c r="R67" s="40">
        <v>0</v>
      </c>
      <c r="S67" s="40">
        <v>0</v>
      </c>
      <c r="T67" s="40">
        <v>0</v>
      </c>
      <c r="U67" s="40">
        <v>0</v>
      </c>
      <c r="V67" s="40">
        <v>0</v>
      </c>
      <c r="W67" s="40">
        <v>0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0</v>
      </c>
      <c r="AD67" s="40">
        <v>0</v>
      </c>
      <c r="AE67" s="40">
        <v>0</v>
      </c>
      <c r="AF67" s="40">
        <v>0</v>
      </c>
      <c r="AG67" s="40">
        <v>0</v>
      </c>
      <c r="AH67" s="40">
        <v>0</v>
      </c>
      <c r="AI67" s="40">
        <v>0</v>
      </c>
      <c r="AJ67" s="40">
        <v>0</v>
      </c>
      <c r="AK67" s="40">
        <v>0</v>
      </c>
      <c r="AL67" s="40">
        <v>0</v>
      </c>
      <c r="AM67" s="40">
        <v>0</v>
      </c>
      <c r="AN67" s="40">
        <v>0</v>
      </c>
      <c r="AO67" s="40">
        <v>0</v>
      </c>
      <c r="AP67" s="40">
        <v>0</v>
      </c>
      <c r="AQ67" s="40">
        <v>0</v>
      </c>
      <c r="AR67" s="40">
        <v>0</v>
      </c>
      <c r="AS67" s="40">
        <v>0</v>
      </c>
      <c r="AT67" s="40">
        <v>0</v>
      </c>
      <c r="AU67" s="40">
        <v>0</v>
      </c>
      <c r="AV67" s="40">
        <v>0</v>
      </c>
      <c r="AW67" s="40">
        <v>0</v>
      </c>
      <c r="AX67" s="40">
        <v>0</v>
      </c>
      <c r="AY67" s="40">
        <v>0</v>
      </c>
      <c r="AZ67" s="40">
        <v>0</v>
      </c>
      <c r="BA67" s="40">
        <v>0</v>
      </c>
      <c r="BB67" s="40">
        <v>0</v>
      </c>
      <c r="BC67" s="40">
        <v>0</v>
      </c>
      <c r="BD67" s="40">
        <v>0</v>
      </c>
      <c r="BE67" s="40">
        <v>0</v>
      </c>
      <c r="BF67" s="40">
        <v>0</v>
      </c>
      <c r="BG67" s="40">
        <v>0</v>
      </c>
      <c r="BH67" s="40">
        <v>0</v>
      </c>
      <c r="BI67" s="40">
        <v>0</v>
      </c>
      <c r="BJ67" s="40">
        <v>0</v>
      </c>
      <c r="BK67" s="40">
        <v>0</v>
      </c>
      <c r="BL67" s="40">
        <v>0</v>
      </c>
      <c r="BM67" s="40">
        <v>0</v>
      </c>
      <c r="BN67" s="40">
        <v>0</v>
      </c>
      <c r="BO67" s="40">
        <v>0</v>
      </c>
      <c r="BP67" s="40">
        <v>0</v>
      </c>
      <c r="BQ67" s="40">
        <v>0</v>
      </c>
      <c r="BR67" s="40">
        <v>0</v>
      </c>
      <c r="BS67" s="40">
        <v>0</v>
      </c>
      <c r="BT67" s="40">
        <v>0</v>
      </c>
      <c r="BU67" s="40">
        <v>0</v>
      </c>
      <c r="BV67" s="40">
        <v>0</v>
      </c>
      <c r="BW67" s="40">
        <v>0</v>
      </c>
      <c r="BX67" s="40">
        <v>0</v>
      </c>
      <c r="BY67" s="40">
        <v>0</v>
      </c>
      <c r="BZ67" s="40">
        <v>0</v>
      </c>
      <c r="CA67" s="40">
        <v>0</v>
      </c>
      <c r="CB67" s="40">
        <v>0</v>
      </c>
      <c r="CC67" s="40">
        <v>0</v>
      </c>
      <c r="CD67" s="40">
        <v>0</v>
      </c>
      <c r="CE67" s="40">
        <v>0</v>
      </c>
      <c r="CF67" s="41"/>
      <c r="CG67" s="41"/>
      <c r="CH67" s="42"/>
    </row>
    <row r="68" spans="1:86" ht="33.75">
      <c r="A68" s="38">
        <v>62</v>
      </c>
      <c r="B68" s="65" t="s">
        <v>19</v>
      </c>
      <c r="C68" s="39" t="s">
        <v>18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40">
        <v>0</v>
      </c>
      <c r="AJ68" s="40">
        <v>0</v>
      </c>
      <c r="AK68" s="40">
        <v>0</v>
      </c>
      <c r="AL68" s="40">
        <v>0</v>
      </c>
      <c r="AM68" s="40">
        <v>0</v>
      </c>
      <c r="AN68" s="40">
        <v>0</v>
      </c>
      <c r="AO68" s="40">
        <v>0</v>
      </c>
      <c r="AP68" s="40">
        <v>0</v>
      </c>
      <c r="AQ68" s="40">
        <v>0</v>
      </c>
      <c r="AR68" s="40">
        <v>0</v>
      </c>
      <c r="AS68" s="40">
        <v>0</v>
      </c>
      <c r="AT68" s="40">
        <v>0</v>
      </c>
      <c r="AU68" s="40">
        <v>0</v>
      </c>
      <c r="AV68" s="40">
        <v>0</v>
      </c>
      <c r="AW68" s="40">
        <v>0</v>
      </c>
      <c r="AX68" s="40">
        <v>0</v>
      </c>
      <c r="AY68" s="40">
        <v>0</v>
      </c>
      <c r="AZ68" s="40">
        <v>0</v>
      </c>
      <c r="BA68" s="40">
        <v>0</v>
      </c>
      <c r="BB68" s="40">
        <v>0</v>
      </c>
      <c r="BC68" s="40">
        <v>0</v>
      </c>
      <c r="BD68" s="40">
        <v>0</v>
      </c>
      <c r="BE68" s="40">
        <v>0</v>
      </c>
      <c r="BF68" s="40">
        <v>0</v>
      </c>
      <c r="BG68" s="40">
        <v>0</v>
      </c>
      <c r="BH68" s="40">
        <v>0</v>
      </c>
      <c r="BI68" s="40">
        <v>0</v>
      </c>
      <c r="BJ68" s="40">
        <v>0</v>
      </c>
      <c r="BK68" s="40">
        <v>0</v>
      </c>
      <c r="BL68" s="40">
        <v>0</v>
      </c>
      <c r="BM68" s="40">
        <v>0</v>
      </c>
      <c r="BN68" s="40">
        <v>0</v>
      </c>
      <c r="BO68" s="40">
        <v>0</v>
      </c>
      <c r="BP68" s="40">
        <v>0</v>
      </c>
      <c r="BQ68" s="40">
        <v>0</v>
      </c>
      <c r="BR68" s="40">
        <v>0</v>
      </c>
      <c r="BS68" s="40">
        <v>0</v>
      </c>
      <c r="BT68" s="40">
        <v>0</v>
      </c>
      <c r="BU68" s="40">
        <v>0</v>
      </c>
      <c r="BV68" s="40">
        <v>0</v>
      </c>
      <c r="BW68" s="40">
        <v>0</v>
      </c>
      <c r="BX68" s="40">
        <v>0</v>
      </c>
      <c r="BY68" s="40">
        <v>0</v>
      </c>
      <c r="BZ68" s="40">
        <v>0</v>
      </c>
      <c r="CA68" s="40">
        <v>0</v>
      </c>
      <c r="CB68" s="40">
        <v>0</v>
      </c>
      <c r="CC68" s="40">
        <v>0</v>
      </c>
      <c r="CD68" s="40">
        <v>0</v>
      </c>
      <c r="CE68" s="40">
        <v>0</v>
      </c>
      <c r="CF68" s="41"/>
      <c r="CG68" s="41"/>
      <c r="CH68" s="42"/>
    </row>
    <row r="69" spans="1:86">
      <c r="A69" s="38">
        <v>63</v>
      </c>
      <c r="B69" s="65" t="s">
        <v>17</v>
      </c>
      <c r="C69" s="39" t="s">
        <v>16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40">
        <v>0</v>
      </c>
      <c r="S69" s="40">
        <v>0</v>
      </c>
      <c r="T69" s="40">
        <v>0</v>
      </c>
      <c r="U69" s="40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  <c r="AB69" s="40">
        <v>0</v>
      </c>
      <c r="AC69" s="40">
        <v>0</v>
      </c>
      <c r="AD69" s="40">
        <v>0</v>
      </c>
      <c r="AE69" s="40">
        <v>0</v>
      </c>
      <c r="AF69" s="40">
        <v>0</v>
      </c>
      <c r="AG69" s="40">
        <v>0</v>
      </c>
      <c r="AH69" s="40">
        <v>0</v>
      </c>
      <c r="AI69" s="40">
        <v>0</v>
      </c>
      <c r="AJ69" s="40">
        <v>0</v>
      </c>
      <c r="AK69" s="40">
        <v>0</v>
      </c>
      <c r="AL69" s="40">
        <v>0</v>
      </c>
      <c r="AM69" s="40">
        <v>0</v>
      </c>
      <c r="AN69" s="40">
        <v>0</v>
      </c>
      <c r="AO69" s="40">
        <v>0</v>
      </c>
      <c r="AP69" s="40">
        <v>0</v>
      </c>
      <c r="AQ69" s="40">
        <v>0</v>
      </c>
      <c r="AR69" s="40">
        <v>0</v>
      </c>
      <c r="AS69" s="40">
        <v>0</v>
      </c>
      <c r="AT69" s="40">
        <v>0</v>
      </c>
      <c r="AU69" s="40">
        <v>0</v>
      </c>
      <c r="AV69" s="40">
        <v>0</v>
      </c>
      <c r="AW69" s="40">
        <v>0</v>
      </c>
      <c r="AX69" s="40">
        <v>0</v>
      </c>
      <c r="AY69" s="40">
        <v>0</v>
      </c>
      <c r="AZ69" s="40">
        <v>0</v>
      </c>
      <c r="BA69" s="40">
        <v>0</v>
      </c>
      <c r="BB69" s="40">
        <v>0</v>
      </c>
      <c r="BC69" s="40">
        <v>0</v>
      </c>
      <c r="BD69" s="40">
        <v>0</v>
      </c>
      <c r="BE69" s="40">
        <v>0</v>
      </c>
      <c r="BF69" s="40">
        <v>0</v>
      </c>
      <c r="BG69" s="40">
        <v>0</v>
      </c>
      <c r="BH69" s="40">
        <v>0</v>
      </c>
      <c r="BI69" s="40">
        <v>0</v>
      </c>
      <c r="BJ69" s="40">
        <v>0</v>
      </c>
      <c r="BK69" s="40">
        <v>0</v>
      </c>
      <c r="BL69" s="40">
        <v>0</v>
      </c>
      <c r="BM69" s="40">
        <v>0</v>
      </c>
      <c r="BN69" s="40">
        <v>0</v>
      </c>
      <c r="BO69" s="40">
        <v>0</v>
      </c>
      <c r="BP69" s="40">
        <v>0</v>
      </c>
      <c r="BQ69" s="40">
        <v>0</v>
      </c>
      <c r="BR69" s="40">
        <v>0</v>
      </c>
      <c r="BS69" s="40">
        <v>0</v>
      </c>
      <c r="BT69" s="40">
        <v>0</v>
      </c>
      <c r="BU69" s="40">
        <v>0</v>
      </c>
      <c r="BV69" s="40">
        <v>0</v>
      </c>
      <c r="BW69" s="40">
        <v>0</v>
      </c>
      <c r="BX69" s="40">
        <v>0</v>
      </c>
      <c r="BY69" s="40">
        <v>0</v>
      </c>
      <c r="BZ69" s="40">
        <v>0</v>
      </c>
      <c r="CA69" s="40">
        <v>0</v>
      </c>
      <c r="CB69" s="40">
        <v>0</v>
      </c>
      <c r="CC69" s="40">
        <v>0</v>
      </c>
      <c r="CD69" s="40">
        <v>0</v>
      </c>
      <c r="CE69" s="40">
        <v>0</v>
      </c>
      <c r="CF69" s="41"/>
      <c r="CG69" s="41"/>
      <c r="CH69" s="42"/>
    </row>
    <row r="70" spans="1:86">
      <c r="A70" s="38">
        <v>64</v>
      </c>
      <c r="B70" s="65" t="s">
        <v>15</v>
      </c>
      <c r="C70" s="39" t="s">
        <v>14</v>
      </c>
      <c r="D70" s="40">
        <v>0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T70" s="40">
        <v>0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0</v>
      </c>
      <c r="AB70" s="40">
        <v>0</v>
      </c>
      <c r="AC70" s="40">
        <v>0</v>
      </c>
      <c r="AD70" s="40">
        <v>0</v>
      </c>
      <c r="AE70" s="40">
        <v>0</v>
      </c>
      <c r="AF70" s="40">
        <v>0</v>
      </c>
      <c r="AG70" s="40">
        <v>0</v>
      </c>
      <c r="AH70" s="40">
        <v>0</v>
      </c>
      <c r="AI70" s="40">
        <v>0</v>
      </c>
      <c r="AJ70" s="40">
        <v>0</v>
      </c>
      <c r="AK70" s="40">
        <v>0</v>
      </c>
      <c r="AL70" s="40">
        <v>0</v>
      </c>
      <c r="AM70" s="40">
        <v>0</v>
      </c>
      <c r="AN70" s="40">
        <v>0</v>
      </c>
      <c r="AO70" s="40">
        <v>0</v>
      </c>
      <c r="AP70" s="40">
        <v>0</v>
      </c>
      <c r="AQ70" s="40">
        <v>0</v>
      </c>
      <c r="AR70" s="40">
        <v>0</v>
      </c>
      <c r="AS70" s="40">
        <v>0</v>
      </c>
      <c r="AT70" s="40">
        <v>0</v>
      </c>
      <c r="AU70" s="40">
        <v>0</v>
      </c>
      <c r="AV70" s="40">
        <v>0</v>
      </c>
      <c r="AW70" s="40">
        <v>0</v>
      </c>
      <c r="AX70" s="40">
        <v>0</v>
      </c>
      <c r="AY70" s="40">
        <v>0</v>
      </c>
      <c r="AZ70" s="40">
        <v>0</v>
      </c>
      <c r="BA70" s="40">
        <v>0</v>
      </c>
      <c r="BB70" s="40">
        <v>0</v>
      </c>
      <c r="BC70" s="40">
        <v>0</v>
      </c>
      <c r="BD70" s="40">
        <v>0</v>
      </c>
      <c r="BE70" s="40">
        <v>0</v>
      </c>
      <c r="BF70" s="40">
        <v>0</v>
      </c>
      <c r="BG70" s="40">
        <v>0</v>
      </c>
      <c r="BH70" s="40">
        <v>0</v>
      </c>
      <c r="BI70" s="40">
        <v>0</v>
      </c>
      <c r="BJ70" s="40">
        <v>0</v>
      </c>
      <c r="BK70" s="40">
        <v>0</v>
      </c>
      <c r="BL70" s="40">
        <v>0</v>
      </c>
      <c r="BM70" s="40">
        <v>0</v>
      </c>
      <c r="BN70" s="40">
        <v>0</v>
      </c>
      <c r="BO70" s="40">
        <v>0</v>
      </c>
      <c r="BP70" s="40">
        <v>0</v>
      </c>
      <c r="BQ70" s="40">
        <v>0</v>
      </c>
      <c r="BR70" s="40">
        <v>0</v>
      </c>
      <c r="BS70" s="40">
        <v>0</v>
      </c>
      <c r="BT70" s="40">
        <v>0</v>
      </c>
      <c r="BU70" s="40">
        <v>0</v>
      </c>
      <c r="BV70" s="40">
        <v>0</v>
      </c>
      <c r="BW70" s="40">
        <v>0</v>
      </c>
      <c r="BX70" s="40">
        <v>0</v>
      </c>
      <c r="BY70" s="40">
        <v>0</v>
      </c>
      <c r="BZ70" s="40">
        <v>0</v>
      </c>
      <c r="CA70" s="40">
        <v>0</v>
      </c>
      <c r="CB70" s="40">
        <v>0</v>
      </c>
      <c r="CC70" s="40">
        <v>0</v>
      </c>
      <c r="CD70" s="40">
        <v>0</v>
      </c>
      <c r="CE70" s="40">
        <v>0</v>
      </c>
      <c r="CF70" s="41"/>
      <c r="CG70" s="41"/>
      <c r="CH70" s="42"/>
    </row>
    <row r="71" spans="1:86">
      <c r="A71" s="38">
        <v>65</v>
      </c>
      <c r="B71" s="65" t="s">
        <v>13</v>
      </c>
      <c r="C71" s="39" t="s">
        <v>12</v>
      </c>
      <c r="D71" s="40">
        <v>0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 s="40">
        <v>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  <c r="AA71" s="40">
        <v>0</v>
      </c>
      <c r="AB71" s="40">
        <v>0</v>
      </c>
      <c r="AC71" s="40">
        <v>0</v>
      </c>
      <c r="AD71" s="40">
        <v>0</v>
      </c>
      <c r="AE71" s="40">
        <v>0</v>
      </c>
      <c r="AF71" s="40">
        <v>0</v>
      </c>
      <c r="AG71" s="40">
        <v>0</v>
      </c>
      <c r="AH71" s="40">
        <v>0</v>
      </c>
      <c r="AI71" s="40">
        <v>0</v>
      </c>
      <c r="AJ71" s="40">
        <v>0</v>
      </c>
      <c r="AK71" s="40">
        <v>0</v>
      </c>
      <c r="AL71" s="40">
        <v>0</v>
      </c>
      <c r="AM71" s="40">
        <v>0</v>
      </c>
      <c r="AN71" s="40">
        <v>0</v>
      </c>
      <c r="AO71" s="40">
        <v>0</v>
      </c>
      <c r="AP71" s="40">
        <v>0</v>
      </c>
      <c r="AQ71" s="40">
        <v>0</v>
      </c>
      <c r="AR71" s="40">
        <v>0</v>
      </c>
      <c r="AS71" s="40">
        <v>0</v>
      </c>
      <c r="AT71" s="40">
        <v>0</v>
      </c>
      <c r="AU71" s="40">
        <v>0</v>
      </c>
      <c r="AV71" s="40">
        <v>0</v>
      </c>
      <c r="AW71" s="40">
        <v>0</v>
      </c>
      <c r="AX71" s="40">
        <v>0</v>
      </c>
      <c r="AY71" s="40">
        <v>0</v>
      </c>
      <c r="AZ71" s="40">
        <v>0</v>
      </c>
      <c r="BA71" s="40">
        <v>0</v>
      </c>
      <c r="BB71" s="40">
        <v>0</v>
      </c>
      <c r="BC71" s="40">
        <v>0</v>
      </c>
      <c r="BD71" s="40">
        <v>0</v>
      </c>
      <c r="BE71" s="40">
        <v>0</v>
      </c>
      <c r="BF71" s="40">
        <v>0</v>
      </c>
      <c r="BG71" s="40">
        <v>0</v>
      </c>
      <c r="BH71" s="40">
        <v>0</v>
      </c>
      <c r="BI71" s="40">
        <v>0</v>
      </c>
      <c r="BJ71" s="40">
        <v>0</v>
      </c>
      <c r="BK71" s="40">
        <v>0</v>
      </c>
      <c r="BL71" s="40">
        <v>0</v>
      </c>
      <c r="BM71" s="40">
        <v>0</v>
      </c>
      <c r="BN71" s="40">
        <v>0</v>
      </c>
      <c r="BO71" s="40">
        <v>0</v>
      </c>
      <c r="BP71" s="40">
        <v>0</v>
      </c>
      <c r="BQ71" s="40">
        <v>0</v>
      </c>
      <c r="BR71" s="40">
        <v>0</v>
      </c>
      <c r="BS71" s="40">
        <v>0</v>
      </c>
      <c r="BT71" s="40">
        <v>0</v>
      </c>
      <c r="BU71" s="40">
        <v>0</v>
      </c>
      <c r="BV71" s="40">
        <v>0</v>
      </c>
      <c r="BW71" s="40">
        <v>0</v>
      </c>
      <c r="BX71" s="40">
        <v>0</v>
      </c>
      <c r="BY71" s="40">
        <v>0</v>
      </c>
      <c r="BZ71" s="40">
        <v>0</v>
      </c>
      <c r="CA71" s="40">
        <v>0</v>
      </c>
      <c r="CB71" s="40">
        <v>0</v>
      </c>
      <c r="CC71" s="40">
        <v>0</v>
      </c>
      <c r="CD71" s="40">
        <v>0</v>
      </c>
      <c r="CE71" s="40">
        <v>0</v>
      </c>
      <c r="CF71" s="41"/>
      <c r="CG71" s="41"/>
      <c r="CH71" s="42"/>
    </row>
    <row r="72" spans="1:86" ht="22.5">
      <c r="A72" s="38">
        <v>66</v>
      </c>
      <c r="B72" s="65" t="s">
        <v>93</v>
      </c>
      <c r="C72" s="39" t="s">
        <v>156</v>
      </c>
      <c r="D72" s="40">
        <v>0</v>
      </c>
      <c r="E72" s="40">
        <v>0</v>
      </c>
      <c r="F72" s="40">
        <v>0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T72" s="40">
        <v>0</v>
      </c>
      <c r="U72" s="40">
        <v>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0</v>
      </c>
      <c r="AD72" s="40">
        <v>0</v>
      </c>
      <c r="AE72" s="40">
        <v>0</v>
      </c>
      <c r="AF72" s="40">
        <v>0</v>
      </c>
      <c r="AG72" s="40">
        <v>0</v>
      </c>
      <c r="AH72" s="40">
        <v>0</v>
      </c>
      <c r="AI72" s="40">
        <v>0</v>
      </c>
      <c r="AJ72" s="40">
        <v>0</v>
      </c>
      <c r="AK72" s="40">
        <v>0</v>
      </c>
      <c r="AL72" s="40">
        <v>0</v>
      </c>
      <c r="AM72" s="40">
        <v>0</v>
      </c>
      <c r="AN72" s="40">
        <v>0</v>
      </c>
      <c r="AO72" s="40">
        <v>0</v>
      </c>
      <c r="AP72" s="40">
        <v>0</v>
      </c>
      <c r="AQ72" s="40">
        <v>0</v>
      </c>
      <c r="AR72" s="40">
        <v>0</v>
      </c>
      <c r="AS72" s="40">
        <v>0</v>
      </c>
      <c r="AT72" s="40">
        <v>0</v>
      </c>
      <c r="AU72" s="40">
        <v>0</v>
      </c>
      <c r="AV72" s="40">
        <v>0</v>
      </c>
      <c r="AW72" s="40">
        <v>0</v>
      </c>
      <c r="AX72" s="40">
        <v>0</v>
      </c>
      <c r="AY72" s="40">
        <v>0</v>
      </c>
      <c r="AZ72" s="40">
        <v>0</v>
      </c>
      <c r="BA72" s="40">
        <v>0</v>
      </c>
      <c r="BB72" s="40">
        <v>0</v>
      </c>
      <c r="BC72" s="40">
        <v>0</v>
      </c>
      <c r="BD72" s="40">
        <v>0</v>
      </c>
      <c r="BE72" s="40">
        <v>427</v>
      </c>
      <c r="BF72" s="40">
        <v>0</v>
      </c>
      <c r="BG72" s="40">
        <v>0</v>
      </c>
      <c r="BH72" s="40">
        <v>0</v>
      </c>
      <c r="BI72" s="40">
        <v>0</v>
      </c>
      <c r="BJ72" s="40">
        <v>0</v>
      </c>
      <c r="BK72" s="40">
        <v>0</v>
      </c>
      <c r="BL72" s="40">
        <v>0</v>
      </c>
      <c r="BM72" s="40">
        <v>1627</v>
      </c>
      <c r="BN72" s="40">
        <v>1275</v>
      </c>
      <c r="BO72" s="40">
        <v>63</v>
      </c>
      <c r="BP72" s="40">
        <v>5</v>
      </c>
      <c r="BQ72" s="40">
        <v>558</v>
      </c>
      <c r="BR72" s="40">
        <v>0</v>
      </c>
      <c r="BS72" s="40">
        <v>0</v>
      </c>
      <c r="BT72" s="40">
        <v>3955</v>
      </c>
      <c r="BU72" s="40">
        <v>118496</v>
      </c>
      <c r="BV72" s="40">
        <v>0</v>
      </c>
      <c r="BW72" s="40">
        <v>0</v>
      </c>
      <c r="BX72" s="40">
        <v>118496</v>
      </c>
      <c r="BY72" s="40">
        <v>7405</v>
      </c>
      <c r="BZ72" s="40">
        <v>0</v>
      </c>
      <c r="CA72" s="40">
        <v>0</v>
      </c>
      <c r="CB72" s="40">
        <v>7405</v>
      </c>
      <c r="CC72" s="40">
        <v>105</v>
      </c>
      <c r="CD72" s="40">
        <v>126006</v>
      </c>
      <c r="CE72" s="40">
        <v>129961</v>
      </c>
      <c r="CF72" s="41"/>
      <c r="CG72" s="41"/>
      <c r="CH72" s="42"/>
    </row>
    <row r="73" spans="1:86">
      <c r="A73" s="38">
        <v>67</v>
      </c>
      <c r="B73" s="65" t="s">
        <v>92</v>
      </c>
      <c r="C73" s="39" t="s">
        <v>155</v>
      </c>
      <c r="D73" s="40">
        <v>0</v>
      </c>
      <c r="E73" s="40">
        <v>0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  <c r="N73" s="40">
        <v>0</v>
      </c>
      <c r="O73" s="40">
        <v>0</v>
      </c>
      <c r="P73" s="40">
        <v>0</v>
      </c>
      <c r="Q73" s="40">
        <v>0</v>
      </c>
      <c r="R73" s="40">
        <v>0</v>
      </c>
      <c r="S73" s="40">
        <v>0</v>
      </c>
      <c r="T73" s="40">
        <v>0</v>
      </c>
      <c r="U73" s="40">
        <v>0</v>
      </c>
      <c r="V73" s="40">
        <v>0</v>
      </c>
      <c r="W73" s="40">
        <v>0</v>
      </c>
      <c r="X73" s="40">
        <v>0</v>
      </c>
      <c r="Y73" s="40">
        <v>0</v>
      </c>
      <c r="Z73" s="40">
        <v>0</v>
      </c>
      <c r="AA73" s="40">
        <v>0</v>
      </c>
      <c r="AB73" s="40">
        <v>0</v>
      </c>
      <c r="AC73" s="40">
        <v>0</v>
      </c>
      <c r="AD73" s="40">
        <v>0</v>
      </c>
      <c r="AE73" s="40">
        <v>0</v>
      </c>
      <c r="AF73" s="40">
        <v>0</v>
      </c>
      <c r="AG73" s="40">
        <v>0</v>
      </c>
      <c r="AH73" s="40">
        <v>0</v>
      </c>
      <c r="AI73" s="40">
        <v>0</v>
      </c>
      <c r="AJ73" s="40">
        <v>0</v>
      </c>
      <c r="AK73" s="40">
        <v>0</v>
      </c>
      <c r="AL73" s="40">
        <v>0</v>
      </c>
      <c r="AM73" s="40">
        <v>0</v>
      </c>
      <c r="AN73" s="40">
        <v>0</v>
      </c>
      <c r="AO73" s="40">
        <v>0</v>
      </c>
      <c r="AP73" s="40">
        <v>0</v>
      </c>
      <c r="AQ73" s="40">
        <v>0</v>
      </c>
      <c r="AR73" s="40">
        <v>0</v>
      </c>
      <c r="AS73" s="40">
        <v>0</v>
      </c>
      <c r="AT73" s="40">
        <v>0</v>
      </c>
      <c r="AU73" s="40">
        <v>0</v>
      </c>
      <c r="AV73" s="40">
        <v>0</v>
      </c>
      <c r="AW73" s="40">
        <v>0</v>
      </c>
      <c r="AX73" s="40">
        <v>0</v>
      </c>
      <c r="AY73" s="40">
        <v>0</v>
      </c>
      <c r="AZ73" s="40">
        <v>0</v>
      </c>
      <c r="BA73" s="40">
        <v>0</v>
      </c>
      <c r="BB73" s="40">
        <v>0</v>
      </c>
      <c r="BC73" s="40">
        <v>0</v>
      </c>
      <c r="BD73" s="40">
        <v>0</v>
      </c>
      <c r="BE73" s="40">
        <v>0</v>
      </c>
      <c r="BF73" s="40">
        <v>0</v>
      </c>
      <c r="BG73" s="40">
        <v>0</v>
      </c>
      <c r="BH73" s="40">
        <v>0</v>
      </c>
      <c r="BI73" s="40">
        <v>0</v>
      </c>
      <c r="BJ73" s="40">
        <v>0</v>
      </c>
      <c r="BK73" s="40">
        <v>0</v>
      </c>
      <c r="BL73" s="40">
        <v>0</v>
      </c>
      <c r="BM73" s="40">
        <v>0</v>
      </c>
      <c r="BN73" s="40">
        <v>0</v>
      </c>
      <c r="BO73" s="40">
        <v>0</v>
      </c>
      <c r="BP73" s="40">
        <v>0</v>
      </c>
      <c r="BQ73" s="40">
        <v>0</v>
      </c>
      <c r="BR73" s="40">
        <v>0</v>
      </c>
      <c r="BS73" s="40">
        <v>0</v>
      </c>
      <c r="BT73" s="40">
        <v>0</v>
      </c>
      <c r="BU73" s="40">
        <v>0</v>
      </c>
      <c r="BV73" s="40">
        <v>0</v>
      </c>
      <c r="BW73" s="40">
        <v>0</v>
      </c>
      <c r="BX73" s="40">
        <v>0</v>
      </c>
      <c r="BY73" s="40">
        <v>0</v>
      </c>
      <c r="BZ73" s="40">
        <v>0</v>
      </c>
      <c r="CA73" s="40">
        <v>0</v>
      </c>
      <c r="CB73" s="40">
        <v>0</v>
      </c>
      <c r="CC73" s="40">
        <v>0</v>
      </c>
      <c r="CD73" s="40">
        <v>0</v>
      </c>
      <c r="CE73" s="40">
        <v>0</v>
      </c>
      <c r="CF73" s="41"/>
      <c r="CG73" s="41"/>
      <c r="CH73" s="42"/>
    </row>
    <row r="74" spans="1:86" ht="45">
      <c r="A74" s="38">
        <v>68</v>
      </c>
      <c r="B74" s="65" t="s">
        <v>11</v>
      </c>
      <c r="C74" s="39" t="s">
        <v>10</v>
      </c>
      <c r="D74" s="40">
        <v>0</v>
      </c>
      <c r="E74" s="40">
        <v>0</v>
      </c>
      <c r="F74" s="40">
        <v>0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T74" s="40">
        <v>0</v>
      </c>
      <c r="U74" s="40">
        <v>0</v>
      </c>
      <c r="V74" s="40">
        <v>0</v>
      </c>
      <c r="W74" s="40">
        <v>0</v>
      </c>
      <c r="X74" s="40">
        <v>0</v>
      </c>
      <c r="Y74" s="40">
        <v>0</v>
      </c>
      <c r="Z74" s="40">
        <v>0</v>
      </c>
      <c r="AA74" s="40">
        <v>0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  <c r="AI74" s="40">
        <v>0</v>
      </c>
      <c r="AJ74" s="40">
        <v>0</v>
      </c>
      <c r="AK74" s="40">
        <v>0</v>
      </c>
      <c r="AL74" s="40">
        <v>0</v>
      </c>
      <c r="AM74" s="40">
        <v>0</v>
      </c>
      <c r="AN74" s="40">
        <v>0</v>
      </c>
      <c r="AO74" s="40">
        <v>0</v>
      </c>
      <c r="AP74" s="40">
        <v>0</v>
      </c>
      <c r="AQ74" s="40">
        <v>0</v>
      </c>
      <c r="AR74" s="40">
        <v>0</v>
      </c>
      <c r="AS74" s="40">
        <v>0</v>
      </c>
      <c r="AT74" s="40">
        <v>0</v>
      </c>
      <c r="AU74" s="40">
        <v>0</v>
      </c>
      <c r="AV74" s="40">
        <v>0</v>
      </c>
      <c r="AW74" s="40">
        <v>0</v>
      </c>
      <c r="AX74" s="40">
        <v>0</v>
      </c>
      <c r="AY74" s="40">
        <v>0</v>
      </c>
      <c r="AZ74" s="40">
        <v>0</v>
      </c>
      <c r="BA74" s="40">
        <v>0</v>
      </c>
      <c r="BB74" s="40">
        <v>0</v>
      </c>
      <c r="BC74" s="40">
        <v>0</v>
      </c>
      <c r="BD74" s="40">
        <v>0</v>
      </c>
      <c r="BE74" s="40">
        <v>0</v>
      </c>
      <c r="BF74" s="40">
        <v>0</v>
      </c>
      <c r="BG74" s="40">
        <v>0</v>
      </c>
      <c r="BH74" s="40">
        <v>0</v>
      </c>
      <c r="BI74" s="40">
        <v>0</v>
      </c>
      <c r="BJ74" s="40">
        <v>0</v>
      </c>
      <c r="BK74" s="40">
        <v>0</v>
      </c>
      <c r="BL74" s="40">
        <v>0</v>
      </c>
      <c r="BM74" s="40">
        <v>0</v>
      </c>
      <c r="BN74" s="40">
        <v>0</v>
      </c>
      <c r="BO74" s="40">
        <v>0</v>
      </c>
      <c r="BP74" s="40">
        <v>0</v>
      </c>
      <c r="BQ74" s="40">
        <v>0</v>
      </c>
      <c r="BR74" s="40">
        <v>0</v>
      </c>
      <c r="BS74" s="40">
        <v>0</v>
      </c>
      <c r="BT74" s="40">
        <v>0</v>
      </c>
      <c r="BU74" s="40">
        <v>0</v>
      </c>
      <c r="BV74" s="40">
        <v>0</v>
      </c>
      <c r="BW74" s="40">
        <v>0</v>
      </c>
      <c r="BX74" s="40">
        <v>0</v>
      </c>
      <c r="BY74" s="40">
        <v>0</v>
      </c>
      <c r="BZ74" s="40">
        <v>0</v>
      </c>
      <c r="CA74" s="40">
        <v>0</v>
      </c>
      <c r="CB74" s="40">
        <v>0</v>
      </c>
      <c r="CC74" s="40">
        <v>0</v>
      </c>
      <c r="CD74" s="40">
        <v>0</v>
      </c>
      <c r="CE74" s="40">
        <v>0</v>
      </c>
      <c r="CF74" s="41"/>
      <c r="CG74" s="41"/>
      <c r="CH74" s="42"/>
    </row>
    <row r="75" spans="1:86" ht="22.5">
      <c r="A75" s="38">
        <v>69</v>
      </c>
      <c r="B75" s="65"/>
      <c r="C75" s="39" t="s">
        <v>9</v>
      </c>
      <c r="D75" s="40">
        <v>0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40">
        <v>0</v>
      </c>
      <c r="S75" s="40">
        <v>0</v>
      </c>
      <c r="T75" s="40">
        <v>0</v>
      </c>
      <c r="U75" s="40">
        <v>0</v>
      </c>
      <c r="V75" s="40">
        <v>0</v>
      </c>
      <c r="W75" s="40">
        <v>0</v>
      </c>
      <c r="X75" s="40">
        <v>0</v>
      </c>
      <c r="Y75" s="40">
        <v>0</v>
      </c>
      <c r="Z75" s="40">
        <v>0</v>
      </c>
      <c r="AA75" s="40">
        <v>0</v>
      </c>
      <c r="AB75" s="40">
        <v>0</v>
      </c>
      <c r="AC75" s="40">
        <v>0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  <c r="AI75" s="40">
        <v>0</v>
      </c>
      <c r="AJ75" s="40">
        <v>0</v>
      </c>
      <c r="AK75" s="40">
        <v>0</v>
      </c>
      <c r="AL75" s="40">
        <v>0</v>
      </c>
      <c r="AM75" s="40">
        <v>0</v>
      </c>
      <c r="AN75" s="40">
        <v>0</v>
      </c>
      <c r="AO75" s="40">
        <v>0</v>
      </c>
      <c r="AP75" s="40">
        <v>0</v>
      </c>
      <c r="AQ75" s="40">
        <v>0</v>
      </c>
      <c r="AR75" s="40">
        <v>0</v>
      </c>
      <c r="AS75" s="40">
        <v>0</v>
      </c>
      <c r="AT75" s="40">
        <v>0</v>
      </c>
      <c r="AU75" s="40">
        <v>0</v>
      </c>
      <c r="AV75" s="40">
        <v>0</v>
      </c>
      <c r="AW75" s="40">
        <v>0</v>
      </c>
      <c r="AX75" s="40">
        <v>0</v>
      </c>
      <c r="AY75" s="40">
        <v>0</v>
      </c>
      <c r="AZ75" s="40">
        <v>0</v>
      </c>
      <c r="BA75" s="40">
        <v>0</v>
      </c>
      <c r="BB75" s="40">
        <v>0</v>
      </c>
      <c r="BC75" s="40">
        <v>0</v>
      </c>
      <c r="BD75" s="40">
        <v>0</v>
      </c>
      <c r="BE75" s="40">
        <v>0</v>
      </c>
      <c r="BF75" s="40">
        <v>0</v>
      </c>
      <c r="BG75" s="40">
        <v>0</v>
      </c>
      <c r="BH75" s="40">
        <v>0</v>
      </c>
      <c r="BI75" s="40">
        <v>0</v>
      </c>
      <c r="BJ75" s="40">
        <v>0</v>
      </c>
      <c r="BK75" s="40">
        <v>0</v>
      </c>
      <c r="BL75" s="40">
        <v>0</v>
      </c>
      <c r="BM75" s="40">
        <v>0</v>
      </c>
      <c r="BN75" s="40">
        <v>0</v>
      </c>
      <c r="BO75" s="40">
        <v>0</v>
      </c>
      <c r="BP75" s="40">
        <v>0</v>
      </c>
      <c r="BQ75" s="40">
        <v>0</v>
      </c>
      <c r="BR75" s="40">
        <v>0</v>
      </c>
      <c r="BS75" s="40">
        <v>0</v>
      </c>
      <c r="BT75" s="40">
        <v>0</v>
      </c>
      <c r="BU75" s="40">
        <v>0</v>
      </c>
      <c r="BV75" s="40">
        <v>0</v>
      </c>
      <c r="BW75" s="40">
        <v>0</v>
      </c>
      <c r="BX75" s="40">
        <v>0</v>
      </c>
      <c r="BY75" s="40">
        <v>0</v>
      </c>
      <c r="BZ75" s="40">
        <v>0</v>
      </c>
      <c r="CA75" s="40">
        <v>0</v>
      </c>
      <c r="CB75" s="40">
        <v>0</v>
      </c>
      <c r="CC75" s="40">
        <v>0</v>
      </c>
      <c r="CD75" s="40">
        <v>0</v>
      </c>
      <c r="CE75" s="40">
        <v>0</v>
      </c>
      <c r="CF75" s="41"/>
      <c r="CG75" s="41"/>
      <c r="CH75" s="42"/>
    </row>
    <row r="76" spans="1:86" ht="22.5">
      <c r="A76" s="38">
        <v>70</v>
      </c>
      <c r="B76" s="65"/>
      <c r="C76" s="39" t="s">
        <v>8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40">
        <v>0</v>
      </c>
      <c r="AJ76" s="40">
        <v>0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0</v>
      </c>
      <c r="AQ76" s="40">
        <v>0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40">
        <v>0</v>
      </c>
      <c r="BH76" s="40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  <c r="BO76" s="40">
        <v>0</v>
      </c>
      <c r="BP76" s="40">
        <v>0</v>
      </c>
      <c r="BQ76" s="40">
        <v>0</v>
      </c>
      <c r="BR76" s="40">
        <v>0</v>
      </c>
      <c r="BS76" s="40">
        <v>0</v>
      </c>
      <c r="BT76" s="40">
        <v>0</v>
      </c>
      <c r="BU76" s="40">
        <v>0</v>
      </c>
      <c r="BV76" s="40">
        <v>0</v>
      </c>
      <c r="BW76" s="40">
        <v>0</v>
      </c>
      <c r="BX76" s="40">
        <v>0</v>
      </c>
      <c r="BY76" s="40">
        <v>0</v>
      </c>
      <c r="BZ76" s="40">
        <v>0</v>
      </c>
      <c r="CA76" s="40">
        <v>0</v>
      </c>
      <c r="CB76" s="40">
        <v>0</v>
      </c>
      <c r="CC76" s="40">
        <v>0</v>
      </c>
      <c r="CD76" s="40">
        <v>0</v>
      </c>
      <c r="CE76" s="40">
        <v>0</v>
      </c>
      <c r="CF76" s="41"/>
      <c r="CG76" s="41"/>
      <c r="CH76" s="42"/>
    </row>
    <row r="77" spans="1:86">
      <c r="A77" s="43">
        <v>71</v>
      </c>
      <c r="B77" s="66"/>
      <c r="C77" s="59" t="s">
        <v>7</v>
      </c>
      <c r="D77" s="44">
        <v>0</v>
      </c>
      <c r="E77" s="44">
        <v>0</v>
      </c>
      <c r="F77" s="44">
        <v>0</v>
      </c>
      <c r="G77" s="44">
        <v>0</v>
      </c>
      <c r="H77" s="44">
        <v>0</v>
      </c>
      <c r="I77" s="44">
        <v>0</v>
      </c>
      <c r="J77" s="44">
        <v>0</v>
      </c>
      <c r="K77" s="44">
        <v>0</v>
      </c>
      <c r="L77" s="44">
        <v>0</v>
      </c>
      <c r="M77" s="44">
        <v>0</v>
      </c>
      <c r="N77" s="44">
        <v>0</v>
      </c>
      <c r="O77" s="44">
        <v>0</v>
      </c>
      <c r="P77" s="44">
        <v>0</v>
      </c>
      <c r="Q77" s="44">
        <v>0</v>
      </c>
      <c r="R77" s="44">
        <v>0</v>
      </c>
      <c r="S77" s="44">
        <v>0</v>
      </c>
      <c r="T77" s="44">
        <v>0</v>
      </c>
      <c r="U77" s="44">
        <v>0</v>
      </c>
      <c r="V77" s="44">
        <v>0</v>
      </c>
      <c r="W77" s="44">
        <v>0</v>
      </c>
      <c r="X77" s="44">
        <v>0</v>
      </c>
      <c r="Y77" s="44">
        <v>0</v>
      </c>
      <c r="Z77" s="44">
        <v>0</v>
      </c>
      <c r="AA77" s="44">
        <v>0</v>
      </c>
      <c r="AB77" s="44">
        <v>0</v>
      </c>
      <c r="AC77" s="44">
        <v>0</v>
      </c>
      <c r="AD77" s="44">
        <v>0</v>
      </c>
      <c r="AE77" s="44">
        <v>0</v>
      </c>
      <c r="AF77" s="44">
        <v>0</v>
      </c>
      <c r="AG77" s="44">
        <v>0</v>
      </c>
      <c r="AH77" s="44">
        <v>0</v>
      </c>
      <c r="AI77" s="44">
        <v>0</v>
      </c>
      <c r="AJ77" s="44">
        <v>0</v>
      </c>
      <c r="AK77" s="44">
        <v>0</v>
      </c>
      <c r="AL77" s="44">
        <v>0</v>
      </c>
      <c r="AM77" s="44">
        <v>0</v>
      </c>
      <c r="AN77" s="44">
        <v>0</v>
      </c>
      <c r="AO77" s="44">
        <v>0</v>
      </c>
      <c r="AP77" s="44">
        <v>0</v>
      </c>
      <c r="AQ77" s="44">
        <v>0</v>
      </c>
      <c r="AR77" s="44">
        <v>0</v>
      </c>
      <c r="AS77" s="44">
        <v>0</v>
      </c>
      <c r="AT77" s="44">
        <v>0</v>
      </c>
      <c r="AU77" s="44">
        <v>0</v>
      </c>
      <c r="AV77" s="44">
        <v>0</v>
      </c>
      <c r="AW77" s="44">
        <v>0</v>
      </c>
      <c r="AX77" s="44">
        <v>0</v>
      </c>
      <c r="AY77" s="44">
        <v>0</v>
      </c>
      <c r="AZ77" s="44">
        <v>0</v>
      </c>
      <c r="BA77" s="44">
        <v>0</v>
      </c>
      <c r="BB77" s="44">
        <v>0</v>
      </c>
      <c r="BC77" s="44">
        <v>0</v>
      </c>
      <c r="BD77" s="44">
        <v>0</v>
      </c>
      <c r="BE77" s="44">
        <v>0</v>
      </c>
      <c r="BF77" s="44">
        <v>0</v>
      </c>
      <c r="BG77" s="44">
        <v>0</v>
      </c>
      <c r="BH77" s="44">
        <v>0</v>
      </c>
      <c r="BI77" s="44">
        <v>0</v>
      </c>
      <c r="BJ77" s="44">
        <v>0</v>
      </c>
      <c r="BK77" s="44">
        <v>0</v>
      </c>
      <c r="BL77" s="44">
        <v>0</v>
      </c>
      <c r="BM77" s="44">
        <v>0</v>
      </c>
      <c r="BN77" s="44">
        <v>0</v>
      </c>
      <c r="BO77" s="44">
        <v>0</v>
      </c>
      <c r="BP77" s="44">
        <v>0</v>
      </c>
      <c r="BQ77" s="44">
        <v>0</v>
      </c>
      <c r="BR77" s="44">
        <v>0</v>
      </c>
      <c r="BS77" s="44">
        <v>0</v>
      </c>
      <c r="BT77" s="44">
        <v>0</v>
      </c>
      <c r="BU77" s="44">
        <v>0</v>
      </c>
      <c r="BV77" s="44">
        <v>0</v>
      </c>
      <c r="BW77" s="44">
        <v>0</v>
      </c>
      <c r="BX77" s="44">
        <v>0</v>
      </c>
      <c r="BY77" s="44">
        <v>0</v>
      </c>
      <c r="BZ77" s="44">
        <v>0</v>
      </c>
      <c r="CA77" s="44">
        <v>0</v>
      </c>
      <c r="CB77" s="44">
        <v>0</v>
      </c>
      <c r="CC77" s="44">
        <v>0</v>
      </c>
      <c r="CD77" s="44">
        <v>0</v>
      </c>
      <c r="CE77" s="44">
        <v>0</v>
      </c>
      <c r="CF77" s="41"/>
      <c r="CG77" s="41"/>
      <c r="CH77" s="42"/>
    </row>
  </sheetData>
  <mergeCells count="1">
    <mergeCell ref="A2:K2"/>
  </mergeCells>
  <pageMargins left="0.78740157480314965" right="0.39370078740157483" top="0.39370078740157483" bottom="0.39370078740157483" header="0.11811023622047245" footer="0.11811023622047245"/>
  <pageSetup paperSize="9" firstPageNumber="139" orientation="landscape" useFirstPageNumber="1" r:id="rId1"/>
  <headerFooter>
    <oddFooter>&amp;R&amp;P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H77"/>
  <sheetViews>
    <sheetView workbookViewId="0">
      <pane xSplit="4" ySplit="7" topLeftCell="E8" activePane="bottomRight" state="frozen"/>
      <selection pane="topRight" activeCell="E1" sqref="E1"/>
      <selection pane="bottomLeft" activeCell="A9" sqref="A9"/>
      <selection pane="bottomRight" activeCell="B4" sqref="B4:H22"/>
    </sheetView>
  </sheetViews>
  <sheetFormatPr defaultColWidth="8" defaultRowHeight="11.25"/>
  <cols>
    <col min="1" max="1" width="3.28515625" style="24" customWidth="1"/>
    <col min="2" max="2" width="7.7109375" style="62" customWidth="1"/>
    <col min="3" max="3" width="33.85546875" style="27" customWidth="1"/>
    <col min="4" max="4" width="13.85546875" style="24" customWidth="1"/>
    <col min="5" max="5" width="13" style="24" customWidth="1"/>
    <col min="6" max="6" width="12.85546875" style="24" customWidth="1"/>
    <col min="7" max="7" width="12.5703125" style="24" customWidth="1"/>
    <col min="8" max="8" width="13.85546875" style="24" customWidth="1"/>
    <col min="9" max="9" width="13.140625" style="24" customWidth="1"/>
    <col min="10" max="11" width="14.140625" style="24" bestFit="1" customWidth="1"/>
    <col min="12" max="12" width="14.7109375" style="24" customWidth="1"/>
    <col min="13" max="13" width="14.5703125" style="24" customWidth="1"/>
    <col min="14" max="14" width="12.5703125" style="24" customWidth="1"/>
    <col min="15" max="15" width="12.42578125" style="24" customWidth="1"/>
    <col min="16" max="16" width="12.140625" style="24" customWidth="1"/>
    <col min="17" max="17" width="12.85546875" style="24" customWidth="1"/>
    <col min="18" max="18" width="16.42578125" style="24" customWidth="1"/>
    <col min="19" max="19" width="14.140625" style="24" customWidth="1"/>
    <col min="20" max="24" width="14.28515625" style="24" customWidth="1"/>
    <col min="25" max="25" width="13.7109375" style="24" customWidth="1"/>
    <col min="26" max="26" width="14.28515625" style="24" customWidth="1"/>
    <col min="27" max="27" width="14" style="24" customWidth="1"/>
    <col min="28" max="28" width="12.5703125" style="24" bestFit="1" customWidth="1"/>
    <col min="29" max="29" width="11.28515625" style="24" bestFit="1" customWidth="1"/>
    <col min="30" max="30" width="12.5703125" style="24" customWidth="1"/>
    <col min="31" max="31" width="12.5703125" style="24" bestFit="1" customWidth="1"/>
    <col min="32" max="32" width="14.5703125" style="24" bestFit="1" customWidth="1"/>
    <col min="33" max="33" width="10.85546875" style="24" bestFit="1" customWidth="1"/>
    <col min="34" max="34" width="11.7109375" style="24" customWidth="1"/>
    <col min="35" max="35" width="14" style="24" customWidth="1"/>
    <col min="36" max="36" width="13.5703125" style="24" customWidth="1"/>
    <col min="37" max="37" width="15.5703125" style="24" bestFit="1" customWidth="1"/>
    <col min="38" max="38" width="14.28515625" style="24" customWidth="1"/>
    <col min="39" max="39" width="13.5703125" style="24" customWidth="1"/>
    <col min="40" max="40" width="14.28515625" style="24" customWidth="1"/>
    <col min="41" max="41" width="13.7109375" style="24" customWidth="1"/>
    <col min="42" max="42" width="12.5703125" style="24" bestFit="1" customWidth="1"/>
    <col min="43" max="43" width="15.28515625" style="24" bestFit="1" customWidth="1"/>
    <col min="44" max="44" width="10" style="24" bestFit="1" customWidth="1"/>
    <col min="45" max="45" width="11" style="24" bestFit="1" customWidth="1"/>
    <col min="46" max="46" width="14.28515625" style="24" bestFit="1" customWidth="1"/>
    <col min="47" max="47" width="11.42578125" style="24" customWidth="1"/>
    <col min="48" max="48" width="11" style="24" bestFit="1" customWidth="1"/>
    <col min="49" max="49" width="13.5703125" style="24" customWidth="1"/>
    <col min="50" max="50" width="12.42578125" style="24" customWidth="1"/>
    <col min="51" max="51" width="11.28515625" style="24" customWidth="1"/>
    <col min="52" max="52" width="11.5703125" style="24" customWidth="1"/>
    <col min="53" max="53" width="15.140625" style="24" customWidth="1"/>
    <col min="54" max="54" width="13.42578125" style="24" customWidth="1"/>
    <col min="55" max="55" width="11.28515625" style="24" bestFit="1" customWidth="1"/>
    <col min="56" max="56" width="12.5703125" style="24" bestFit="1" customWidth="1"/>
    <col min="57" max="57" width="12.5703125" style="24" customWidth="1"/>
    <col min="58" max="58" width="17" style="24" bestFit="1" customWidth="1"/>
    <col min="59" max="64" width="13.7109375" style="24" customWidth="1"/>
    <col min="65" max="65" width="16.140625" style="24" customWidth="1"/>
    <col min="66" max="66" width="13.28515625" style="24" customWidth="1"/>
    <col min="67" max="67" width="13.5703125" style="24" customWidth="1"/>
    <col min="68" max="68" width="14.140625" style="24" customWidth="1"/>
    <col min="69" max="69" width="15" style="24" customWidth="1"/>
    <col min="70" max="70" width="11.85546875" style="24" customWidth="1"/>
    <col min="71" max="72" width="15.28515625" style="24" customWidth="1"/>
    <col min="73" max="73" width="15.140625" style="24" customWidth="1"/>
    <col min="74" max="74" width="15" style="24" customWidth="1"/>
    <col min="75" max="75" width="15.85546875" style="24" customWidth="1"/>
    <col min="76" max="76" width="13.85546875" style="25" customWidth="1"/>
    <col min="77" max="77" width="14.5703125" style="24" customWidth="1"/>
    <col min="78" max="78" width="14.42578125" style="25" customWidth="1"/>
    <col min="79" max="79" width="13.5703125" style="24" customWidth="1"/>
    <col min="80" max="80" width="11.85546875" style="24" customWidth="1"/>
    <col min="81" max="82" width="14.28515625" style="24" customWidth="1"/>
    <col min="83" max="83" width="13.140625" style="24" customWidth="1"/>
    <col min="84" max="84" width="8" style="24"/>
    <col min="85" max="85" width="9.5703125" style="24" bestFit="1" customWidth="1"/>
    <col min="86" max="16384" width="8" style="24"/>
  </cols>
  <sheetData>
    <row r="2" spans="1:86" ht="12.75">
      <c r="A2" s="122" t="s">
        <v>131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</row>
    <row r="3" spans="1:86">
      <c r="A3" s="26" t="s">
        <v>112</v>
      </c>
      <c r="D3" s="28"/>
      <c r="E3" s="28"/>
      <c r="F3" s="28"/>
      <c r="G3" s="28"/>
      <c r="H3" s="28"/>
      <c r="I3" s="28"/>
      <c r="J3" s="28"/>
      <c r="L3" s="28"/>
      <c r="M3" s="28"/>
      <c r="N3" s="28"/>
      <c r="O3" s="28"/>
      <c r="P3" s="28"/>
      <c r="Q3" s="28"/>
      <c r="R3" s="28"/>
      <c r="S3" s="29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9"/>
      <c r="BN3" s="28"/>
      <c r="BO3" s="28"/>
      <c r="BP3" s="28"/>
      <c r="BQ3" s="28"/>
      <c r="BR3" s="28"/>
      <c r="BS3" s="28"/>
      <c r="BT3" s="28"/>
      <c r="BU3" s="29"/>
      <c r="BV3" s="28"/>
      <c r="BW3" s="28"/>
      <c r="BX3" s="28"/>
      <c r="BY3" s="29"/>
      <c r="BZ3" s="28"/>
      <c r="CA3" s="28"/>
      <c r="CB3" s="28"/>
      <c r="CC3" s="28"/>
      <c r="CD3" s="28"/>
      <c r="CE3" s="28"/>
      <c r="CG3" s="25"/>
    </row>
    <row r="4" spans="1:86" ht="93" customHeight="1">
      <c r="A4" s="30"/>
      <c r="B4" s="63"/>
      <c r="C4" s="31"/>
      <c r="D4" s="32" t="s">
        <v>189</v>
      </c>
      <c r="E4" s="33" t="s">
        <v>134</v>
      </c>
      <c r="F4" s="33" t="s">
        <v>89</v>
      </c>
      <c r="G4" s="33" t="s">
        <v>87</v>
      </c>
      <c r="H4" s="33" t="s">
        <v>187</v>
      </c>
      <c r="I4" s="33" t="s">
        <v>185</v>
      </c>
      <c r="J4" s="33" t="s">
        <v>183</v>
      </c>
      <c r="K4" s="33" t="s">
        <v>181</v>
      </c>
      <c r="L4" s="33" t="s">
        <v>180</v>
      </c>
      <c r="M4" s="33" t="s">
        <v>85</v>
      </c>
      <c r="N4" s="33" t="s">
        <v>178</v>
      </c>
      <c r="O4" s="33" t="s">
        <v>83</v>
      </c>
      <c r="P4" s="33" t="s">
        <v>177</v>
      </c>
      <c r="Q4" s="33" t="s">
        <v>82</v>
      </c>
      <c r="R4" s="33" t="s">
        <v>80</v>
      </c>
      <c r="S4" s="33" t="s">
        <v>78</v>
      </c>
      <c r="T4" s="33" t="s">
        <v>76</v>
      </c>
      <c r="U4" s="33" t="s">
        <v>74</v>
      </c>
      <c r="V4" s="33" t="s">
        <v>72</v>
      </c>
      <c r="W4" s="33" t="s">
        <v>70</v>
      </c>
      <c r="X4" s="33" t="s">
        <v>176</v>
      </c>
      <c r="Y4" s="33" t="s">
        <v>68</v>
      </c>
      <c r="Z4" s="33" t="s">
        <v>175</v>
      </c>
      <c r="AA4" s="33" t="s">
        <v>67</v>
      </c>
      <c r="AB4" s="33" t="s">
        <v>173</v>
      </c>
      <c r="AC4" s="33" t="s">
        <v>171</v>
      </c>
      <c r="AD4" s="33" t="s">
        <v>169</v>
      </c>
      <c r="AE4" s="33" t="s">
        <v>167</v>
      </c>
      <c r="AF4" s="33" t="s">
        <v>165</v>
      </c>
      <c r="AG4" s="33" t="s">
        <v>65</v>
      </c>
      <c r="AH4" s="33" t="s">
        <v>135</v>
      </c>
      <c r="AI4" s="33" t="s">
        <v>164</v>
      </c>
      <c r="AJ4" s="33" t="s">
        <v>163</v>
      </c>
      <c r="AK4" s="33" t="s">
        <v>62</v>
      </c>
      <c r="AL4" s="33" t="s">
        <v>60</v>
      </c>
      <c r="AM4" s="33" t="s">
        <v>58</v>
      </c>
      <c r="AN4" s="33" t="s">
        <v>56</v>
      </c>
      <c r="AO4" s="33" t="s">
        <v>136</v>
      </c>
      <c r="AP4" s="33" t="s">
        <v>53</v>
      </c>
      <c r="AQ4" s="33" t="s">
        <v>51</v>
      </c>
      <c r="AR4" s="33" t="s">
        <v>49</v>
      </c>
      <c r="AS4" s="33" t="s">
        <v>162</v>
      </c>
      <c r="AT4" s="33" t="s">
        <v>47</v>
      </c>
      <c r="AU4" s="33" t="s">
        <v>137</v>
      </c>
      <c r="AV4" s="33" t="s">
        <v>44</v>
      </c>
      <c r="AW4" s="33" t="s">
        <v>42</v>
      </c>
      <c r="AX4" s="33" t="s">
        <v>40</v>
      </c>
      <c r="AY4" s="33" t="s">
        <v>38</v>
      </c>
      <c r="AZ4" s="33" t="s">
        <v>36</v>
      </c>
      <c r="BA4" s="33" t="s">
        <v>34</v>
      </c>
      <c r="BB4" s="33" t="s">
        <v>32</v>
      </c>
      <c r="BC4" s="33" t="s">
        <v>30</v>
      </c>
      <c r="BD4" s="33" t="s">
        <v>28</v>
      </c>
      <c r="BE4" s="33" t="s">
        <v>161</v>
      </c>
      <c r="BF4" s="33" t="s">
        <v>26</v>
      </c>
      <c r="BG4" s="33" t="s">
        <v>24</v>
      </c>
      <c r="BH4" s="33" t="s">
        <v>138</v>
      </c>
      <c r="BI4" s="33" t="s">
        <v>139</v>
      </c>
      <c r="BJ4" s="33" t="s">
        <v>20</v>
      </c>
      <c r="BK4" s="33" t="s">
        <v>159</v>
      </c>
      <c r="BL4" s="33" t="s">
        <v>157</v>
      </c>
      <c r="BM4" s="33" t="s">
        <v>18</v>
      </c>
      <c r="BN4" s="33" t="s">
        <v>16</v>
      </c>
      <c r="BO4" s="33" t="s">
        <v>14</v>
      </c>
      <c r="BP4" s="33" t="s">
        <v>12</v>
      </c>
      <c r="BQ4" s="33" t="s">
        <v>156</v>
      </c>
      <c r="BR4" s="33" t="s">
        <v>155</v>
      </c>
      <c r="BS4" s="33" t="s">
        <v>10</v>
      </c>
      <c r="BT4" s="33" t="s">
        <v>123</v>
      </c>
      <c r="BU4" s="33" t="s">
        <v>122</v>
      </c>
      <c r="BV4" s="33" t="s">
        <v>193</v>
      </c>
      <c r="BW4" s="33" t="s">
        <v>121</v>
      </c>
      <c r="BX4" s="34" t="s">
        <v>120</v>
      </c>
      <c r="BY4" s="33" t="s">
        <v>119</v>
      </c>
      <c r="BZ4" s="35" t="s">
        <v>118</v>
      </c>
      <c r="CA4" s="35" t="s">
        <v>117</v>
      </c>
      <c r="CB4" s="35" t="s">
        <v>116</v>
      </c>
      <c r="CC4" s="35" t="s">
        <v>115</v>
      </c>
      <c r="CD4" s="35" t="s">
        <v>114</v>
      </c>
      <c r="CE4" s="35" t="s">
        <v>113</v>
      </c>
    </row>
    <row r="5" spans="1:86" s="25" customFormat="1" ht="16.5" customHeight="1">
      <c r="A5" s="36"/>
      <c r="B5" s="64" t="s">
        <v>148</v>
      </c>
      <c r="C5" s="37"/>
      <c r="D5" s="32" t="s">
        <v>103</v>
      </c>
      <c r="E5" s="33" t="s">
        <v>91</v>
      </c>
      <c r="F5" s="33" t="s">
        <v>90</v>
      </c>
      <c r="G5" s="33" t="s">
        <v>88</v>
      </c>
      <c r="H5" s="33" t="s">
        <v>188</v>
      </c>
      <c r="I5" s="33" t="s">
        <v>186</v>
      </c>
      <c r="J5" s="33" t="s">
        <v>184</v>
      </c>
      <c r="K5" s="33" t="s">
        <v>182</v>
      </c>
      <c r="L5" s="33" t="s">
        <v>102</v>
      </c>
      <c r="M5" s="33" t="s">
        <v>86</v>
      </c>
      <c r="N5" s="33" t="s">
        <v>179</v>
      </c>
      <c r="O5" s="33" t="s">
        <v>84</v>
      </c>
      <c r="P5" s="33" t="s">
        <v>101</v>
      </c>
      <c r="Q5" s="33" t="s">
        <v>100</v>
      </c>
      <c r="R5" s="33" t="s">
        <v>81</v>
      </c>
      <c r="S5" s="33" t="s">
        <v>79</v>
      </c>
      <c r="T5" s="33" t="s">
        <v>77</v>
      </c>
      <c r="U5" s="33" t="s">
        <v>75</v>
      </c>
      <c r="V5" s="33" t="s">
        <v>73</v>
      </c>
      <c r="W5" s="33" t="s">
        <v>71</v>
      </c>
      <c r="X5" s="33" t="s">
        <v>99</v>
      </c>
      <c r="Y5" s="33" t="s">
        <v>69</v>
      </c>
      <c r="Z5" s="33" t="s">
        <v>98</v>
      </c>
      <c r="AA5" s="33" t="s">
        <v>97</v>
      </c>
      <c r="AB5" s="33">
        <v>241</v>
      </c>
      <c r="AC5" s="33">
        <v>242</v>
      </c>
      <c r="AD5" s="33">
        <v>243</v>
      </c>
      <c r="AE5" s="33">
        <v>244</v>
      </c>
      <c r="AF5" s="33">
        <v>245</v>
      </c>
      <c r="AG5" s="33" t="s">
        <v>66</v>
      </c>
      <c r="AH5" s="33" t="s">
        <v>64</v>
      </c>
      <c r="AI5" s="33" t="s">
        <v>96</v>
      </c>
      <c r="AJ5" s="33" t="s">
        <v>95</v>
      </c>
      <c r="AK5" s="33" t="s">
        <v>63</v>
      </c>
      <c r="AL5" s="33" t="s">
        <v>61</v>
      </c>
      <c r="AM5" s="33" t="s">
        <v>59</v>
      </c>
      <c r="AN5" s="33" t="s">
        <v>57</v>
      </c>
      <c r="AO5" s="33" t="s">
        <v>55</v>
      </c>
      <c r="AP5" s="33">
        <v>351</v>
      </c>
      <c r="AQ5" s="33">
        <v>352</v>
      </c>
      <c r="AR5" s="33">
        <v>353</v>
      </c>
      <c r="AS5" s="33" t="s">
        <v>94</v>
      </c>
      <c r="AT5" s="33" t="s">
        <v>48</v>
      </c>
      <c r="AU5" s="33" t="s">
        <v>46</v>
      </c>
      <c r="AV5" s="33" t="s">
        <v>45</v>
      </c>
      <c r="AW5" s="33" t="s">
        <v>43</v>
      </c>
      <c r="AX5" s="33" t="s">
        <v>41</v>
      </c>
      <c r="AY5" s="33" t="s">
        <v>39</v>
      </c>
      <c r="AZ5" s="33" t="s">
        <v>37</v>
      </c>
      <c r="BA5" s="33" t="s">
        <v>35</v>
      </c>
      <c r="BB5" s="33" t="s">
        <v>33</v>
      </c>
      <c r="BC5" s="33" t="s">
        <v>31</v>
      </c>
      <c r="BD5" s="33" t="s">
        <v>29</v>
      </c>
      <c r="BE5" s="33" t="s">
        <v>198</v>
      </c>
      <c r="BF5" s="33" t="s">
        <v>27</v>
      </c>
      <c r="BG5" s="33" t="s">
        <v>25</v>
      </c>
      <c r="BH5" s="33" t="s">
        <v>23</v>
      </c>
      <c r="BI5" s="33" t="s">
        <v>22</v>
      </c>
      <c r="BJ5" s="33" t="s">
        <v>21</v>
      </c>
      <c r="BK5" s="33" t="s">
        <v>160</v>
      </c>
      <c r="BL5" s="33" t="s">
        <v>158</v>
      </c>
      <c r="BM5" s="33" t="s">
        <v>19</v>
      </c>
      <c r="BN5" s="33" t="s">
        <v>17</v>
      </c>
      <c r="BO5" s="33" t="s">
        <v>15</v>
      </c>
      <c r="BP5" s="33" t="s">
        <v>13</v>
      </c>
      <c r="BQ5" s="33" t="s">
        <v>93</v>
      </c>
      <c r="BR5" s="33" t="s">
        <v>92</v>
      </c>
      <c r="BS5" s="33" t="s">
        <v>11</v>
      </c>
      <c r="BT5" s="33"/>
      <c r="BU5" s="33"/>
      <c r="BV5" s="33"/>
      <c r="BW5" s="33"/>
      <c r="BX5" s="34"/>
      <c r="BY5" s="33"/>
      <c r="BZ5" s="35"/>
      <c r="CA5" s="35"/>
      <c r="CB5" s="35"/>
      <c r="CC5" s="35"/>
      <c r="CD5" s="35"/>
      <c r="CE5" s="35"/>
    </row>
    <row r="6" spans="1:86" ht="11.25" customHeight="1">
      <c r="A6" s="30" t="s">
        <v>147</v>
      </c>
      <c r="B6" s="63"/>
      <c r="C6" s="30"/>
      <c r="D6" s="35">
        <v>1</v>
      </c>
      <c r="E6" s="35">
        <v>2</v>
      </c>
      <c r="F6" s="35">
        <v>3</v>
      </c>
      <c r="G6" s="35">
        <v>4</v>
      </c>
      <c r="H6" s="35">
        <v>5</v>
      </c>
      <c r="I6" s="35">
        <v>6</v>
      </c>
      <c r="J6" s="35">
        <v>7</v>
      </c>
      <c r="K6" s="35">
        <v>8</v>
      </c>
      <c r="L6" s="35">
        <v>9</v>
      </c>
      <c r="M6" s="35">
        <v>10</v>
      </c>
      <c r="N6" s="35">
        <v>11</v>
      </c>
      <c r="O6" s="35">
        <v>12</v>
      </c>
      <c r="P6" s="35">
        <v>13</v>
      </c>
      <c r="Q6" s="35">
        <v>14</v>
      </c>
      <c r="R6" s="35">
        <v>15</v>
      </c>
      <c r="S6" s="35">
        <v>16</v>
      </c>
      <c r="T6" s="35">
        <v>17</v>
      </c>
      <c r="U6" s="35">
        <v>18</v>
      </c>
      <c r="V6" s="35">
        <v>19</v>
      </c>
      <c r="W6" s="35">
        <v>20</v>
      </c>
      <c r="X6" s="35">
        <v>21</v>
      </c>
      <c r="Y6" s="35">
        <v>22</v>
      </c>
      <c r="Z6" s="35">
        <v>23</v>
      </c>
      <c r="AA6" s="35">
        <v>24</v>
      </c>
      <c r="AB6" s="35">
        <v>25</v>
      </c>
      <c r="AC6" s="35">
        <v>26</v>
      </c>
      <c r="AD6" s="35">
        <v>27</v>
      </c>
      <c r="AE6" s="35">
        <v>28</v>
      </c>
      <c r="AF6" s="35">
        <v>29</v>
      </c>
      <c r="AG6" s="35">
        <v>30</v>
      </c>
      <c r="AH6" s="35">
        <v>31</v>
      </c>
      <c r="AI6" s="35">
        <v>32</v>
      </c>
      <c r="AJ6" s="35">
        <v>33</v>
      </c>
      <c r="AK6" s="35">
        <v>34</v>
      </c>
      <c r="AL6" s="35">
        <v>35</v>
      </c>
      <c r="AM6" s="35">
        <v>36</v>
      </c>
      <c r="AN6" s="35">
        <v>37</v>
      </c>
      <c r="AO6" s="35">
        <v>38</v>
      </c>
      <c r="AP6" s="35">
        <v>39</v>
      </c>
      <c r="AQ6" s="35">
        <v>40</v>
      </c>
      <c r="AR6" s="35">
        <v>41</v>
      </c>
      <c r="AS6" s="35">
        <v>42</v>
      </c>
      <c r="AT6" s="35">
        <v>43</v>
      </c>
      <c r="AU6" s="35">
        <v>44</v>
      </c>
      <c r="AV6" s="35">
        <v>45</v>
      </c>
      <c r="AW6" s="35">
        <v>46</v>
      </c>
      <c r="AX6" s="35">
        <v>47</v>
      </c>
      <c r="AY6" s="35">
        <v>48</v>
      </c>
      <c r="AZ6" s="35">
        <v>49</v>
      </c>
      <c r="BA6" s="35">
        <v>50</v>
      </c>
      <c r="BB6" s="35">
        <v>51</v>
      </c>
      <c r="BC6" s="35">
        <v>52</v>
      </c>
      <c r="BD6" s="35">
        <v>53</v>
      </c>
      <c r="BE6" s="35">
        <v>54</v>
      </c>
      <c r="BF6" s="35">
        <v>55</v>
      </c>
      <c r="BG6" s="35">
        <v>56</v>
      </c>
      <c r="BH6" s="35">
        <v>57</v>
      </c>
      <c r="BI6" s="35">
        <v>58</v>
      </c>
      <c r="BJ6" s="35">
        <v>59</v>
      </c>
      <c r="BK6" s="35">
        <v>60</v>
      </c>
      <c r="BL6" s="35">
        <v>61</v>
      </c>
      <c r="BM6" s="35">
        <v>62</v>
      </c>
      <c r="BN6" s="35">
        <v>63</v>
      </c>
      <c r="BO6" s="35">
        <v>64</v>
      </c>
      <c r="BP6" s="35">
        <v>65</v>
      </c>
      <c r="BQ6" s="35">
        <v>66</v>
      </c>
      <c r="BR6" s="35">
        <v>67</v>
      </c>
      <c r="BS6" s="35">
        <v>68</v>
      </c>
      <c r="BT6" s="35">
        <v>69</v>
      </c>
      <c r="BU6" s="35">
        <v>70</v>
      </c>
      <c r="BV6" s="35">
        <v>71</v>
      </c>
      <c r="BW6" s="35">
        <v>72</v>
      </c>
      <c r="BX6" s="35">
        <v>73</v>
      </c>
      <c r="BY6" s="35">
        <v>74</v>
      </c>
      <c r="BZ6" s="35">
        <v>75</v>
      </c>
      <c r="CA6" s="35">
        <v>76</v>
      </c>
      <c r="CB6" s="35">
        <v>77</v>
      </c>
      <c r="CC6" s="35">
        <v>78</v>
      </c>
      <c r="CD6" s="35">
        <v>79</v>
      </c>
      <c r="CE6" s="35">
        <v>80</v>
      </c>
    </row>
    <row r="7" spans="1:86" ht="11.25" customHeight="1">
      <c r="A7" s="38">
        <v>1</v>
      </c>
      <c r="B7" s="65" t="s">
        <v>103</v>
      </c>
      <c r="C7" s="39" t="s">
        <v>189</v>
      </c>
      <c r="D7" s="40">
        <v>28969367</v>
      </c>
      <c r="E7" s="40">
        <v>4359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34501514</v>
      </c>
      <c r="O7" s="40">
        <v>635979</v>
      </c>
      <c r="P7" s="40">
        <v>135958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132936</v>
      </c>
      <c r="Y7" s="40">
        <v>15272</v>
      </c>
      <c r="Z7" s="40">
        <v>61571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0</v>
      </c>
      <c r="AP7" s="40">
        <v>0</v>
      </c>
      <c r="AQ7" s="40">
        <v>0</v>
      </c>
      <c r="AR7" s="40">
        <v>0</v>
      </c>
      <c r="AS7" s="40">
        <v>2663</v>
      </c>
      <c r="AT7" s="40">
        <v>0</v>
      </c>
      <c r="AU7" s="40">
        <v>0</v>
      </c>
      <c r="AV7" s="40">
        <v>145653</v>
      </c>
      <c r="AW7" s="40">
        <v>0</v>
      </c>
      <c r="AX7" s="40">
        <v>0</v>
      </c>
      <c r="AY7" s="40">
        <v>0</v>
      </c>
      <c r="AZ7" s="40">
        <v>0</v>
      </c>
      <c r="BA7" s="40">
        <v>0</v>
      </c>
      <c r="BB7" s="40">
        <v>0</v>
      </c>
      <c r="BC7" s="40">
        <v>148090</v>
      </c>
      <c r="BD7" s="40">
        <v>9978015</v>
      </c>
      <c r="BE7" s="40">
        <v>0</v>
      </c>
      <c r="BF7" s="40">
        <v>0</v>
      </c>
      <c r="BG7" s="40">
        <v>0</v>
      </c>
      <c r="BH7" s="40">
        <v>0</v>
      </c>
      <c r="BI7" s="40">
        <v>0</v>
      </c>
      <c r="BJ7" s="40">
        <v>0</v>
      </c>
      <c r="BK7" s="40">
        <v>186319</v>
      </c>
      <c r="BL7" s="40">
        <v>236145</v>
      </c>
      <c r="BM7" s="40">
        <v>280032</v>
      </c>
      <c r="BN7" s="40">
        <v>1471706</v>
      </c>
      <c r="BO7" s="40">
        <v>831392</v>
      </c>
      <c r="BP7" s="40">
        <v>21206</v>
      </c>
      <c r="BQ7" s="40">
        <v>34082</v>
      </c>
      <c r="BR7" s="40">
        <v>0</v>
      </c>
      <c r="BS7" s="40">
        <v>0</v>
      </c>
      <c r="BT7" s="40">
        <v>77792259</v>
      </c>
      <c r="BU7" s="40">
        <v>63996471</v>
      </c>
      <c r="BV7" s="40">
        <v>0</v>
      </c>
      <c r="BW7" s="40">
        <v>0</v>
      </c>
      <c r="BX7" s="40">
        <v>63996471</v>
      </c>
      <c r="BY7" s="40">
        <v>9522825</v>
      </c>
      <c r="BZ7" s="40">
        <v>0</v>
      </c>
      <c r="CA7" s="40">
        <v>0</v>
      </c>
      <c r="CB7" s="40">
        <v>9522825</v>
      </c>
      <c r="CC7" s="40">
        <v>0</v>
      </c>
      <c r="CD7" s="40">
        <v>73519296</v>
      </c>
      <c r="CE7" s="40">
        <v>151311555</v>
      </c>
      <c r="CF7" s="41"/>
      <c r="CG7" s="41"/>
      <c r="CH7" s="42"/>
    </row>
    <row r="8" spans="1:86" ht="22.5">
      <c r="A8" s="38">
        <v>2</v>
      </c>
      <c r="B8" s="65" t="s">
        <v>91</v>
      </c>
      <c r="C8" s="39" t="s">
        <v>134</v>
      </c>
      <c r="D8" s="40">
        <v>1149</v>
      </c>
      <c r="E8" s="40">
        <v>0</v>
      </c>
      <c r="F8" s="40">
        <v>0</v>
      </c>
      <c r="G8" s="40">
        <v>0</v>
      </c>
      <c r="H8" s="40">
        <v>230</v>
      </c>
      <c r="I8" s="40">
        <v>11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94515</v>
      </c>
      <c r="T8" s="40">
        <v>0</v>
      </c>
      <c r="U8" s="40">
        <v>0</v>
      </c>
      <c r="V8" s="40">
        <v>0</v>
      </c>
      <c r="W8" s="40">
        <v>0</v>
      </c>
      <c r="X8" s="40">
        <v>4298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0</v>
      </c>
      <c r="AP8" s="40">
        <v>0</v>
      </c>
      <c r="AQ8" s="40">
        <v>0</v>
      </c>
      <c r="AR8" s="40">
        <v>0</v>
      </c>
      <c r="AS8" s="40">
        <v>0</v>
      </c>
      <c r="AT8" s="40">
        <v>1988</v>
      </c>
      <c r="AU8" s="40">
        <v>0</v>
      </c>
      <c r="AV8" s="40">
        <v>0</v>
      </c>
      <c r="AW8" s="40">
        <v>0</v>
      </c>
      <c r="AX8" s="40">
        <v>0</v>
      </c>
      <c r="AY8" s="40">
        <v>0</v>
      </c>
      <c r="AZ8" s="40">
        <v>0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40">
        <v>0</v>
      </c>
      <c r="BG8" s="40">
        <v>0</v>
      </c>
      <c r="BH8" s="40">
        <v>0</v>
      </c>
      <c r="BI8" s="40">
        <v>0</v>
      </c>
      <c r="BJ8" s="40">
        <v>0</v>
      </c>
      <c r="BK8" s="40">
        <v>61</v>
      </c>
      <c r="BL8" s="40">
        <v>4120</v>
      </c>
      <c r="BM8" s="40">
        <v>82961</v>
      </c>
      <c r="BN8" s="40">
        <v>1811</v>
      </c>
      <c r="BO8" s="40">
        <v>0</v>
      </c>
      <c r="BP8" s="40">
        <v>2</v>
      </c>
      <c r="BQ8" s="40">
        <v>0</v>
      </c>
      <c r="BR8" s="40">
        <v>0</v>
      </c>
      <c r="BS8" s="40">
        <v>0</v>
      </c>
      <c r="BT8" s="40">
        <v>191146</v>
      </c>
      <c r="BU8" s="40">
        <v>35589</v>
      </c>
      <c r="BV8" s="40">
        <v>0</v>
      </c>
      <c r="BW8" s="40">
        <v>0</v>
      </c>
      <c r="BX8" s="40">
        <v>35589</v>
      </c>
      <c r="BY8" s="40">
        <v>0</v>
      </c>
      <c r="BZ8" s="40">
        <v>0</v>
      </c>
      <c r="CA8" s="40">
        <v>0</v>
      </c>
      <c r="CB8" s="40">
        <v>0</v>
      </c>
      <c r="CC8" s="40">
        <v>0</v>
      </c>
      <c r="CD8" s="40">
        <v>35589</v>
      </c>
      <c r="CE8" s="40">
        <v>226735</v>
      </c>
      <c r="CF8" s="41"/>
      <c r="CG8" s="41"/>
      <c r="CH8" s="42"/>
    </row>
    <row r="9" spans="1:86" ht="33.75">
      <c r="A9" s="38">
        <v>3</v>
      </c>
      <c r="B9" s="65" t="s">
        <v>90</v>
      </c>
      <c r="C9" s="39" t="s">
        <v>89</v>
      </c>
      <c r="D9" s="40">
        <v>0</v>
      </c>
      <c r="E9" s="40">
        <v>0</v>
      </c>
      <c r="F9" s="40">
        <v>2825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10</v>
      </c>
      <c r="O9" s="40">
        <v>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0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0</v>
      </c>
      <c r="AV9" s="40">
        <v>0</v>
      </c>
      <c r="AW9" s="40">
        <v>0</v>
      </c>
      <c r="AX9" s="40">
        <v>0</v>
      </c>
      <c r="AY9" s="40">
        <v>0</v>
      </c>
      <c r="AZ9" s="40">
        <v>0</v>
      </c>
      <c r="BA9" s="40">
        <v>0</v>
      </c>
      <c r="BB9" s="40">
        <v>0</v>
      </c>
      <c r="BC9" s="40">
        <v>2180</v>
      </c>
      <c r="BD9" s="40">
        <v>567090</v>
      </c>
      <c r="BE9" s="40">
        <v>0</v>
      </c>
      <c r="BF9" s="40">
        <v>0</v>
      </c>
      <c r="BG9" s="40">
        <v>0</v>
      </c>
      <c r="BH9" s="40">
        <v>0</v>
      </c>
      <c r="BI9" s="40">
        <v>0</v>
      </c>
      <c r="BJ9" s="40">
        <v>0</v>
      </c>
      <c r="BK9" s="40">
        <v>0</v>
      </c>
      <c r="BL9" s="40">
        <v>0</v>
      </c>
      <c r="BM9" s="40">
        <v>130979</v>
      </c>
      <c r="BN9" s="40">
        <v>174299</v>
      </c>
      <c r="BO9" s="40">
        <v>75308</v>
      </c>
      <c r="BP9" s="40">
        <v>4283</v>
      </c>
      <c r="BQ9" s="40">
        <v>0</v>
      </c>
      <c r="BR9" s="40">
        <v>0</v>
      </c>
      <c r="BS9" s="40">
        <v>0</v>
      </c>
      <c r="BT9" s="40">
        <v>956974</v>
      </c>
      <c r="BU9" s="40">
        <v>221394</v>
      </c>
      <c r="BV9" s="40">
        <v>0</v>
      </c>
      <c r="BW9" s="40">
        <v>0</v>
      </c>
      <c r="BX9" s="40">
        <v>221394</v>
      </c>
      <c r="BY9" s="40">
        <v>0</v>
      </c>
      <c r="BZ9" s="40">
        <v>0</v>
      </c>
      <c r="CA9" s="40">
        <v>0</v>
      </c>
      <c r="CB9" s="40">
        <v>0</v>
      </c>
      <c r="CC9" s="40">
        <v>0</v>
      </c>
      <c r="CD9" s="40">
        <v>221394</v>
      </c>
      <c r="CE9" s="40">
        <v>1178368</v>
      </c>
      <c r="CF9" s="41"/>
      <c r="CG9" s="41"/>
      <c r="CH9" s="42"/>
    </row>
    <row r="10" spans="1:86">
      <c r="A10" s="38">
        <v>4</v>
      </c>
      <c r="B10" s="65" t="s">
        <v>88</v>
      </c>
      <c r="C10" s="39" t="s">
        <v>87</v>
      </c>
      <c r="D10" s="40">
        <v>31359</v>
      </c>
      <c r="E10" s="40">
        <v>0</v>
      </c>
      <c r="F10" s="40">
        <v>0</v>
      </c>
      <c r="G10" s="40">
        <v>353851</v>
      </c>
      <c r="H10" s="40">
        <v>133</v>
      </c>
      <c r="I10" s="40">
        <v>6</v>
      </c>
      <c r="J10" s="40">
        <v>43574</v>
      </c>
      <c r="K10" s="40">
        <v>30251</v>
      </c>
      <c r="L10" s="40">
        <v>71</v>
      </c>
      <c r="M10" s="40">
        <v>221</v>
      </c>
      <c r="N10" s="40">
        <v>1347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40</v>
      </c>
      <c r="U10" s="40">
        <v>0</v>
      </c>
      <c r="V10" s="40">
        <v>1551302</v>
      </c>
      <c r="W10" s="40">
        <v>0</v>
      </c>
      <c r="X10" s="40">
        <v>113</v>
      </c>
      <c r="Y10" s="40">
        <v>0</v>
      </c>
      <c r="Z10" s="40">
        <v>0</v>
      </c>
      <c r="AA10" s="40">
        <v>306200</v>
      </c>
      <c r="AB10" s="40">
        <v>125542</v>
      </c>
      <c r="AC10" s="40">
        <v>0</v>
      </c>
      <c r="AD10" s="40">
        <v>0</v>
      </c>
      <c r="AE10" s="40">
        <v>12756</v>
      </c>
      <c r="AF10" s="40">
        <v>0</v>
      </c>
      <c r="AG10" s="40">
        <v>28</v>
      </c>
      <c r="AH10" s="40">
        <v>0</v>
      </c>
      <c r="AI10" s="40">
        <v>0</v>
      </c>
      <c r="AJ10" s="40">
        <v>388</v>
      </c>
      <c r="AK10" s="40">
        <v>0</v>
      </c>
      <c r="AL10" s="40">
        <v>163</v>
      </c>
      <c r="AM10" s="40">
        <v>0</v>
      </c>
      <c r="AN10" s="40">
        <v>7</v>
      </c>
      <c r="AO10" s="40">
        <v>505</v>
      </c>
      <c r="AP10" s="40">
        <v>4318289</v>
      </c>
      <c r="AQ10" s="40">
        <v>0</v>
      </c>
      <c r="AR10" s="40">
        <v>689852</v>
      </c>
      <c r="AS10" s="40">
        <v>89629</v>
      </c>
      <c r="AT10" s="40">
        <v>3324</v>
      </c>
      <c r="AU10" s="40">
        <v>0</v>
      </c>
      <c r="AV10" s="40">
        <v>1085</v>
      </c>
      <c r="AW10" s="40">
        <v>547</v>
      </c>
      <c r="AX10" s="40">
        <v>2368732</v>
      </c>
      <c r="AY10" s="40">
        <v>0</v>
      </c>
      <c r="AZ10" s="40">
        <v>0</v>
      </c>
      <c r="BA10" s="40">
        <v>3199</v>
      </c>
      <c r="BB10" s="40">
        <v>0</v>
      </c>
      <c r="BC10" s="40">
        <v>0</v>
      </c>
      <c r="BD10" s="40">
        <v>0</v>
      </c>
      <c r="BE10" s="40">
        <v>0</v>
      </c>
      <c r="BF10" s="40">
        <v>0</v>
      </c>
      <c r="BG10" s="40">
        <v>0</v>
      </c>
      <c r="BH10" s="40">
        <v>0</v>
      </c>
      <c r="BI10" s="40">
        <v>0</v>
      </c>
      <c r="BJ10" s="40">
        <v>1166</v>
      </c>
      <c r="BK10" s="40">
        <v>12566</v>
      </c>
      <c r="BL10" s="40">
        <v>3093</v>
      </c>
      <c r="BM10" s="40">
        <v>652694</v>
      </c>
      <c r="BN10" s="40">
        <v>2138139</v>
      </c>
      <c r="BO10" s="40">
        <v>1579561</v>
      </c>
      <c r="BP10" s="40">
        <v>10379</v>
      </c>
      <c r="BQ10" s="40">
        <v>5742</v>
      </c>
      <c r="BR10" s="40">
        <v>0</v>
      </c>
      <c r="BS10" s="40">
        <v>0</v>
      </c>
      <c r="BT10" s="40">
        <v>14335854</v>
      </c>
      <c r="BU10" s="40">
        <v>4809689</v>
      </c>
      <c r="BV10" s="40">
        <v>0</v>
      </c>
      <c r="BW10" s="40">
        <v>0</v>
      </c>
      <c r="BX10" s="40">
        <v>4809689</v>
      </c>
      <c r="BY10" s="40">
        <v>0</v>
      </c>
      <c r="BZ10" s="40">
        <v>0</v>
      </c>
      <c r="CA10" s="40">
        <v>0</v>
      </c>
      <c r="CB10" s="40">
        <v>0</v>
      </c>
      <c r="CC10" s="40">
        <v>0</v>
      </c>
      <c r="CD10" s="40">
        <v>4809689</v>
      </c>
      <c r="CE10" s="40">
        <v>19145543</v>
      </c>
      <c r="CF10" s="41"/>
      <c r="CG10" s="41"/>
      <c r="CH10" s="42"/>
    </row>
    <row r="11" spans="1:86">
      <c r="A11" s="38">
        <v>5</v>
      </c>
      <c r="B11" s="65" t="s">
        <v>188</v>
      </c>
      <c r="C11" s="39" t="s">
        <v>187</v>
      </c>
      <c r="D11" s="40">
        <v>0</v>
      </c>
      <c r="E11" s="40">
        <v>0</v>
      </c>
      <c r="F11" s="40">
        <v>0</v>
      </c>
      <c r="G11" s="40">
        <v>0</v>
      </c>
      <c r="H11" s="40">
        <v>9478360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76644754</v>
      </c>
      <c r="X11" s="40">
        <v>5240</v>
      </c>
      <c r="Y11" s="40">
        <v>0</v>
      </c>
      <c r="Z11" s="40">
        <v>6533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40">
        <v>0</v>
      </c>
      <c r="AN11" s="40">
        <v>0</v>
      </c>
      <c r="AO11" s="40">
        <v>0</v>
      </c>
      <c r="AP11" s="40">
        <v>0</v>
      </c>
      <c r="AQ11" s="40">
        <v>0</v>
      </c>
      <c r="AR11" s="40">
        <v>0</v>
      </c>
      <c r="AS11" s="40">
        <v>0</v>
      </c>
      <c r="AT11" s="40">
        <v>0</v>
      </c>
      <c r="AU11" s="40">
        <v>0</v>
      </c>
      <c r="AV11" s="40">
        <v>0</v>
      </c>
      <c r="AW11" s="40">
        <v>0</v>
      </c>
      <c r="AX11" s="40">
        <v>0</v>
      </c>
      <c r="AY11" s="40">
        <v>0</v>
      </c>
      <c r="AZ11" s="40">
        <v>0</v>
      </c>
      <c r="BA11" s="40">
        <v>0</v>
      </c>
      <c r="BB11" s="40">
        <v>0</v>
      </c>
      <c r="BC11" s="40">
        <v>0</v>
      </c>
      <c r="BD11" s="40">
        <v>0</v>
      </c>
      <c r="BE11" s="40">
        <v>0</v>
      </c>
      <c r="BF11" s="40">
        <v>0</v>
      </c>
      <c r="BG11" s="40">
        <v>0</v>
      </c>
      <c r="BH11" s="40">
        <v>0</v>
      </c>
      <c r="BI11" s="40">
        <v>0</v>
      </c>
      <c r="BJ11" s="40">
        <v>0</v>
      </c>
      <c r="BK11" s="40">
        <v>0</v>
      </c>
      <c r="BL11" s="40">
        <v>0</v>
      </c>
      <c r="BM11" s="40">
        <v>0</v>
      </c>
      <c r="BN11" s="40">
        <v>0</v>
      </c>
      <c r="BO11" s="40">
        <v>0</v>
      </c>
      <c r="BP11" s="40">
        <v>0</v>
      </c>
      <c r="BQ11" s="40">
        <v>0</v>
      </c>
      <c r="BR11" s="40">
        <v>0</v>
      </c>
      <c r="BS11" s="40">
        <v>0</v>
      </c>
      <c r="BT11" s="40">
        <v>86134887</v>
      </c>
      <c r="BU11" s="40">
        <v>0</v>
      </c>
      <c r="BV11" s="40">
        <v>0</v>
      </c>
      <c r="BW11" s="40">
        <v>0</v>
      </c>
      <c r="BX11" s="40">
        <v>0</v>
      </c>
      <c r="BY11" s="40">
        <v>0</v>
      </c>
      <c r="BZ11" s="40">
        <v>0</v>
      </c>
      <c r="CA11" s="40">
        <v>0</v>
      </c>
      <c r="CB11" s="40">
        <v>0</v>
      </c>
      <c r="CC11" s="40">
        <v>0</v>
      </c>
      <c r="CD11" s="40">
        <v>0</v>
      </c>
      <c r="CE11" s="40">
        <v>86134887</v>
      </c>
      <c r="CF11" s="41"/>
      <c r="CG11" s="41"/>
      <c r="CH11" s="42"/>
    </row>
    <row r="12" spans="1:86" ht="22.5">
      <c r="A12" s="38">
        <v>6</v>
      </c>
      <c r="B12" s="65" t="s">
        <v>186</v>
      </c>
      <c r="C12" s="39" t="s">
        <v>185</v>
      </c>
      <c r="D12" s="40">
        <v>36949</v>
      </c>
      <c r="E12" s="40">
        <v>0</v>
      </c>
      <c r="F12" s="40">
        <v>0</v>
      </c>
      <c r="G12" s="40">
        <v>0</v>
      </c>
      <c r="H12" s="40">
        <v>938320</v>
      </c>
      <c r="I12" s="40">
        <v>44100</v>
      </c>
      <c r="J12" s="40">
        <v>21083</v>
      </c>
      <c r="K12" s="40">
        <v>46</v>
      </c>
      <c r="L12" s="40">
        <v>765</v>
      </c>
      <c r="M12" s="40">
        <v>37512</v>
      </c>
      <c r="N12" s="40">
        <v>97163</v>
      </c>
      <c r="O12" s="40">
        <v>0</v>
      </c>
      <c r="P12" s="40">
        <v>71</v>
      </c>
      <c r="Q12" s="40">
        <v>45</v>
      </c>
      <c r="R12" s="40">
        <v>79</v>
      </c>
      <c r="S12" s="40">
        <v>0</v>
      </c>
      <c r="T12" s="40">
        <v>2942</v>
      </c>
      <c r="U12" s="40">
        <v>0</v>
      </c>
      <c r="V12" s="40">
        <v>0</v>
      </c>
      <c r="W12" s="40">
        <v>208251</v>
      </c>
      <c r="X12" s="40">
        <v>15415</v>
      </c>
      <c r="Y12" s="40">
        <v>8352</v>
      </c>
      <c r="Z12" s="40">
        <v>0</v>
      </c>
      <c r="AA12" s="40">
        <v>13051</v>
      </c>
      <c r="AB12" s="40">
        <v>242</v>
      </c>
      <c r="AC12" s="40">
        <v>0</v>
      </c>
      <c r="AD12" s="40">
        <v>8</v>
      </c>
      <c r="AE12" s="40">
        <v>0</v>
      </c>
      <c r="AF12" s="40">
        <v>0</v>
      </c>
      <c r="AG12" s="40">
        <v>135</v>
      </c>
      <c r="AH12" s="40">
        <v>0</v>
      </c>
      <c r="AI12" s="40">
        <v>0</v>
      </c>
      <c r="AJ12" s="40">
        <v>0</v>
      </c>
      <c r="AK12" s="40">
        <v>130</v>
      </c>
      <c r="AL12" s="40">
        <v>0</v>
      </c>
      <c r="AM12" s="40">
        <v>0</v>
      </c>
      <c r="AN12" s="40">
        <v>0</v>
      </c>
      <c r="AO12" s="40">
        <v>191</v>
      </c>
      <c r="AP12" s="40">
        <v>1706362</v>
      </c>
      <c r="AQ12" s="40">
        <v>5374065</v>
      </c>
      <c r="AR12" s="40">
        <v>278023</v>
      </c>
      <c r="AS12" s="40">
        <v>2842</v>
      </c>
      <c r="AT12" s="40">
        <v>3892</v>
      </c>
      <c r="AU12" s="40">
        <v>0</v>
      </c>
      <c r="AV12" s="40">
        <v>1549</v>
      </c>
      <c r="AW12" s="40">
        <v>1001</v>
      </c>
      <c r="AX12" s="40">
        <v>2190541</v>
      </c>
      <c r="AY12" s="40">
        <v>0</v>
      </c>
      <c r="AZ12" s="40">
        <v>0</v>
      </c>
      <c r="BA12" s="40">
        <v>1937</v>
      </c>
      <c r="BB12" s="40">
        <v>0</v>
      </c>
      <c r="BC12" s="40">
        <v>18742</v>
      </c>
      <c r="BD12" s="40">
        <v>84</v>
      </c>
      <c r="BE12" s="40">
        <v>0</v>
      </c>
      <c r="BF12" s="40">
        <v>0</v>
      </c>
      <c r="BG12" s="40">
        <v>0</v>
      </c>
      <c r="BH12" s="40">
        <v>0</v>
      </c>
      <c r="BI12" s="40">
        <v>0</v>
      </c>
      <c r="BJ12" s="40">
        <v>361809</v>
      </c>
      <c r="BK12" s="40">
        <v>145</v>
      </c>
      <c r="BL12" s="40">
        <v>11985</v>
      </c>
      <c r="BM12" s="40">
        <v>0</v>
      </c>
      <c r="BN12" s="40">
        <v>0</v>
      </c>
      <c r="BO12" s="40">
        <v>0</v>
      </c>
      <c r="BP12" s="40">
        <v>0</v>
      </c>
      <c r="BQ12" s="40">
        <v>0</v>
      </c>
      <c r="BR12" s="40">
        <v>0</v>
      </c>
      <c r="BS12" s="40">
        <v>0</v>
      </c>
      <c r="BT12" s="40">
        <v>11377827</v>
      </c>
      <c r="BU12" s="40">
        <v>0</v>
      </c>
      <c r="BV12" s="40">
        <v>0</v>
      </c>
      <c r="BW12" s="40">
        <v>0</v>
      </c>
      <c r="BX12" s="40">
        <v>0</v>
      </c>
      <c r="BY12" s="40">
        <v>0</v>
      </c>
      <c r="BZ12" s="40">
        <v>0</v>
      </c>
      <c r="CA12" s="40">
        <v>0</v>
      </c>
      <c r="CB12" s="40">
        <v>0</v>
      </c>
      <c r="CC12" s="40">
        <v>0</v>
      </c>
      <c r="CD12" s="40">
        <v>0</v>
      </c>
      <c r="CE12" s="40">
        <v>11377827</v>
      </c>
      <c r="CF12" s="41"/>
      <c r="CG12" s="41"/>
      <c r="CH12" s="42"/>
    </row>
    <row r="13" spans="1:86">
      <c r="A13" s="38">
        <v>7</v>
      </c>
      <c r="B13" s="65" t="s">
        <v>184</v>
      </c>
      <c r="C13" s="39" t="s">
        <v>183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37977796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>
        <v>0</v>
      </c>
      <c r="AL13" s="40">
        <v>0</v>
      </c>
      <c r="AM13" s="40">
        <v>0</v>
      </c>
      <c r="AN13" s="40">
        <v>0</v>
      </c>
      <c r="AO13" s="40">
        <v>0</v>
      </c>
      <c r="AP13" s="40">
        <v>0</v>
      </c>
      <c r="AQ13" s="40">
        <v>0</v>
      </c>
      <c r="AR13" s="40">
        <v>0</v>
      </c>
      <c r="AS13" s="40">
        <v>0</v>
      </c>
      <c r="AT13" s="40">
        <v>0</v>
      </c>
      <c r="AU13" s="40">
        <v>0</v>
      </c>
      <c r="AV13" s="40">
        <v>0</v>
      </c>
      <c r="AW13" s="40">
        <v>0</v>
      </c>
      <c r="AX13" s="40">
        <v>0</v>
      </c>
      <c r="AY13" s="40">
        <v>0</v>
      </c>
      <c r="AZ13" s="40">
        <v>0</v>
      </c>
      <c r="BA13" s="40">
        <v>0</v>
      </c>
      <c r="BB13" s="40">
        <v>0</v>
      </c>
      <c r="BC13" s="40">
        <v>0</v>
      </c>
      <c r="BD13" s="40">
        <v>0</v>
      </c>
      <c r="BE13" s="40">
        <v>0</v>
      </c>
      <c r="BF13" s="40">
        <v>0</v>
      </c>
      <c r="BG13" s="40">
        <v>0</v>
      </c>
      <c r="BH13" s="40">
        <v>0</v>
      </c>
      <c r="BI13" s="40">
        <v>0</v>
      </c>
      <c r="BJ13" s="40">
        <v>0</v>
      </c>
      <c r="BK13" s="40">
        <v>0</v>
      </c>
      <c r="BL13" s="40">
        <v>0</v>
      </c>
      <c r="BM13" s="40">
        <v>0</v>
      </c>
      <c r="BN13" s="40">
        <v>0</v>
      </c>
      <c r="BO13" s="40">
        <v>0</v>
      </c>
      <c r="BP13" s="40">
        <v>0</v>
      </c>
      <c r="BQ13" s="40">
        <v>0</v>
      </c>
      <c r="BR13" s="40">
        <v>0</v>
      </c>
      <c r="BS13" s="40">
        <v>0</v>
      </c>
      <c r="BT13" s="40">
        <v>37977796</v>
      </c>
      <c r="BU13" s="40">
        <v>0</v>
      </c>
      <c r="BV13" s="40">
        <v>0</v>
      </c>
      <c r="BW13" s="40">
        <v>0</v>
      </c>
      <c r="BX13" s="40">
        <v>0</v>
      </c>
      <c r="BY13" s="40">
        <v>0</v>
      </c>
      <c r="BZ13" s="40">
        <v>0</v>
      </c>
      <c r="CA13" s="40">
        <v>0</v>
      </c>
      <c r="CB13" s="40">
        <v>0</v>
      </c>
      <c r="CC13" s="40">
        <v>0</v>
      </c>
      <c r="CD13" s="40">
        <v>0</v>
      </c>
      <c r="CE13" s="40">
        <v>37977796</v>
      </c>
      <c r="CF13" s="41"/>
      <c r="CG13" s="41"/>
      <c r="CH13" s="42"/>
    </row>
    <row r="14" spans="1:86">
      <c r="A14" s="38">
        <v>8</v>
      </c>
      <c r="B14" s="65" t="s">
        <v>182</v>
      </c>
      <c r="C14" s="39" t="s">
        <v>181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15753158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30788117</v>
      </c>
      <c r="Y14" s="40">
        <v>0</v>
      </c>
      <c r="Z14" s="40">
        <v>0</v>
      </c>
      <c r="AA14" s="40">
        <v>0</v>
      </c>
      <c r="AB14" s="40">
        <v>14680737</v>
      </c>
      <c r="AC14" s="40">
        <v>0</v>
      </c>
      <c r="AD14" s="40">
        <v>0</v>
      </c>
      <c r="AE14" s="40">
        <v>273531210</v>
      </c>
      <c r="AF14" s="40">
        <v>0</v>
      </c>
      <c r="AG14" s="40">
        <v>0</v>
      </c>
      <c r="AH14" s="40">
        <v>0</v>
      </c>
      <c r="AI14" s="40">
        <v>0</v>
      </c>
      <c r="AJ14" s="40">
        <v>0</v>
      </c>
      <c r="AK14" s="40">
        <v>0</v>
      </c>
      <c r="AL14" s="40">
        <v>0</v>
      </c>
      <c r="AM14" s="40">
        <v>0</v>
      </c>
      <c r="AN14" s="40">
        <v>0</v>
      </c>
      <c r="AO14" s="40">
        <v>0</v>
      </c>
      <c r="AP14" s="40">
        <v>0</v>
      </c>
      <c r="AQ14" s="40">
        <v>0</v>
      </c>
      <c r="AR14" s="40">
        <v>0</v>
      </c>
      <c r="AS14" s="40">
        <v>0</v>
      </c>
      <c r="AT14" s="40">
        <v>0</v>
      </c>
      <c r="AU14" s="40">
        <v>0</v>
      </c>
      <c r="AV14" s="40">
        <v>0</v>
      </c>
      <c r="AW14" s="40">
        <v>0</v>
      </c>
      <c r="AX14" s="40">
        <v>0</v>
      </c>
      <c r="AY14" s="40">
        <v>0</v>
      </c>
      <c r="AZ14" s="40">
        <v>0</v>
      </c>
      <c r="BA14" s="40">
        <v>0</v>
      </c>
      <c r="BB14" s="40">
        <v>0</v>
      </c>
      <c r="BC14" s="40">
        <v>0</v>
      </c>
      <c r="BD14" s="40">
        <v>0</v>
      </c>
      <c r="BE14" s="40">
        <v>0</v>
      </c>
      <c r="BF14" s="40">
        <v>0</v>
      </c>
      <c r="BG14" s="40">
        <v>0</v>
      </c>
      <c r="BH14" s="40">
        <v>0</v>
      </c>
      <c r="BI14" s="40">
        <v>0</v>
      </c>
      <c r="BJ14" s="40">
        <v>0</v>
      </c>
      <c r="BK14" s="40">
        <v>0</v>
      </c>
      <c r="BL14" s="40">
        <v>0</v>
      </c>
      <c r="BM14" s="40">
        <v>0</v>
      </c>
      <c r="BN14" s="40">
        <v>0</v>
      </c>
      <c r="BO14" s="40">
        <v>0</v>
      </c>
      <c r="BP14" s="40">
        <v>0</v>
      </c>
      <c r="BQ14" s="40">
        <v>0</v>
      </c>
      <c r="BR14" s="40">
        <v>0</v>
      </c>
      <c r="BS14" s="40">
        <v>0</v>
      </c>
      <c r="BT14" s="40">
        <v>334753222</v>
      </c>
      <c r="BU14" s="40">
        <v>0</v>
      </c>
      <c r="BV14" s="40">
        <v>0</v>
      </c>
      <c r="BW14" s="40">
        <v>0</v>
      </c>
      <c r="BX14" s="40">
        <v>0</v>
      </c>
      <c r="BY14" s="40">
        <v>0</v>
      </c>
      <c r="BZ14" s="40">
        <v>0</v>
      </c>
      <c r="CA14" s="40">
        <v>0</v>
      </c>
      <c r="CB14" s="40">
        <v>0</v>
      </c>
      <c r="CC14" s="40">
        <v>0</v>
      </c>
      <c r="CD14" s="40">
        <v>0</v>
      </c>
      <c r="CE14" s="40">
        <v>334753222</v>
      </c>
      <c r="CF14" s="41"/>
      <c r="CG14" s="41"/>
      <c r="CH14" s="42"/>
    </row>
    <row r="15" spans="1:86" ht="22.5">
      <c r="A15" s="38">
        <v>9</v>
      </c>
      <c r="B15" s="65" t="s">
        <v>102</v>
      </c>
      <c r="C15" s="39" t="s">
        <v>180</v>
      </c>
      <c r="D15" s="40">
        <v>118901</v>
      </c>
      <c r="E15" s="40">
        <v>6</v>
      </c>
      <c r="F15" s="40">
        <v>1155</v>
      </c>
      <c r="G15" s="40">
        <v>0</v>
      </c>
      <c r="H15" s="40">
        <v>3971090</v>
      </c>
      <c r="I15" s="40">
        <v>187266</v>
      </c>
      <c r="J15" s="40">
        <v>0</v>
      </c>
      <c r="K15" s="40">
        <v>0</v>
      </c>
      <c r="L15" s="40">
        <v>692986</v>
      </c>
      <c r="M15" s="40">
        <v>35575</v>
      </c>
      <c r="N15" s="40">
        <v>4431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87187</v>
      </c>
      <c r="U15" s="40">
        <v>0</v>
      </c>
      <c r="V15" s="40">
        <v>0</v>
      </c>
      <c r="W15" s="40">
        <v>6</v>
      </c>
      <c r="X15" s="40">
        <v>1747647</v>
      </c>
      <c r="Y15" s="40">
        <v>4993</v>
      </c>
      <c r="Z15" s="40">
        <v>27191</v>
      </c>
      <c r="AA15" s="40">
        <v>7048523</v>
      </c>
      <c r="AB15" s="40">
        <v>220774</v>
      </c>
      <c r="AC15" s="40">
        <v>0</v>
      </c>
      <c r="AD15" s="40">
        <v>25</v>
      </c>
      <c r="AE15" s="40">
        <v>151</v>
      </c>
      <c r="AF15" s="40">
        <v>0</v>
      </c>
      <c r="AG15" s="40">
        <v>0</v>
      </c>
      <c r="AH15" s="40">
        <v>0</v>
      </c>
      <c r="AI15" s="40">
        <v>0</v>
      </c>
      <c r="AJ15" s="40">
        <v>0</v>
      </c>
      <c r="AK15" s="40">
        <v>877</v>
      </c>
      <c r="AL15" s="40">
        <v>395</v>
      </c>
      <c r="AM15" s="40">
        <v>0</v>
      </c>
      <c r="AN15" s="40">
        <v>48275</v>
      </c>
      <c r="AO15" s="40">
        <v>0</v>
      </c>
      <c r="AP15" s="40">
        <v>32898</v>
      </c>
      <c r="AQ15" s="40">
        <v>0</v>
      </c>
      <c r="AR15" s="40">
        <v>14833</v>
      </c>
      <c r="AS15" s="40">
        <v>37675</v>
      </c>
      <c r="AT15" s="40">
        <v>4978026</v>
      </c>
      <c r="AU15" s="40">
        <v>0</v>
      </c>
      <c r="AV15" s="40">
        <v>0</v>
      </c>
      <c r="AW15" s="40">
        <v>0</v>
      </c>
      <c r="AX15" s="40">
        <v>0</v>
      </c>
      <c r="AY15" s="40">
        <v>0</v>
      </c>
      <c r="AZ15" s="40">
        <v>0</v>
      </c>
      <c r="BA15" s="40">
        <v>0</v>
      </c>
      <c r="BB15" s="40">
        <v>0</v>
      </c>
      <c r="BC15" s="40">
        <v>0</v>
      </c>
      <c r="BD15" s="40">
        <v>0</v>
      </c>
      <c r="BE15" s="40">
        <v>0</v>
      </c>
      <c r="BF15" s="40">
        <v>0</v>
      </c>
      <c r="BG15" s="40">
        <v>0</v>
      </c>
      <c r="BH15" s="40">
        <v>0</v>
      </c>
      <c r="BI15" s="40">
        <v>0</v>
      </c>
      <c r="BJ15" s="40">
        <v>0</v>
      </c>
      <c r="BK15" s="40">
        <v>258665</v>
      </c>
      <c r="BL15" s="40">
        <v>48566</v>
      </c>
      <c r="BM15" s="40">
        <v>5301</v>
      </c>
      <c r="BN15" s="40">
        <v>149981</v>
      </c>
      <c r="BO15" s="40">
        <v>305506</v>
      </c>
      <c r="BP15" s="40">
        <v>282</v>
      </c>
      <c r="BQ15" s="40">
        <v>245233</v>
      </c>
      <c r="BR15" s="40">
        <v>0</v>
      </c>
      <c r="BS15" s="40">
        <v>0</v>
      </c>
      <c r="BT15" s="40">
        <v>20274420</v>
      </c>
      <c r="BU15" s="40">
        <v>685650</v>
      </c>
      <c r="BV15" s="40">
        <v>0</v>
      </c>
      <c r="BW15" s="40">
        <v>0</v>
      </c>
      <c r="BX15" s="40">
        <v>685650</v>
      </c>
      <c r="BY15" s="40">
        <v>0</v>
      </c>
      <c r="BZ15" s="40">
        <v>0</v>
      </c>
      <c r="CA15" s="40">
        <v>0</v>
      </c>
      <c r="CB15" s="40">
        <v>0</v>
      </c>
      <c r="CC15" s="40">
        <v>0</v>
      </c>
      <c r="CD15" s="40">
        <v>685650</v>
      </c>
      <c r="CE15" s="40">
        <v>20960070</v>
      </c>
      <c r="CF15" s="41"/>
      <c r="CG15" s="41"/>
      <c r="CH15" s="42"/>
    </row>
    <row r="16" spans="1:86" ht="22.5">
      <c r="A16" s="38">
        <v>10</v>
      </c>
      <c r="B16" s="65" t="s">
        <v>86</v>
      </c>
      <c r="C16" s="39" t="s">
        <v>85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40">
        <v>0</v>
      </c>
      <c r="AR16" s="40">
        <v>0</v>
      </c>
      <c r="AS16" s="40">
        <v>0</v>
      </c>
      <c r="AT16" s="40">
        <v>0</v>
      </c>
      <c r="AU16" s="40">
        <v>0</v>
      </c>
      <c r="AV16" s="40">
        <v>0</v>
      </c>
      <c r="AW16" s="40">
        <v>0</v>
      </c>
      <c r="AX16" s="40">
        <v>0</v>
      </c>
      <c r="AY16" s="40">
        <v>0</v>
      </c>
      <c r="AZ16" s="40">
        <v>0</v>
      </c>
      <c r="BA16" s="40">
        <v>0</v>
      </c>
      <c r="BB16" s="40">
        <v>0</v>
      </c>
      <c r="BC16" s="40">
        <v>0</v>
      </c>
      <c r="BD16" s="40">
        <v>0</v>
      </c>
      <c r="BE16" s="40">
        <v>0</v>
      </c>
      <c r="BF16" s="40">
        <v>0</v>
      </c>
      <c r="BG16" s="40">
        <v>0</v>
      </c>
      <c r="BH16" s="40">
        <v>0</v>
      </c>
      <c r="BI16" s="40">
        <v>0</v>
      </c>
      <c r="BJ16" s="40">
        <v>0</v>
      </c>
      <c r="BK16" s="40">
        <v>0</v>
      </c>
      <c r="BL16" s="40">
        <v>0</v>
      </c>
      <c r="BM16" s="40">
        <v>0</v>
      </c>
      <c r="BN16" s="40">
        <v>0</v>
      </c>
      <c r="BO16" s="40">
        <v>0</v>
      </c>
      <c r="BP16" s="40">
        <v>0</v>
      </c>
      <c r="BQ16" s="40">
        <v>0</v>
      </c>
      <c r="BR16" s="40">
        <v>0</v>
      </c>
      <c r="BS16" s="40">
        <v>0</v>
      </c>
      <c r="BT16" s="40">
        <v>0</v>
      </c>
      <c r="BU16" s="40">
        <v>0</v>
      </c>
      <c r="BV16" s="40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0</v>
      </c>
      <c r="CC16" s="40">
        <v>0</v>
      </c>
      <c r="CD16" s="40">
        <v>0</v>
      </c>
      <c r="CE16" s="40">
        <v>0</v>
      </c>
      <c r="CF16" s="41"/>
      <c r="CG16" s="41"/>
      <c r="CH16" s="42"/>
    </row>
    <row r="17" spans="1:86">
      <c r="A17" s="38">
        <v>11</v>
      </c>
      <c r="B17" s="65" t="s">
        <v>179</v>
      </c>
      <c r="C17" s="39" t="s">
        <v>178</v>
      </c>
      <c r="D17" s="40">
        <v>5646110</v>
      </c>
      <c r="E17" s="40">
        <v>0</v>
      </c>
      <c r="F17" s="40">
        <v>69855</v>
      </c>
      <c r="G17" s="40">
        <v>1163</v>
      </c>
      <c r="H17" s="40">
        <v>18795</v>
      </c>
      <c r="I17" s="40">
        <v>603</v>
      </c>
      <c r="J17" s="40">
        <v>411</v>
      </c>
      <c r="K17" s="40">
        <v>850</v>
      </c>
      <c r="L17" s="40">
        <v>17</v>
      </c>
      <c r="M17" s="40">
        <v>20</v>
      </c>
      <c r="N17" s="40">
        <v>10333808</v>
      </c>
      <c r="O17" s="40">
        <v>0</v>
      </c>
      <c r="P17" s="40">
        <v>38494</v>
      </c>
      <c r="Q17" s="40">
        <v>0</v>
      </c>
      <c r="R17" s="40">
        <v>13234</v>
      </c>
      <c r="S17" s="40">
        <v>0</v>
      </c>
      <c r="T17" s="40">
        <v>7432</v>
      </c>
      <c r="U17" s="40">
        <v>0</v>
      </c>
      <c r="V17" s="40">
        <v>0</v>
      </c>
      <c r="W17" s="40">
        <v>0</v>
      </c>
      <c r="X17" s="40">
        <v>971058</v>
      </c>
      <c r="Y17" s="40">
        <v>1359712</v>
      </c>
      <c r="Z17" s="40">
        <v>0</v>
      </c>
      <c r="AA17" s="40">
        <v>2</v>
      </c>
      <c r="AB17" s="40">
        <v>182</v>
      </c>
      <c r="AC17" s="40">
        <v>257</v>
      </c>
      <c r="AD17" s="40">
        <v>43</v>
      </c>
      <c r="AE17" s="40">
        <v>34</v>
      </c>
      <c r="AF17" s="40">
        <v>12</v>
      </c>
      <c r="AG17" s="40">
        <v>209</v>
      </c>
      <c r="AH17" s="40">
        <v>0</v>
      </c>
      <c r="AI17" s="40">
        <v>0</v>
      </c>
      <c r="AJ17" s="40">
        <v>0</v>
      </c>
      <c r="AK17" s="40">
        <v>0</v>
      </c>
      <c r="AL17" s="40">
        <v>32</v>
      </c>
      <c r="AM17" s="40">
        <v>25</v>
      </c>
      <c r="AN17" s="40">
        <v>0</v>
      </c>
      <c r="AO17" s="40">
        <v>21</v>
      </c>
      <c r="AP17" s="40">
        <v>0</v>
      </c>
      <c r="AQ17" s="40">
        <v>2</v>
      </c>
      <c r="AR17" s="40">
        <v>14</v>
      </c>
      <c r="AS17" s="40">
        <v>2404</v>
      </c>
      <c r="AT17" s="40">
        <v>1043</v>
      </c>
      <c r="AU17" s="40">
        <v>843</v>
      </c>
      <c r="AV17" s="40">
        <v>3260</v>
      </c>
      <c r="AW17" s="40">
        <v>549</v>
      </c>
      <c r="AX17" s="40">
        <v>29</v>
      </c>
      <c r="AY17" s="40">
        <v>1005</v>
      </c>
      <c r="AZ17" s="40">
        <v>11</v>
      </c>
      <c r="BA17" s="40">
        <v>1967</v>
      </c>
      <c r="BB17" s="40">
        <v>0</v>
      </c>
      <c r="BC17" s="40">
        <v>613406</v>
      </c>
      <c r="BD17" s="40">
        <v>9494218</v>
      </c>
      <c r="BE17" s="40">
        <v>6834</v>
      </c>
      <c r="BF17" s="40">
        <v>0</v>
      </c>
      <c r="BG17" s="40">
        <v>566517</v>
      </c>
      <c r="BH17" s="40">
        <v>0</v>
      </c>
      <c r="BI17" s="40">
        <v>14</v>
      </c>
      <c r="BJ17" s="40">
        <v>66682</v>
      </c>
      <c r="BK17" s="40">
        <v>1166050</v>
      </c>
      <c r="BL17" s="40">
        <v>73386</v>
      </c>
      <c r="BM17" s="40">
        <v>270814</v>
      </c>
      <c r="BN17" s="40">
        <v>4086559</v>
      </c>
      <c r="BO17" s="40">
        <v>2171026</v>
      </c>
      <c r="BP17" s="40">
        <v>78101</v>
      </c>
      <c r="BQ17" s="40">
        <v>664642</v>
      </c>
      <c r="BR17" s="40">
        <v>4052</v>
      </c>
      <c r="BS17" s="40">
        <v>0</v>
      </c>
      <c r="BT17" s="40">
        <v>37735807</v>
      </c>
      <c r="BU17" s="40">
        <v>137385330</v>
      </c>
      <c r="BV17" s="40">
        <v>0</v>
      </c>
      <c r="BW17" s="40">
        <v>0</v>
      </c>
      <c r="BX17" s="40">
        <v>137385330</v>
      </c>
      <c r="BY17" s="40">
        <v>0</v>
      </c>
      <c r="BZ17" s="40">
        <v>0</v>
      </c>
      <c r="CA17" s="40">
        <v>0</v>
      </c>
      <c r="CB17" s="40">
        <v>0</v>
      </c>
      <c r="CC17" s="40">
        <v>0</v>
      </c>
      <c r="CD17" s="40">
        <v>137385330</v>
      </c>
      <c r="CE17" s="40">
        <v>175121137</v>
      </c>
      <c r="CF17" s="41"/>
      <c r="CG17" s="41"/>
      <c r="CH17" s="42"/>
    </row>
    <row r="18" spans="1:86">
      <c r="A18" s="38">
        <v>12</v>
      </c>
      <c r="B18" s="65" t="s">
        <v>84</v>
      </c>
      <c r="C18" s="39" t="s">
        <v>83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224191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0</v>
      </c>
      <c r="AP18" s="40">
        <v>0</v>
      </c>
      <c r="AQ18" s="40">
        <v>0</v>
      </c>
      <c r="AR18" s="40">
        <v>0</v>
      </c>
      <c r="AS18" s="40">
        <v>0</v>
      </c>
      <c r="AT18" s="40">
        <v>0</v>
      </c>
      <c r="AU18" s="40">
        <v>0</v>
      </c>
      <c r="AV18" s="40">
        <v>0</v>
      </c>
      <c r="AW18" s="40">
        <v>0</v>
      </c>
      <c r="AX18" s="40">
        <v>0</v>
      </c>
      <c r="AY18" s="40">
        <v>0</v>
      </c>
      <c r="AZ18" s="40">
        <v>0</v>
      </c>
      <c r="BA18" s="40">
        <v>0</v>
      </c>
      <c r="BB18" s="40">
        <v>0</v>
      </c>
      <c r="BC18" s="40">
        <v>0</v>
      </c>
      <c r="BD18" s="40">
        <v>0</v>
      </c>
      <c r="BE18" s="40">
        <v>0</v>
      </c>
      <c r="BF18" s="40">
        <v>0</v>
      </c>
      <c r="BG18" s="40">
        <v>0</v>
      </c>
      <c r="BH18" s="40">
        <v>0</v>
      </c>
      <c r="BI18" s="40">
        <v>0</v>
      </c>
      <c r="BJ18" s="40">
        <v>0</v>
      </c>
      <c r="BK18" s="40">
        <v>0</v>
      </c>
      <c r="BL18" s="40">
        <v>0</v>
      </c>
      <c r="BM18" s="40">
        <v>0</v>
      </c>
      <c r="BN18" s="40">
        <v>0</v>
      </c>
      <c r="BO18" s="40">
        <v>0</v>
      </c>
      <c r="BP18" s="40">
        <v>0</v>
      </c>
      <c r="BQ18" s="40">
        <v>0</v>
      </c>
      <c r="BR18" s="40">
        <v>0</v>
      </c>
      <c r="BS18" s="40">
        <v>0</v>
      </c>
      <c r="BT18" s="40">
        <v>224191</v>
      </c>
      <c r="BU18" s="40">
        <v>18789884</v>
      </c>
      <c r="BV18" s="40">
        <v>0</v>
      </c>
      <c r="BW18" s="40">
        <v>0</v>
      </c>
      <c r="BX18" s="40">
        <v>18789884</v>
      </c>
      <c r="BY18" s="40">
        <v>0</v>
      </c>
      <c r="BZ18" s="40">
        <v>0</v>
      </c>
      <c r="CA18" s="40">
        <v>0</v>
      </c>
      <c r="CB18" s="40">
        <v>0</v>
      </c>
      <c r="CC18" s="40">
        <v>0</v>
      </c>
      <c r="CD18" s="40">
        <v>18789884</v>
      </c>
      <c r="CE18" s="40">
        <v>19014075</v>
      </c>
      <c r="CF18" s="41"/>
      <c r="CG18" s="41"/>
      <c r="CH18" s="42"/>
    </row>
    <row r="19" spans="1:86">
      <c r="A19" s="38">
        <v>13</v>
      </c>
      <c r="B19" s="65" t="s">
        <v>101</v>
      </c>
      <c r="C19" s="39" t="s">
        <v>177</v>
      </c>
      <c r="D19" s="40">
        <v>102059</v>
      </c>
      <c r="E19" s="40">
        <v>410</v>
      </c>
      <c r="F19" s="40">
        <v>50106</v>
      </c>
      <c r="G19" s="40">
        <v>4585</v>
      </c>
      <c r="H19" s="40">
        <v>106883</v>
      </c>
      <c r="I19" s="40">
        <v>4995</v>
      </c>
      <c r="J19" s="40">
        <v>1111</v>
      </c>
      <c r="K19" s="40">
        <v>3355</v>
      </c>
      <c r="L19" s="40">
        <v>0</v>
      </c>
      <c r="M19" s="40">
        <v>523</v>
      </c>
      <c r="N19" s="40">
        <v>46907</v>
      </c>
      <c r="O19" s="40">
        <v>0</v>
      </c>
      <c r="P19" s="40">
        <v>1627237</v>
      </c>
      <c r="Q19" s="40">
        <v>329941</v>
      </c>
      <c r="R19" s="40">
        <v>23009</v>
      </c>
      <c r="S19" s="40">
        <v>0</v>
      </c>
      <c r="T19" s="40">
        <v>0</v>
      </c>
      <c r="U19" s="40">
        <v>0</v>
      </c>
      <c r="V19" s="40">
        <v>0</v>
      </c>
      <c r="W19" s="40">
        <v>17948</v>
      </c>
      <c r="X19" s="40">
        <v>108619</v>
      </c>
      <c r="Y19" s="40">
        <v>9166</v>
      </c>
      <c r="Z19" s="40">
        <v>12106</v>
      </c>
      <c r="AA19" s="40">
        <v>8106</v>
      </c>
      <c r="AB19" s="40">
        <v>328</v>
      </c>
      <c r="AC19" s="40">
        <v>0</v>
      </c>
      <c r="AD19" s="40">
        <v>0</v>
      </c>
      <c r="AE19" s="40">
        <v>186</v>
      </c>
      <c r="AF19" s="40">
        <v>0</v>
      </c>
      <c r="AG19" s="40">
        <v>0</v>
      </c>
      <c r="AH19" s="40">
        <v>0</v>
      </c>
      <c r="AI19" s="40">
        <v>0</v>
      </c>
      <c r="AJ19" s="40">
        <v>339</v>
      </c>
      <c r="AK19" s="40">
        <v>447031</v>
      </c>
      <c r="AL19" s="40">
        <v>2553</v>
      </c>
      <c r="AM19" s="40">
        <v>113571</v>
      </c>
      <c r="AN19" s="40">
        <v>415</v>
      </c>
      <c r="AO19" s="40">
        <v>1893</v>
      </c>
      <c r="AP19" s="40">
        <v>656</v>
      </c>
      <c r="AQ19" s="40">
        <v>0</v>
      </c>
      <c r="AR19" s="40">
        <v>74</v>
      </c>
      <c r="AS19" s="40">
        <v>0</v>
      </c>
      <c r="AT19" s="40">
        <v>113541</v>
      </c>
      <c r="AU19" s="40">
        <v>0</v>
      </c>
      <c r="AV19" s="40">
        <v>139570</v>
      </c>
      <c r="AW19" s="40">
        <v>91931</v>
      </c>
      <c r="AX19" s="40">
        <v>5084</v>
      </c>
      <c r="AY19" s="40">
        <v>30183</v>
      </c>
      <c r="AZ19" s="40">
        <v>0</v>
      </c>
      <c r="BA19" s="40">
        <v>12873</v>
      </c>
      <c r="BB19" s="40">
        <v>7510</v>
      </c>
      <c r="BC19" s="40">
        <v>794537</v>
      </c>
      <c r="BD19" s="40">
        <v>733</v>
      </c>
      <c r="BE19" s="40">
        <v>5</v>
      </c>
      <c r="BF19" s="40">
        <v>0</v>
      </c>
      <c r="BG19" s="40">
        <v>1098</v>
      </c>
      <c r="BH19" s="40">
        <v>0</v>
      </c>
      <c r="BI19" s="40">
        <v>0</v>
      </c>
      <c r="BJ19" s="40">
        <v>31045</v>
      </c>
      <c r="BK19" s="40">
        <v>7461</v>
      </c>
      <c r="BL19" s="40">
        <v>16462</v>
      </c>
      <c r="BM19" s="40">
        <v>493810</v>
      </c>
      <c r="BN19" s="40">
        <v>376807</v>
      </c>
      <c r="BO19" s="40">
        <v>677928</v>
      </c>
      <c r="BP19" s="40">
        <v>76498</v>
      </c>
      <c r="BQ19" s="40">
        <v>383571</v>
      </c>
      <c r="BR19" s="40">
        <v>37241</v>
      </c>
      <c r="BS19" s="40">
        <v>0</v>
      </c>
      <c r="BT19" s="40">
        <v>6322000</v>
      </c>
      <c r="BU19" s="40">
        <v>9918892</v>
      </c>
      <c r="BV19" s="40">
        <v>0</v>
      </c>
      <c r="BW19" s="40">
        <v>0</v>
      </c>
      <c r="BX19" s="40">
        <v>9918892</v>
      </c>
      <c r="BY19" s="40">
        <v>833790</v>
      </c>
      <c r="BZ19" s="40">
        <v>0</v>
      </c>
      <c r="CA19" s="40">
        <v>0</v>
      </c>
      <c r="CB19" s="40">
        <v>833790</v>
      </c>
      <c r="CC19" s="40">
        <v>0</v>
      </c>
      <c r="CD19" s="40">
        <v>10752682</v>
      </c>
      <c r="CE19" s="40">
        <v>17074682</v>
      </c>
      <c r="CF19" s="41"/>
      <c r="CG19" s="41"/>
      <c r="CH19" s="42"/>
    </row>
    <row r="20" spans="1:86">
      <c r="A20" s="38">
        <v>14</v>
      </c>
      <c r="B20" s="65" t="s">
        <v>100</v>
      </c>
      <c r="C20" s="39" t="s">
        <v>82</v>
      </c>
      <c r="D20" s="40">
        <v>4506</v>
      </c>
      <c r="E20" s="40">
        <v>87</v>
      </c>
      <c r="F20" s="40">
        <v>0</v>
      </c>
      <c r="G20" s="40">
        <v>2842</v>
      </c>
      <c r="H20" s="40">
        <v>97195</v>
      </c>
      <c r="I20" s="40">
        <v>4568</v>
      </c>
      <c r="J20" s="40">
        <v>853</v>
      </c>
      <c r="K20" s="40">
        <v>3359</v>
      </c>
      <c r="L20" s="40">
        <v>153</v>
      </c>
      <c r="M20" s="40">
        <v>1844</v>
      </c>
      <c r="N20" s="40">
        <v>1568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40">
        <v>9</v>
      </c>
      <c r="U20" s="40">
        <v>0</v>
      </c>
      <c r="V20" s="40">
        <v>35</v>
      </c>
      <c r="W20" s="40">
        <v>6061</v>
      </c>
      <c r="X20" s="40">
        <v>2430</v>
      </c>
      <c r="Y20" s="40">
        <v>20894</v>
      </c>
      <c r="Z20" s="40">
        <v>307</v>
      </c>
      <c r="AA20" s="40">
        <v>924</v>
      </c>
      <c r="AB20" s="40">
        <v>32</v>
      </c>
      <c r="AC20" s="40">
        <v>8</v>
      </c>
      <c r="AD20" s="40">
        <v>0</v>
      </c>
      <c r="AE20" s="40">
        <v>56</v>
      </c>
      <c r="AF20" s="40">
        <v>0</v>
      </c>
      <c r="AG20" s="40">
        <v>128</v>
      </c>
      <c r="AH20" s="40">
        <v>0</v>
      </c>
      <c r="AI20" s="40">
        <v>0</v>
      </c>
      <c r="AJ20" s="40">
        <v>76</v>
      </c>
      <c r="AK20" s="40">
        <v>0</v>
      </c>
      <c r="AL20" s="40">
        <v>788</v>
      </c>
      <c r="AM20" s="40">
        <v>0</v>
      </c>
      <c r="AN20" s="40">
        <v>0</v>
      </c>
      <c r="AO20" s="40">
        <v>5780</v>
      </c>
      <c r="AP20" s="40">
        <v>5393</v>
      </c>
      <c r="AQ20" s="40">
        <v>111</v>
      </c>
      <c r="AR20" s="40">
        <v>718</v>
      </c>
      <c r="AS20" s="40">
        <v>2133</v>
      </c>
      <c r="AT20" s="40">
        <v>60708</v>
      </c>
      <c r="AU20" s="40">
        <v>281</v>
      </c>
      <c r="AV20" s="40">
        <v>860</v>
      </c>
      <c r="AW20" s="40">
        <v>9297</v>
      </c>
      <c r="AX20" s="40">
        <v>20255</v>
      </c>
      <c r="AY20" s="40">
        <v>144</v>
      </c>
      <c r="AZ20" s="40">
        <v>24299</v>
      </c>
      <c r="BA20" s="40">
        <v>15587</v>
      </c>
      <c r="BB20" s="40">
        <v>318</v>
      </c>
      <c r="BC20" s="40">
        <v>23800</v>
      </c>
      <c r="BD20" s="40">
        <v>0</v>
      </c>
      <c r="BE20" s="40">
        <v>153</v>
      </c>
      <c r="BF20" s="40">
        <v>1090</v>
      </c>
      <c r="BG20" s="40">
        <v>3747</v>
      </c>
      <c r="BH20" s="40">
        <v>3612</v>
      </c>
      <c r="BI20" s="40">
        <v>4941</v>
      </c>
      <c r="BJ20" s="40">
        <v>4603</v>
      </c>
      <c r="BK20" s="40">
        <v>16557</v>
      </c>
      <c r="BL20" s="40">
        <v>146818</v>
      </c>
      <c r="BM20" s="40">
        <v>175267</v>
      </c>
      <c r="BN20" s="40">
        <v>368929</v>
      </c>
      <c r="BO20" s="40">
        <v>224140</v>
      </c>
      <c r="BP20" s="40">
        <v>3148</v>
      </c>
      <c r="BQ20" s="40">
        <v>787318</v>
      </c>
      <c r="BR20" s="40">
        <v>6988</v>
      </c>
      <c r="BS20" s="40">
        <v>0</v>
      </c>
      <c r="BT20" s="40">
        <v>2065718</v>
      </c>
      <c r="BU20" s="40">
        <v>40826630</v>
      </c>
      <c r="BV20" s="40">
        <v>0</v>
      </c>
      <c r="BW20" s="40">
        <v>0</v>
      </c>
      <c r="BX20" s="40">
        <v>40826630</v>
      </c>
      <c r="BY20" s="40">
        <v>0</v>
      </c>
      <c r="BZ20" s="40">
        <v>0</v>
      </c>
      <c r="CA20" s="40">
        <v>0</v>
      </c>
      <c r="CB20" s="40">
        <v>0</v>
      </c>
      <c r="CC20" s="40">
        <v>0</v>
      </c>
      <c r="CD20" s="40">
        <v>40826630</v>
      </c>
      <c r="CE20" s="40">
        <v>42892348</v>
      </c>
      <c r="CF20" s="41"/>
      <c r="CG20" s="41"/>
      <c r="CH20" s="42"/>
    </row>
    <row r="21" spans="1:86">
      <c r="A21" s="38">
        <v>15</v>
      </c>
      <c r="B21" s="65" t="s">
        <v>81</v>
      </c>
      <c r="C21" s="39" t="s">
        <v>80</v>
      </c>
      <c r="D21" s="40">
        <v>68</v>
      </c>
      <c r="E21" s="40">
        <v>3</v>
      </c>
      <c r="F21" s="40">
        <v>0</v>
      </c>
      <c r="G21" s="40">
        <v>0</v>
      </c>
      <c r="H21" s="40">
        <v>313</v>
      </c>
      <c r="I21" s="40">
        <v>14</v>
      </c>
      <c r="J21" s="40">
        <v>0</v>
      </c>
      <c r="K21" s="40">
        <v>81</v>
      </c>
      <c r="L21" s="40">
        <v>0</v>
      </c>
      <c r="M21" s="40">
        <v>52</v>
      </c>
      <c r="N21" s="40">
        <v>0</v>
      </c>
      <c r="O21" s="40">
        <v>0</v>
      </c>
      <c r="P21" s="40">
        <v>0</v>
      </c>
      <c r="Q21" s="40">
        <v>0</v>
      </c>
      <c r="R21" s="40">
        <v>20386</v>
      </c>
      <c r="S21" s="40">
        <v>0</v>
      </c>
      <c r="T21" s="40">
        <v>0</v>
      </c>
      <c r="U21" s="40">
        <v>0</v>
      </c>
      <c r="V21" s="40">
        <v>0</v>
      </c>
      <c r="W21" s="40">
        <v>3</v>
      </c>
      <c r="X21" s="40">
        <v>156</v>
      </c>
      <c r="Y21" s="40">
        <v>0</v>
      </c>
      <c r="Z21" s="40">
        <v>6</v>
      </c>
      <c r="AA21" s="40">
        <v>20</v>
      </c>
      <c r="AB21" s="40">
        <v>3</v>
      </c>
      <c r="AC21" s="40">
        <v>0</v>
      </c>
      <c r="AD21" s="40">
        <v>0</v>
      </c>
      <c r="AE21" s="40">
        <v>11</v>
      </c>
      <c r="AF21" s="40">
        <v>0</v>
      </c>
      <c r="AG21" s="40">
        <v>2</v>
      </c>
      <c r="AH21" s="40">
        <v>0</v>
      </c>
      <c r="AI21" s="40">
        <v>0</v>
      </c>
      <c r="AJ21" s="40">
        <v>3</v>
      </c>
      <c r="AK21" s="40">
        <v>0</v>
      </c>
      <c r="AL21" s="40">
        <v>0</v>
      </c>
      <c r="AM21" s="40">
        <v>0</v>
      </c>
      <c r="AN21" s="40">
        <v>0</v>
      </c>
      <c r="AO21" s="40">
        <v>130</v>
      </c>
      <c r="AP21" s="40">
        <v>243</v>
      </c>
      <c r="AQ21" s="40">
        <v>0</v>
      </c>
      <c r="AR21" s="40">
        <v>34</v>
      </c>
      <c r="AS21" s="40">
        <v>36</v>
      </c>
      <c r="AT21" s="40">
        <v>7959</v>
      </c>
      <c r="AU21" s="40">
        <v>0</v>
      </c>
      <c r="AV21" s="40">
        <v>0</v>
      </c>
      <c r="AW21" s="40">
        <v>0</v>
      </c>
      <c r="AX21" s="40">
        <v>247</v>
      </c>
      <c r="AY21" s="40">
        <v>0</v>
      </c>
      <c r="AZ21" s="40">
        <v>0</v>
      </c>
      <c r="BA21" s="40">
        <v>0</v>
      </c>
      <c r="BB21" s="40">
        <v>0</v>
      </c>
      <c r="BC21" s="40">
        <v>598</v>
      </c>
      <c r="BD21" s="40">
        <v>0</v>
      </c>
      <c r="BE21" s="40">
        <v>3704</v>
      </c>
      <c r="BF21" s="40">
        <v>0</v>
      </c>
      <c r="BG21" s="40">
        <v>0</v>
      </c>
      <c r="BH21" s="40">
        <v>0</v>
      </c>
      <c r="BI21" s="40">
        <v>0</v>
      </c>
      <c r="BJ21" s="40">
        <v>0</v>
      </c>
      <c r="BK21" s="40">
        <v>4128</v>
      </c>
      <c r="BL21" s="40">
        <v>3451</v>
      </c>
      <c r="BM21" s="40">
        <v>42595</v>
      </c>
      <c r="BN21" s="40">
        <v>67174</v>
      </c>
      <c r="BO21" s="40">
        <v>11191</v>
      </c>
      <c r="BP21" s="40">
        <v>1011</v>
      </c>
      <c r="BQ21" s="40">
        <v>353</v>
      </c>
      <c r="BR21" s="40">
        <v>0</v>
      </c>
      <c r="BS21" s="40">
        <v>0</v>
      </c>
      <c r="BT21" s="40">
        <v>163975</v>
      </c>
      <c r="BU21" s="40">
        <v>11899707</v>
      </c>
      <c r="BV21" s="40">
        <v>0</v>
      </c>
      <c r="BW21" s="40">
        <v>0</v>
      </c>
      <c r="BX21" s="40">
        <v>11899707</v>
      </c>
      <c r="BY21" s="40">
        <v>0</v>
      </c>
      <c r="BZ21" s="40">
        <v>0</v>
      </c>
      <c r="CA21" s="40">
        <v>0</v>
      </c>
      <c r="CB21" s="40">
        <v>0</v>
      </c>
      <c r="CC21" s="40">
        <v>0</v>
      </c>
      <c r="CD21" s="40">
        <v>11899707</v>
      </c>
      <c r="CE21" s="40">
        <v>12063682</v>
      </c>
      <c r="CF21" s="41"/>
      <c r="CG21" s="41"/>
      <c r="CH21" s="42"/>
    </row>
    <row r="22" spans="1:86" ht="33.75">
      <c r="A22" s="38">
        <v>16</v>
      </c>
      <c r="B22" s="65" t="s">
        <v>79</v>
      </c>
      <c r="C22" s="39" t="s">
        <v>78</v>
      </c>
      <c r="D22" s="40">
        <v>27668</v>
      </c>
      <c r="E22" s="40">
        <v>0</v>
      </c>
      <c r="F22" s="40">
        <v>82</v>
      </c>
      <c r="G22" s="40">
        <v>29011</v>
      </c>
      <c r="H22" s="40">
        <v>5951</v>
      </c>
      <c r="I22" s="40">
        <v>281</v>
      </c>
      <c r="J22" s="40">
        <v>0</v>
      </c>
      <c r="K22" s="40">
        <v>18426</v>
      </c>
      <c r="L22" s="40">
        <v>1320</v>
      </c>
      <c r="M22" s="40">
        <v>35859</v>
      </c>
      <c r="N22" s="40">
        <v>10034</v>
      </c>
      <c r="O22" s="40">
        <v>0</v>
      </c>
      <c r="P22" s="40">
        <v>0</v>
      </c>
      <c r="Q22" s="40">
        <v>0</v>
      </c>
      <c r="R22" s="40">
        <v>0</v>
      </c>
      <c r="S22" s="40">
        <v>197042</v>
      </c>
      <c r="T22" s="40">
        <v>269482</v>
      </c>
      <c r="U22" s="40">
        <v>32</v>
      </c>
      <c r="V22" s="40">
        <v>0</v>
      </c>
      <c r="W22" s="40">
        <v>0</v>
      </c>
      <c r="X22" s="40">
        <v>3</v>
      </c>
      <c r="Y22" s="40">
        <v>0</v>
      </c>
      <c r="Z22" s="40">
        <v>0</v>
      </c>
      <c r="AA22" s="40">
        <v>35910</v>
      </c>
      <c r="AB22" s="40">
        <v>1240</v>
      </c>
      <c r="AC22" s="40">
        <v>0</v>
      </c>
      <c r="AD22" s="40">
        <v>52</v>
      </c>
      <c r="AE22" s="40">
        <v>686</v>
      </c>
      <c r="AF22" s="40">
        <v>0</v>
      </c>
      <c r="AG22" s="40">
        <v>0</v>
      </c>
      <c r="AH22" s="40">
        <v>0</v>
      </c>
      <c r="AI22" s="40">
        <v>0</v>
      </c>
      <c r="AJ22" s="40">
        <v>132</v>
      </c>
      <c r="AK22" s="40">
        <v>597</v>
      </c>
      <c r="AL22" s="40">
        <v>104</v>
      </c>
      <c r="AM22" s="40">
        <v>795112</v>
      </c>
      <c r="AN22" s="40">
        <v>1854</v>
      </c>
      <c r="AO22" s="40">
        <v>3030</v>
      </c>
      <c r="AP22" s="40">
        <v>20078</v>
      </c>
      <c r="AQ22" s="40">
        <v>0</v>
      </c>
      <c r="AR22" s="40">
        <v>721</v>
      </c>
      <c r="AS22" s="40">
        <v>593</v>
      </c>
      <c r="AT22" s="40">
        <v>6087228</v>
      </c>
      <c r="AU22" s="40">
        <v>0</v>
      </c>
      <c r="AV22" s="40">
        <v>49770</v>
      </c>
      <c r="AW22" s="40">
        <v>25271</v>
      </c>
      <c r="AX22" s="40">
        <v>721</v>
      </c>
      <c r="AY22" s="40">
        <v>0</v>
      </c>
      <c r="AZ22" s="40">
        <v>0</v>
      </c>
      <c r="BA22" s="40">
        <v>40122</v>
      </c>
      <c r="BB22" s="40">
        <v>2283</v>
      </c>
      <c r="BC22" s="40">
        <v>0</v>
      </c>
      <c r="BD22" s="40">
        <v>42937</v>
      </c>
      <c r="BE22" s="40">
        <v>2</v>
      </c>
      <c r="BF22" s="40">
        <v>0</v>
      </c>
      <c r="BG22" s="40">
        <v>311</v>
      </c>
      <c r="BH22" s="40">
        <v>0</v>
      </c>
      <c r="BI22" s="40">
        <v>0</v>
      </c>
      <c r="BJ22" s="40">
        <v>46279</v>
      </c>
      <c r="BK22" s="40">
        <v>855</v>
      </c>
      <c r="BL22" s="40">
        <v>1430</v>
      </c>
      <c r="BM22" s="40">
        <v>8216</v>
      </c>
      <c r="BN22" s="40">
        <v>9276</v>
      </c>
      <c r="BO22" s="40">
        <v>3791</v>
      </c>
      <c r="BP22" s="40">
        <v>3</v>
      </c>
      <c r="BQ22" s="40">
        <v>19522</v>
      </c>
      <c r="BR22" s="40">
        <v>0</v>
      </c>
      <c r="BS22" s="40">
        <v>0</v>
      </c>
      <c r="BT22" s="40">
        <v>7793317</v>
      </c>
      <c r="BU22" s="40">
        <v>446366</v>
      </c>
      <c r="BV22" s="40">
        <v>0</v>
      </c>
      <c r="BW22" s="40">
        <v>0</v>
      </c>
      <c r="BX22" s="40">
        <v>446366</v>
      </c>
      <c r="BY22" s="40">
        <v>174452</v>
      </c>
      <c r="BZ22" s="40">
        <v>0</v>
      </c>
      <c r="CA22" s="40">
        <v>0</v>
      </c>
      <c r="CB22" s="40">
        <v>174452</v>
      </c>
      <c r="CC22" s="40">
        <v>0</v>
      </c>
      <c r="CD22" s="40">
        <v>620818</v>
      </c>
      <c r="CE22" s="40">
        <v>8414135</v>
      </c>
      <c r="CF22" s="41"/>
      <c r="CG22" s="41"/>
      <c r="CH22" s="42"/>
    </row>
    <row r="23" spans="1:86">
      <c r="A23" s="38">
        <v>17</v>
      </c>
      <c r="B23" s="65" t="s">
        <v>77</v>
      </c>
      <c r="C23" s="39" t="s">
        <v>76</v>
      </c>
      <c r="D23" s="40">
        <v>96344</v>
      </c>
      <c r="E23" s="40">
        <v>16</v>
      </c>
      <c r="F23" s="40">
        <v>92</v>
      </c>
      <c r="G23" s="40">
        <v>0</v>
      </c>
      <c r="H23" s="40">
        <v>502</v>
      </c>
      <c r="I23" s="40">
        <v>22</v>
      </c>
      <c r="J23" s="40">
        <v>5</v>
      </c>
      <c r="K23" s="40">
        <v>91</v>
      </c>
      <c r="L23" s="40">
        <v>154</v>
      </c>
      <c r="M23" s="40">
        <v>29</v>
      </c>
      <c r="N23" s="40">
        <v>373726</v>
      </c>
      <c r="O23" s="40">
        <v>539621</v>
      </c>
      <c r="P23" s="40">
        <v>16</v>
      </c>
      <c r="Q23" s="40">
        <v>295</v>
      </c>
      <c r="R23" s="40">
        <v>3781</v>
      </c>
      <c r="S23" s="40">
        <v>0</v>
      </c>
      <c r="T23" s="40">
        <v>546065</v>
      </c>
      <c r="U23" s="40">
        <v>482125</v>
      </c>
      <c r="V23" s="40">
        <v>0</v>
      </c>
      <c r="W23" s="40">
        <v>2333</v>
      </c>
      <c r="X23" s="40">
        <v>4159</v>
      </c>
      <c r="Y23" s="40">
        <v>28654</v>
      </c>
      <c r="Z23" s="40">
        <v>3495</v>
      </c>
      <c r="AA23" s="40">
        <v>12155</v>
      </c>
      <c r="AB23" s="40">
        <v>2216</v>
      </c>
      <c r="AC23" s="40">
        <v>0</v>
      </c>
      <c r="AD23" s="40">
        <v>0</v>
      </c>
      <c r="AE23" s="40">
        <v>4</v>
      </c>
      <c r="AF23" s="40">
        <v>0</v>
      </c>
      <c r="AG23" s="40">
        <v>662</v>
      </c>
      <c r="AH23" s="40">
        <v>12439</v>
      </c>
      <c r="AI23" s="40">
        <v>1829</v>
      </c>
      <c r="AJ23" s="40">
        <v>7288</v>
      </c>
      <c r="AK23" s="40">
        <v>0</v>
      </c>
      <c r="AL23" s="40">
        <v>3</v>
      </c>
      <c r="AM23" s="40">
        <v>4</v>
      </c>
      <c r="AN23" s="40">
        <v>25</v>
      </c>
      <c r="AO23" s="40">
        <v>2135</v>
      </c>
      <c r="AP23" s="40">
        <v>5095</v>
      </c>
      <c r="AQ23" s="40">
        <v>2</v>
      </c>
      <c r="AR23" s="40">
        <v>122</v>
      </c>
      <c r="AS23" s="40">
        <v>1016</v>
      </c>
      <c r="AT23" s="40">
        <v>758897</v>
      </c>
      <c r="AU23" s="40">
        <v>1728</v>
      </c>
      <c r="AV23" s="40">
        <v>2286266</v>
      </c>
      <c r="AW23" s="40">
        <v>775935</v>
      </c>
      <c r="AX23" s="40">
        <v>2847</v>
      </c>
      <c r="AY23" s="40">
        <v>0</v>
      </c>
      <c r="AZ23" s="40">
        <v>2419</v>
      </c>
      <c r="BA23" s="40">
        <v>136678</v>
      </c>
      <c r="BB23" s="40">
        <v>111121</v>
      </c>
      <c r="BC23" s="40">
        <v>235051</v>
      </c>
      <c r="BD23" s="40">
        <v>47041</v>
      </c>
      <c r="BE23" s="40">
        <v>394652</v>
      </c>
      <c r="BF23" s="40">
        <v>12963</v>
      </c>
      <c r="BG23" s="40">
        <v>392141</v>
      </c>
      <c r="BH23" s="40">
        <v>88976</v>
      </c>
      <c r="BI23" s="40">
        <v>34634</v>
      </c>
      <c r="BJ23" s="40">
        <v>36502</v>
      </c>
      <c r="BK23" s="40">
        <v>1491480</v>
      </c>
      <c r="BL23" s="40">
        <v>154888</v>
      </c>
      <c r="BM23" s="40">
        <v>207147</v>
      </c>
      <c r="BN23" s="40">
        <v>407063</v>
      </c>
      <c r="BO23" s="40">
        <v>639233</v>
      </c>
      <c r="BP23" s="40">
        <v>220066</v>
      </c>
      <c r="BQ23" s="40">
        <v>93920</v>
      </c>
      <c r="BR23" s="40">
        <v>236956</v>
      </c>
      <c r="BS23" s="40">
        <v>0</v>
      </c>
      <c r="BT23" s="40">
        <v>10895124</v>
      </c>
      <c r="BU23" s="40">
        <v>4301950</v>
      </c>
      <c r="BV23" s="40">
        <v>0</v>
      </c>
      <c r="BW23" s="40">
        <v>0</v>
      </c>
      <c r="BX23" s="40">
        <v>4301950</v>
      </c>
      <c r="BY23" s="40">
        <v>0</v>
      </c>
      <c r="BZ23" s="40">
        <v>0</v>
      </c>
      <c r="CA23" s="40">
        <v>0</v>
      </c>
      <c r="CB23" s="40">
        <v>0</v>
      </c>
      <c r="CC23" s="40">
        <v>0</v>
      </c>
      <c r="CD23" s="40">
        <v>4301950</v>
      </c>
      <c r="CE23" s="40">
        <v>15197074</v>
      </c>
      <c r="CF23" s="41"/>
      <c r="CG23" s="41"/>
      <c r="CH23" s="42"/>
    </row>
    <row r="24" spans="1:86">
      <c r="A24" s="38">
        <v>18</v>
      </c>
      <c r="B24" s="65" t="s">
        <v>75</v>
      </c>
      <c r="C24" s="39" t="s">
        <v>74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1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15217</v>
      </c>
      <c r="V24" s="40">
        <v>0</v>
      </c>
      <c r="W24" s="40">
        <v>0</v>
      </c>
      <c r="X24" s="40">
        <v>21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0</v>
      </c>
      <c r="AP24" s="40">
        <v>2</v>
      </c>
      <c r="AQ24" s="40">
        <v>0</v>
      </c>
      <c r="AR24" s="40">
        <v>0</v>
      </c>
      <c r="AS24" s="40">
        <v>0</v>
      </c>
      <c r="AT24" s="40">
        <v>0</v>
      </c>
      <c r="AU24" s="40">
        <v>0</v>
      </c>
      <c r="AV24" s="40">
        <v>0</v>
      </c>
      <c r="AW24" s="40">
        <v>48</v>
      </c>
      <c r="AX24" s="40">
        <v>0</v>
      </c>
      <c r="AY24" s="40">
        <v>0</v>
      </c>
      <c r="AZ24" s="40">
        <v>0</v>
      </c>
      <c r="BA24" s="40">
        <v>1956</v>
      </c>
      <c r="BB24" s="40">
        <v>0</v>
      </c>
      <c r="BC24" s="40">
        <v>0</v>
      </c>
      <c r="BD24" s="40">
        <v>0</v>
      </c>
      <c r="BE24" s="40">
        <v>22477</v>
      </c>
      <c r="BF24" s="40">
        <v>15</v>
      </c>
      <c r="BG24" s="40">
        <v>0</v>
      </c>
      <c r="BH24" s="40">
        <v>0</v>
      </c>
      <c r="BI24" s="40">
        <v>0</v>
      </c>
      <c r="BJ24" s="40">
        <v>65</v>
      </c>
      <c r="BK24" s="40">
        <v>172</v>
      </c>
      <c r="BL24" s="40">
        <v>54</v>
      </c>
      <c r="BM24" s="40">
        <v>110549</v>
      </c>
      <c r="BN24" s="40">
        <v>50400</v>
      </c>
      <c r="BO24" s="40">
        <v>6576</v>
      </c>
      <c r="BP24" s="40">
        <v>61</v>
      </c>
      <c r="BQ24" s="40">
        <v>22</v>
      </c>
      <c r="BR24" s="40">
        <v>30809</v>
      </c>
      <c r="BS24" s="40">
        <v>0</v>
      </c>
      <c r="BT24" s="40">
        <v>238445</v>
      </c>
      <c r="BU24" s="40">
        <v>0</v>
      </c>
      <c r="BV24" s="40">
        <v>0</v>
      </c>
      <c r="BW24" s="40">
        <v>0</v>
      </c>
      <c r="BX24" s="40">
        <v>0</v>
      </c>
      <c r="BY24" s="40">
        <v>0</v>
      </c>
      <c r="BZ24" s="40">
        <v>0</v>
      </c>
      <c r="CA24" s="40">
        <v>0</v>
      </c>
      <c r="CB24" s="40">
        <v>0</v>
      </c>
      <c r="CC24" s="40">
        <v>0</v>
      </c>
      <c r="CD24" s="40">
        <v>0</v>
      </c>
      <c r="CE24" s="40">
        <v>238445</v>
      </c>
      <c r="CF24" s="41"/>
      <c r="CG24" s="41"/>
      <c r="CH24" s="42"/>
    </row>
    <row r="25" spans="1:86">
      <c r="A25" s="38">
        <v>19</v>
      </c>
      <c r="B25" s="65" t="s">
        <v>73</v>
      </c>
      <c r="C25" s="39" t="s">
        <v>72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10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91992</v>
      </c>
      <c r="Y25" s="40">
        <v>0</v>
      </c>
      <c r="Z25" s="40">
        <v>0</v>
      </c>
      <c r="AA25" s="40">
        <v>4261390</v>
      </c>
      <c r="AB25" s="40">
        <v>2919464</v>
      </c>
      <c r="AC25" s="40">
        <v>0</v>
      </c>
      <c r="AD25" s="40">
        <v>0</v>
      </c>
      <c r="AE25" s="40">
        <v>147344</v>
      </c>
      <c r="AF25" s="40">
        <v>0</v>
      </c>
      <c r="AG25" s="40">
        <v>175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0</v>
      </c>
      <c r="AP25" s="40">
        <v>389241</v>
      </c>
      <c r="AQ25" s="40">
        <v>0</v>
      </c>
      <c r="AR25" s="40">
        <v>212627</v>
      </c>
      <c r="AS25" s="40">
        <v>0</v>
      </c>
      <c r="AT25" s="40">
        <v>0</v>
      </c>
      <c r="AU25" s="40">
        <v>0</v>
      </c>
      <c r="AV25" s="40">
        <v>0</v>
      </c>
      <c r="AW25" s="40">
        <v>0</v>
      </c>
      <c r="AX25" s="40">
        <v>0</v>
      </c>
      <c r="AY25" s="40">
        <v>0</v>
      </c>
      <c r="AZ25" s="40">
        <v>0</v>
      </c>
      <c r="BA25" s="40">
        <v>0</v>
      </c>
      <c r="BB25" s="40">
        <v>0</v>
      </c>
      <c r="BC25" s="40">
        <v>0</v>
      </c>
      <c r="BD25" s="40">
        <v>0</v>
      </c>
      <c r="BE25" s="40">
        <v>0</v>
      </c>
      <c r="BF25" s="40">
        <v>0</v>
      </c>
      <c r="BG25" s="40">
        <v>0</v>
      </c>
      <c r="BH25" s="40">
        <v>0</v>
      </c>
      <c r="BI25" s="40">
        <v>0</v>
      </c>
      <c r="BJ25" s="40">
        <v>0</v>
      </c>
      <c r="BK25" s="40">
        <v>0</v>
      </c>
      <c r="BL25" s="40">
        <v>0</v>
      </c>
      <c r="BM25" s="40">
        <v>12</v>
      </c>
      <c r="BN25" s="40">
        <v>1809</v>
      </c>
      <c r="BO25" s="40">
        <v>0</v>
      </c>
      <c r="BP25" s="40">
        <v>0</v>
      </c>
      <c r="BQ25" s="40">
        <v>0</v>
      </c>
      <c r="BR25" s="40">
        <v>0</v>
      </c>
      <c r="BS25" s="40">
        <v>0</v>
      </c>
      <c r="BT25" s="40">
        <v>8024064</v>
      </c>
      <c r="BU25" s="40">
        <v>0</v>
      </c>
      <c r="BV25" s="40">
        <v>0</v>
      </c>
      <c r="BW25" s="40">
        <v>0</v>
      </c>
      <c r="BX25" s="40">
        <v>0</v>
      </c>
      <c r="BY25" s="40">
        <v>0</v>
      </c>
      <c r="BZ25" s="40">
        <v>0</v>
      </c>
      <c r="CA25" s="40">
        <v>0</v>
      </c>
      <c r="CB25" s="40">
        <v>0</v>
      </c>
      <c r="CC25" s="40">
        <v>0</v>
      </c>
      <c r="CD25" s="40">
        <v>0</v>
      </c>
      <c r="CE25" s="40">
        <v>8024064</v>
      </c>
      <c r="CF25" s="41"/>
      <c r="CG25" s="41"/>
      <c r="CH25" s="42"/>
    </row>
    <row r="26" spans="1:86">
      <c r="A26" s="38">
        <v>20</v>
      </c>
      <c r="B26" s="65" t="s">
        <v>71</v>
      </c>
      <c r="C26" s="39" t="s">
        <v>70</v>
      </c>
      <c r="D26" s="40">
        <v>1194227</v>
      </c>
      <c r="E26" s="40">
        <v>4312</v>
      </c>
      <c r="F26" s="40">
        <v>2441</v>
      </c>
      <c r="G26" s="40">
        <v>535376</v>
      </c>
      <c r="H26" s="40">
        <v>795255</v>
      </c>
      <c r="I26" s="40">
        <v>37469</v>
      </c>
      <c r="J26" s="40">
        <v>75724</v>
      </c>
      <c r="K26" s="40">
        <v>194855</v>
      </c>
      <c r="L26" s="40">
        <v>134880</v>
      </c>
      <c r="M26" s="40">
        <v>72464</v>
      </c>
      <c r="N26" s="40">
        <v>179854</v>
      </c>
      <c r="O26" s="40">
        <v>0</v>
      </c>
      <c r="P26" s="40">
        <v>566</v>
      </c>
      <c r="Q26" s="40">
        <v>303</v>
      </c>
      <c r="R26" s="40">
        <v>63</v>
      </c>
      <c r="S26" s="40">
        <v>417</v>
      </c>
      <c r="T26" s="40">
        <v>10465</v>
      </c>
      <c r="U26" s="40">
        <v>37</v>
      </c>
      <c r="V26" s="40">
        <v>22256</v>
      </c>
      <c r="W26" s="40">
        <v>377206</v>
      </c>
      <c r="X26" s="40">
        <v>14459</v>
      </c>
      <c r="Y26" s="40">
        <v>2491</v>
      </c>
      <c r="Z26" s="40">
        <v>1687</v>
      </c>
      <c r="AA26" s="40">
        <v>208612</v>
      </c>
      <c r="AB26" s="40">
        <v>30824</v>
      </c>
      <c r="AC26" s="40">
        <v>13</v>
      </c>
      <c r="AD26" s="40">
        <v>43</v>
      </c>
      <c r="AE26" s="40">
        <v>48608</v>
      </c>
      <c r="AF26" s="40">
        <v>30</v>
      </c>
      <c r="AG26" s="40">
        <v>691</v>
      </c>
      <c r="AH26" s="40">
        <v>48</v>
      </c>
      <c r="AI26" s="40">
        <v>361</v>
      </c>
      <c r="AJ26" s="40">
        <v>581</v>
      </c>
      <c r="AK26" s="40">
        <v>3999</v>
      </c>
      <c r="AL26" s="40">
        <v>6921</v>
      </c>
      <c r="AM26" s="40">
        <v>296</v>
      </c>
      <c r="AN26" s="40">
        <v>359</v>
      </c>
      <c r="AO26" s="40">
        <v>30257</v>
      </c>
      <c r="AP26" s="40">
        <v>344823</v>
      </c>
      <c r="AQ26" s="40">
        <v>843955</v>
      </c>
      <c r="AR26" s="40">
        <v>184540</v>
      </c>
      <c r="AS26" s="40">
        <v>120857</v>
      </c>
      <c r="AT26" s="40">
        <v>3551813</v>
      </c>
      <c r="AU26" s="40">
        <v>109411</v>
      </c>
      <c r="AV26" s="40">
        <v>3680007</v>
      </c>
      <c r="AW26" s="40">
        <v>1698909</v>
      </c>
      <c r="AX26" s="40">
        <v>9603277</v>
      </c>
      <c r="AY26" s="40">
        <v>22149</v>
      </c>
      <c r="AZ26" s="40">
        <v>4295296</v>
      </c>
      <c r="BA26" s="40">
        <v>4457223</v>
      </c>
      <c r="BB26" s="40">
        <v>45725</v>
      </c>
      <c r="BC26" s="40">
        <v>73401</v>
      </c>
      <c r="BD26" s="40">
        <v>11489</v>
      </c>
      <c r="BE26" s="40">
        <v>125454</v>
      </c>
      <c r="BF26" s="40">
        <v>282340</v>
      </c>
      <c r="BG26" s="40">
        <v>43621</v>
      </c>
      <c r="BH26" s="40">
        <v>19742</v>
      </c>
      <c r="BI26" s="40">
        <v>7442</v>
      </c>
      <c r="BJ26" s="40">
        <v>148312</v>
      </c>
      <c r="BK26" s="40">
        <v>564162</v>
      </c>
      <c r="BL26" s="40">
        <v>802712</v>
      </c>
      <c r="BM26" s="40">
        <v>4633798</v>
      </c>
      <c r="BN26" s="40">
        <v>932339</v>
      </c>
      <c r="BO26" s="40">
        <v>1587766</v>
      </c>
      <c r="BP26" s="40">
        <v>37014</v>
      </c>
      <c r="BQ26" s="40">
        <v>144229</v>
      </c>
      <c r="BR26" s="40">
        <v>200367</v>
      </c>
      <c r="BS26" s="40">
        <v>0</v>
      </c>
      <c r="BT26" s="40">
        <v>42560623</v>
      </c>
      <c r="BU26" s="40">
        <v>680668</v>
      </c>
      <c r="BV26" s="40">
        <v>0</v>
      </c>
      <c r="BW26" s="40">
        <v>0</v>
      </c>
      <c r="BX26" s="40">
        <v>680668</v>
      </c>
      <c r="BY26" s="40">
        <v>0</v>
      </c>
      <c r="BZ26" s="40">
        <v>0</v>
      </c>
      <c r="CA26" s="40">
        <v>0</v>
      </c>
      <c r="CB26" s="40">
        <v>0</v>
      </c>
      <c r="CC26" s="40">
        <v>0</v>
      </c>
      <c r="CD26" s="40">
        <v>680668</v>
      </c>
      <c r="CE26" s="40">
        <v>43241291</v>
      </c>
      <c r="CF26" s="41"/>
      <c r="CG26" s="41"/>
      <c r="CH26" s="42"/>
    </row>
    <row r="27" spans="1:86" ht="22.5">
      <c r="A27" s="38">
        <v>21</v>
      </c>
      <c r="B27" s="65" t="s">
        <v>99</v>
      </c>
      <c r="C27" s="39" t="s">
        <v>176</v>
      </c>
      <c r="D27" s="40">
        <v>10705549</v>
      </c>
      <c r="E27" s="40">
        <v>3</v>
      </c>
      <c r="F27" s="40">
        <v>13618</v>
      </c>
      <c r="G27" s="40">
        <v>126735</v>
      </c>
      <c r="H27" s="40">
        <v>5358135</v>
      </c>
      <c r="I27" s="40">
        <v>252637</v>
      </c>
      <c r="J27" s="40">
        <v>2710999</v>
      </c>
      <c r="K27" s="40">
        <v>9075692</v>
      </c>
      <c r="L27" s="40">
        <v>9954</v>
      </c>
      <c r="M27" s="40">
        <v>181675</v>
      </c>
      <c r="N27" s="40">
        <v>421464</v>
      </c>
      <c r="O27" s="40">
        <v>0</v>
      </c>
      <c r="P27" s="40">
        <v>18561</v>
      </c>
      <c r="Q27" s="40">
        <v>8903</v>
      </c>
      <c r="R27" s="40">
        <v>85013</v>
      </c>
      <c r="S27" s="40">
        <v>67403</v>
      </c>
      <c r="T27" s="40">
        <v>364467</v>
      </c>
      <c r="U27" s="40">
        <v>60358</v>
      </c>
      <c r="V27" s="40">
        <v>42</v>
      </c>
      <c r="W27" s="40">
        <v>2617660</v>
      </c>
      <c r="X27" s="40">
        <v>4364360</v>
      </c>
      <c r="Y27" s="40">
        <v>604815</v>
      </c>
      <c r="Z27" s="40">
        <v>4953510</v>
      </c>
      <c r="AA27" s="40">
        <v>950565</v>
      </c>
      <c r="AB27" s="40">
        <v>17043</v>
      </c>
      <c r="AC27" s="40">
        <v>308</v>
      </c>
      <c r="AD27" s="40">
        <v>3853</v>
      </c>
      <c r="AE27" s="40">
        <v>230622</v>
      </c>
      <c r="AF27" s="40">
        <v>0</v>
      </c>
      <c r="AG27" s="40">
        <v>1831</v>
      </c>
      <c r="AH27" s="40">
        <v>1195</v>
      </c>
      <c r="AI27" s="40">
        <v>26247</v>
      </c>
      <c r="AJ27" s="40">
        <v>68001</v>
      </c>
      <c r="AK27" s="40">
        <v>1304799</v>
      </c>
      <c r="AL27" s="40">
        <v>1189102</v>
      </c>
      <c r="AM27" s="40">
        <v>34761</v>
      </c>
      <c r="AN27" s="40">
        <v>468</v>
      </c>
      <c r="AO27" s="40">
        <v>62642</v>
      </c>
      <c r="AP27" s="40">
        <v>390185</v>
      </c>
      <c r="AQ27" s="40">
        <v>96558</v>
      </c>
      <c r="AR27" s="40">
        <v>213563</v>
      </c>
      <c r="AS27" s="40">
        <v>29541</v>
      </c>
      <c r="AT27" s="40">
        <v>2164637</v>
      </c>
      <c r="AU27" s="40">
        <v>10699</v>
      </c>
      <c r="AV27" s="40">
        <v>776656</v>
      </c>
      <c r="AW27" s="40">
        <v>99758</v>
      </c>
      <c r="AX27" s="40">
        <v>1504200</v>
      </c>
      <c r="AY27" s="40">
        <v>0</v>
      </c>
      <c r="AZ27" s="40">
        <v>172469</v>
      </c>
      <c r="BA27" s="40">
        <v>72225</v>
      </c>
      <c r="BB27" s="40">
        <v>1297</v>
      </c>
      <c r="BC27" s="40">
        <v>96610</v>
      </c>
      <c r="BD27" s="40">
        <v>86563</v>
      </c>
      <c r="BE27" s="40">
        <v>54301</v>
      </c>
      <c r="BF27" s="40">
        <v>0</v>
      </c>
      <c r="BG27" s="40">
        <v>38375</v>
      </c>
      <c r="BH27" s="40">
        <v>4390</v>
      </c>
      <c r="BI27" s="40">
        <v>1628</v>
      </c>
      <c r="BJ27" s="40">
        <v>456090</v>
      </c>
      <c r="BK27" s="40">
        <v>2073634</v>
      </c>
      <c r="BL27" s="40">
        <v>528960</v>
      </c>
      <c r="BM27" s="40">
        <v>419475</v>
      </c>
      <c r="BN27" s="40">
        <v>2022078</v>
      </c>
      <c r="BO27" s="40">
        <v>6738434</v>
      </c>
      <c r="BP27" s="40">
        <v>17783</v>
      </c>
      <c r="BQ27" s="40">
        <v>612206</v>
      </c>
      <c r="BR27" s="40">
        <v>48608</v>
      </c>
      <c r="BS27" s="40">
        <v>0</v>
      </c>
      <c r="BT27" s="40">
        <v>64623913</v>
      </c>
      <c r="BU27" s="40">
        <v>15218379</v>
      </c>
      <c r="BV27" s="40">
        <v>0</v>
      </c>
      <c r="BW27" s="40">
        <v>0</v>
      </c>
      <c r="BX27" s="40">
        <v>15218379</v>
      </c>
      <c r="BY27" s="40">
        <v>0</v>
      </c>
      <c r="BZ27" s="40">
        <v>0</v>
      </c>
      <c r="CA27" s="40">
        <v>0</v>
      </c>
      <c r="CB27" s="40">
        <v>0</v>
      </c>
      <c r="CC27" s="40">
        <v>0</v>
      </c>
      <c r="CD27" s="40">
        <v>15218379</v>
      </c>
      <c r="CE27" s="40">
        <v>79842292</v>
      </c>
      <c r="CF27" s="41"/>
      <c r="CG27" s="41"/>
      <c r="CH27" s="42"/>
    </row>
    <row r="28" spans="1:86" ht="22.5">
      <c r="A28" s="38">
        <v>22</v>
      </c>
      <c r="B28" s="65" t="s">
        <v>69</v>
      </c>
      <c r="C28" s="39" t="s">
        <v>68</v>
      </c>
      <c r="D28" s="40">
        <v>53214</v>
      </c>
      <c r="E28" s="40">
        <v>1</v>
      </c>
      <c r="F28" s="40">
        <v>0</v>
      </c>
      <c r="G28" s="40">
        <v>0</v>
      </c>
      <c r="H28" s="40">
        <v>2162</v>
      </c>
      <c r="I28" s="40">
        <v>102</v>
      </c>
      <c r="J28" s="40">
        <v>0</v>
      </c>
      <c r="K28" s="40">
        <v>1661</v>
      </c>
      <c r="L28" s="40">
        <v>0</v>
      </c>
      <c r="M28" s="40">
        <v>219</v>
      </c>
      <c r="N28" s="40">
        <v>30988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3675</v>
      </c>
      <c r="X28" s="40">
        <v>0</v>
      </c>
      <c r="Y28" s="40">
        <v>0</v>
      </c>
      <c r="Z28" s="40">
        <v>0</v>
      </c>
      <c r="AA28" s="40">
        <v>2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40">
        <v>0</v>
      </c>
      <c r="AJ28" s="40">
        <v>1</v>
      </c>
      <c r="AK28" s="40">
        <v>0</v>
      </c>
      <c r="AL28" s="40">
        <v>0</v>
      </c>
      <c r="AM28" s="40">
        <v>0</v>
      </c>
      <c r="AN28" s="40">
        <v>0</v>
      </c>
      <c r="AO28" s="40">
        <v>2620</v>
      </c>
      <c r="AP28" s="40">
        <v>484</v>
      </c>
      <c r="AQ28" s="40">
        <v>3</v>
      </c>
      <c r="AR28" s="40">
        <v>66</v>
      </c>
      <c r="AS28" s="40">
        <v>2225</v>
      </c>
      <c r="AT28" s="40">
        <v>193</v>
      </c>
      <c r="AU28" s="40">
        <v>147</v>
      </c>
      <c r="AV28" s="40">
        <v>12130</v>
      </c>
      <c r="AW28" s="40">
        <v>46291</v>
      </c>
      <c r="AX28" s="40">
        <v>43</v>
      </c>
      <c r="AY28" s="40">
        <v>0</v>
      </c>
      <c r="AZ28" s="40">
        <v>221</v>
      </c>
      <c r="BA28" s="40">
        <v>0</v>
      </c>
      <c r="BB28" s="40">
        <v>0</v>
      </c>
      <c r="BC28" s="40">
        <v>13</v>
      </c>
      <c r="BD28" s="40">
        <v>7</v>
      </c>
      <c r="BE28" s="40">
        <v>1</v>
      </c>
      <c r="BF28" s="40">
        <v>0</v>
      </c>
      <c r="BG28" s="40">
        <v>33</v>
      </c>
      <c r="BH28" s="40">
        <v>0</v>
      </c>
      <c r="BI28" s="40">
        <v>0</v>
      </c>
      <c r="BJ28" s="40">
        <v>0</v>
      </c>
      <c r="BK28" s="40">
        <v>932678</v>
      </c>
      <c r="BL28" s="40">
        <v>136</v>
      </c>
      <c r="BM28" s="40">
        <v>292244</v>
      </c>
      <c r="BN28" s="40">
        <v>156817</v>
      </c>
      <c r="BO28" s="40">
        <v>17764002</v>
      </c>
      <c r="BP28" s="40">
        <v>33096</v>
      </c>
      <c r="BQ28" s="40">
        <v>5867</v>
      </c>
      <c r="BR28" s="40">
        <v>2004</v>
      </c>
      <c r="BS28" s="40">
        <v>0</v>
      </c>
      <c r="BT28" s="40">
        <v>19343346</v>
      </c>
      <c r="BU28" s="40">
        <v>6825160</v>
      </c>
      <c r="BV28" s="40">
        <v>0</v>
      </c>
      <c r="BW28" s="40">
        <v>0</v>
      </c>
      <c r="BX28" s="40">
        <v>6825160</v>
      </c>
      <c r="BY28" s="40">
        <v>0</v>
      </c>
      <c r="BZ28" s="40">
        <v>0</v>
      </c>
      <c r="CA28" s="40">
        <v>0</v>
      </c>
      <c r="CB28" s="40">
        <v>0</v>
      </c>
      <c r="CC28" s="40">
        <v>0</v>
      </c>
      <c r="CD28" s="40">
        <v>6825160</v>
      </c>
      <c r="CE28" s="40">
        <v>26168506</v>
      </c>
      <c r="CF28" s="41"/>
      <c r="CG28" s="41"/>
      <c r="CH28" s="42"/>
    </row>
    <row r="29" spans="1:86">
      <c r="A29" s="38">
        <v>23</v>
      </c>
      <c r="B29" s="65" t="s">
        <v>98</v>
      </c>
      <c r="C29" s="39" t="s">
        <v>175</v>
      </c>
      <c r="D29" s="40">
        <v>48089</v>
      </c>
      <c r="E29" s="40">
        <v>20</v>
      </c>
      <c r="F29" s="40">
        <v>19</v>
      </c>
      <c r="G29" s="40">
        <v>127215</v>
      </c>
      <c r="H29" s="40">
        <v>1079599</v>
      </c>
      <c r="I29" s="40">
        <v>50889</v>
      </c>
      <c r="J29" s="40">
        <v>27276</v>
      </c>
      <c r="K29" s="40">
        <v>222857</v>
      </c>
      <c r="L29" s="40">
        <v>26422</v>
      </c>
      <c r="M29" s="40">
        <v>75443</v>
      </c>
      <c r="N29" s="40">
        <v>686635</v>
      </c>
      <c r="O29" s="40">
        <v>0</v>
      </c>
      <c r="P29" s="40">
        <v>28</v>
      </c>
      <c r="Q29" s="40">
        <v>53</v>
      </c>
      <c r="R29" s="40">
        <v>7357</v>
      </c>
      <c r="S29" s="40">
        <v>18</v>
      </c>
      <c r="T29" s="40">
        <v>169938</v>
      </c>
      <c r="U29" s="40">
        <v>269</v>
      </c>
      <c r="V29" s="40">
        <v>465</v>
      </c>
      <c r="W29" s="40">
        <v>41133</v>
      </c>
      <c r="X29" s="40">
        <v>4342</v>
      </c>
      <c r="Y29" s="40">
        <v>5920</v>
      </c>
      <c r="Z29" s="40">
        <v>1006816</v>
      </c>
      <c r="AA29" s="40">
        <v>343188</v>
      </c>
      <c r="AB29" s="40">
        <v>1191</v>
      </c>
      <c r="AC29" s="40">
        <v>412</v>
      </c>
      <c r="AD29" s="40">
        <v>0</v>
      </c>
      <c r="AE29" s="40">
        <v>3080</v>
      </c>
      <c r="AF29" s="40">
        <v>65</v>
      </c>
      <c r="AG29" s="40">
        <v>23325</v>
      </c>
      <c r="AH29" s="40">
        <v>9701</v>
      </c>
      <c r="AI29" s="40">
        <v>490</v>
      </c>
      <c r="AJ29" s="40">
        <v>156978</v>
      </c>
      <c r="AK29" s="40">
        <v>4383859</v>
      </c>
      <c r="AL29" s="40">
        <v>257780</v>
      </c>
      <c r="AM29" s="40">
        <v>12797</v>
      </c>
      <c r="AN29" s="40">
        <v>13257</v>
      </c>
      <c r="AO29" s="40">
        <v>18174</v>
      </c>
      <c r="AP29" s="40">
        <v>54673</v>
      </c>
      <c r="AQ29" s="40">
        <v>45</v>
      </c>
      <c r="AR29" s="40">
        <v>22889</v>
      </c>
      <c r="AS29" s="40">
        <v>518746</v>
      </c>
      <c r="AT29" s="40">
        <v>10705709</v>
      </c>
      <c r="AU29" s="40">
        <v>30331</v>
      </c>
      <c r="AV29" s="40">
        <v>7223071</v>
      </c>
      <c r="AW29" s="40">
        <v>1193573</v>
      </c>
      <c r="AX29" s="40">
        <v>1013416</v>
      </c>
      <c r="AY29" s="40">
        <v>6175</v>
      </c>
      <c r="AZ29" s="40">
        <v>343488</v>
      </c>
      <c r="BA29" s="40">
        <v>72996</v>
      </c>
      <c r="BB29" s="40">
        <v>3273</v>
      </c>
      <c r="BC29" s="40">
        <v>2646</v>
      </c>
      <c r="BD29" s="40">
        <v>208489</v>
      </c>
      <c r="BE29" s="40">
        <v>24660</v>
      </c>
      <c r="BF29" s="40">
        <v>299183</v>
      </c>
      <c r="BG29" s="40">
        <v>23259</v>
      </c>
      <c r="BH29" s="40">
        <v>17324</v>
      </c>
      <c r="BI29" s="40">
        <v>9197</v>
      </c>
      <c r="BJ29" s="40">
        <v>94415</v>
      </c>
      <c r="BK29" s="40">
        <v>206046</v>
      </c>
      <c r="BL29" s="40">
        <v>1137483</v>
      </c>
      <c r="BM29" s="40">
        <v>621329</v>
      </c>
      <c r="BN29" s="40">
        <v>924048</v>
      </c>
      <c r="BO29" s="40">
        <v>2374222</v>
      </c>
      <c r="BP29" s="40">
        <v>11906</v>
      </c>
      <c r="BQ29" s="40">
        <v>23619</v>
      </c>
      <c r="BR29" s="40">
        <v>120123</v>
      </c>
      <c r="BS29" s="40">
        <v>0</v>
      </c>
      <c r="BT29" s="40">
        <v>36091434</v>
      </c>
      <c r="BU29" s="40">
        <v>5300507</v>
      </c>
      <c r="BV29" s="40">
        <v>0</v>
      </c>
      <c r="BW29" s="40">
        <v>0</v>
      </c>
      <c r="BX29" s="40">
        <v>5300507</v>
      </c>
      <c r="BY29" s="40">
        <v>0</v>
      </c>
      <c r="BZ29" s="40">
        <v>0</v>
      </c>
      <c r="CA29" s="40">
        <v>0</v>
      </c>
      <c r="CB29" s="40">
        <v>0</v>
      </c>
      <c r="CC29" s="40">
        <v>0</v>
      </c>
      <c r="CD29" s="40">
        <v>5300507</v>
      </c>
      <c r="CE29" s="40">
        <v>41391941</v>
      </c>
      <c r="CF29" s="41"/>
      <c r="CG29" s="41"/>
      <c r="CH29" s="42"/>
    </row>
    <row r="30" spans="1:86" ht="22.5">
      <c r="A30" s="38">
        <v>24</v>
      </c>
      <c r="B30" s="65" t="s">
        <v>97</v>
      </c>
      <c r="C30" s="39" t="s">
        <v>67</v>
      </c>
      <c r="D30" s="40">
        <v>60468</v>
      </c>
      <c r="E30" s="40">
        <v>0</v>
      </c>
      <c r="F30" s="40">
        <v>604</v>
      </c>
      <c r="G30" s="40">
        <v>815</v>
      </c>
      <c r="H30" s="40">
        <v>185895</v>
      </c>
      <c r="I30" s="40">
        <v>8771</v>
      </c>
      <c r="J30" s="40">
        <v>11303</v>
      </c>
      <c r="K30" s="40">
        <v>481078</v>
      </c>
      <c r="L30" s="40">
        <v>148931</v>
      </c>
      <c r="M30" s="40">
        <v>174642</v>
      </c>
      <c r="N30" s="40">
        <v>372282</v>
      </c>
      <c r="O30" s="40">
        <v>0</v>
      </c>
      <c r="P30" s="40">
        <v>0</v>
      </c>
      <c r="Q30" s="40">
        <v>0</v>
      </c>
      <c r="R30" s="40">
        <v>19</v>
      </c>
      <c r="S30" s="40">
        <v>0</v>
      </c>
      <c r="T30" s="40">
        <v>0</v>
      </c>
      <c r="U30" s="40">
        <v>0</v>
      </c>
      <c r="V30" s="40">
        <v>5942</v>
      </c>
      <c r="W30" s="40">
        <v>31339</v>
      </c>
      <c r="X30" s="40">
        <v>2237</v>
      </c>
      <c r="Y30" s="40">
        <v>60246</v>
      </c>
      <c r="Z30" s="40">
        <v>1231</v>
      </c>
      <c r="AA30" s="40">
        <v>4794304</v>
      </c>
      <c r="AB30" s="40">
        <v>296702</v>
      </c>
      <c r="AC30" s="40">
        <v>0</v>
      </c>
      <c r="AD30" s="40">
        <v>9066</v>
      </c>
      <c r="AE30" s="40">
        <v>19648</v>
      </c>
      <c r="AF30" s="40">
        <v>582</v>
      </c>
      <c r="AG30" s="40">
        <v>2131</v>
      </c>
      <c r="AH30" s="40">
        <v>13</v>
      </c>
      <c r="AI30" s="40">
        <v>267</v>
      </c>
      <c r="AJ30" s="40">
        <v>7028</v>
      </c>
      <c r="AK30" s="40">
        <v>780345</v>
      </c>
      <c r="AL30" s="40">
        <v>81904</v>
      </c>
      <c r="AM30" s="40">
        <v>1729</v>
      </c>
      <c r="AN30" s="40">
        <v>326</v>
      </c>
      <c r="AO30" s="40">
        <v>57125</v>
      </c>
      <c r="AP30" s="40">
        <v>355010</v>
      </c>
      <c r="AQ30" s="40">
        <v>0</v>
      </c>
      <c r="AR30" s="40">
        <v>20645</v>
      </c>
      <c r="AS30" s="40">
        <v>14180</v>
      </c>
      <c r="AT30" s="40">
        <v>46995897</v>
      </c>
      <c r="AU30" s="40">
        <v>0</v>
      </c>
      <c r="AV30" s="40">
        <v>1295134</v>
      </c>
      <c r="AW30" s="40">
        <v>71913</v>
      </c>
      <c r="AX30" s="40">
        <v>141261</v>
      </c>
      <c r="AY30" s="40">
        <v>0</v>
      </c>
      <c r="AZ30" s="40">
        <v>85955</v>
      </c>
      <c r="BA30" s="40">
        <v>180600</v>
      </c>
      <c r="BB30" s="40">
        <v>0</v>
      </c>
      <c r="BC30" s="40">
        <v>495512</v>
      </c>
      <c r="BD30" s="40">
        <v>402929</v>
      </c>
      <c r="BE30" s="40">
        <v>22</v>
      </c>
      <c r="BF30" s="40">
        <v>1331</v>
      </c>
      <c r="BG30" s="40">
        <v>252</v>
      </c>
      <c r="BH30" s="40">
        <v>0</v>
      </c>
      <c r="BI30" s="40">
        <v>46</v>
      </c>
      <c r="BJ30" s="40">
        <v>64293</v>
      </c>
      <c r="BK30" s="40">
        <v>123331</v>
      </c>
      <c r="BL30" s="40">
        <v>264709</v>
      </c>
      <c r="BM30" s="40">
        <v>60844</v>
      </c>
      <c r="BN30" s="40">
        <v>252373</v>
      </c>
      <c r="BO30" s="40">
        <v>670546</v>
      </c>
      <c r="BP30" s="40">
        <v>2949</v>
      </c>
      <c r="BQ30" s="40">
        <v>803873</v>
      </c>
      <c r="BR30" s="40">
        <v>751135</v>
      </c>
      <c r="BS30" s="40">
        <v>0</v>
      </c>
      <c r="BT30" s="40">
        <v>60651713</v>
      </c>
      <c r="BU30" s="40">
        <v>2085633</v>
      </c>
      <c r="BV30" s="40">
        <v>0</v>
      </c>
      <c r="BW30" s="40">
        <v>0</v>
      </c>
      <c r="BX30" s="40">
        <v>2085633</v>
      </c>
      <c r="BY30" s="40">
        <v>315229</v>
      </c>
      <c r="BZ30" s="40">
        <v>0</v>
      </c>
      <c r="CA30" s="40">
        <v>0</v>
      </c>
      <c r="CB30" s="40">
        <v>315229</v>
      </c>
      <c r="CC30" s="40">
        <v>0</v>
      </c>
      <c r="CD30" s="40">
        <v>2400862</v>
      </c>
      <c r="CE30" s="40">
        <v>63052575</v>
      </c>
      <c r="CF30" s="41"/>
      <c r="CG30" s="41"/>
      <c r="CH30" s="42"/>
    </row>
    <row r="31" spans="1:86" ht="22.5">
      <c r="A31" s="38">
        <v>25</v>
      </c>
      <c r="B31" s="65" t="s">
        <v>174</v>
      </c>
      <c r="C31" s="39" t="s">
        <v>173</v>
      </c>
      <c r="D31" s="40">
        <v>0</v>
      </c>
      <c r="E31" s="40">
        <v>0</v>
      </c>
      <c r="F31" s="40">
        <v>0</v>
      </c>
      <c r="G31" s="40">
        <v>636561</v>
      </c>
      <c r="H31" s="40">
        <v>347156</v>
      </c>
      <c r="I31" s="40">
        <v>0</v>
      </c>
      <c r="J31" s="40">
        <v>7218662</v>
      </c>
      <c r="K31" s="40">
        <v>3615642</v>
      </c>
      <c r="L31" s="40">
        <v>1158030</v>
      </c>
      <c r="M31" s="40">
        <v>8608999</v>
      </c>
      <c r="N31" s="40">
        <v>7185987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2379734</v>
      </c>
      <c r="W31" s="40">
        <v>3579149</v>
      </c>
      <c r="X31" s="40">
        <v>1309037</v>
      </c>
      <c r="Y31" s="40">
        <v>0</v>
      </c>
      <c r="Z31" s="40">
        <v>63345</v>
      </c>
      <c r="AA31" s="40">
        <v>6726941</v>
      </c>
      <c r="AB31" s="40">
        <v>33864978</v>
      </c>
      <c r="AC31" s="40">
        <v>3854717</v>
      </c>
      <c r="AD31" s="40">
        <v>4642081</v>
      </c>
      <c r="AE31" s="40">
        <v>296681</v>
      </c>
      <c r="AF31" s="40">
        <v>135926</v>
      </c>
      <c r="AG31" s="40">
        <v>8625011</v>
      </c>
      <c r="AH31" s="40">
        <v>3637</v>
      </c>
      <c r="AI31" s="40">
        <v>1028265</v>
      </c>
      <c r="AJ31" s="40">
        <v>8638007</v>
      </c>
      <c r="AK31" s="40">
        <v>11030098</v>
      </c>
      <c r="AL31" s="40">
        <v>7559234</v>
      </c>
      <c r="AM31" s="40">
        <v>0</v>
      </c>
      <c r="AN31" s="40">
        <v>118070</v>
      </c>
      <c r="AO31" s="40">
        <v>18824797</v>
      </c>
      <c r="AP31" s="40">
        <v>12089675</v>
      </c>
      <c r="AQ31" s="40">
        <v>0</v>
      </c>
      <c r="AR31" s="40">
        <v>3665949</v>
      </c>
      <c r="AS31" s="40">
        <v>2375984</v>
      </c>
      <c r="AT31" s="40">
        <v>32863208</v>
      </c>
      <c r="AU31" s="40">
        <v>0</v>
      </c>
      <c r="AV31" s="40">
        <v>6593150</v>
      </c>
      <c r="AW31" s="40">
        <v>1453395</v>
      </c>
      <c r="AX31" s="40">
        <v>13338954</v>
      </c>
      <c r="AY31" s="40">
        <v>0</v>
      </c>
      <c r="AZ31" s="40">
        <v>0</v>
      </c>
      <c r="BA31" s="40">
        <v>3477046</v>
      </c>
      <c r="BB31" s="40">
        <v>0</v>
      </c>
      <c r="BC31" s="40">
        <v>0</v>
      </c>
      <c r="BD31" s="40">
        <v>0</v>
      </c>
      <c r="BE31" s="40">
        <v>38</v>
      </c>
      <c r="BF31" s="40">
        <v>0</v>
      </c>
      <c r="BG31" s="40">
        <v>0</v>
      </c>
      <c r="BH31" s="40">
        <v>0</v>
      </c>
      <c r="BI31" s="40">
        <v>0</v>
      </c>
      <c r="BJ31" s="40">
        <v>17204</v>
      </c>
      <c r="BK31" s="40">
        <v>4550787</v>
      </c>
      <c r="BL31" s="40">
        <v>96425</v>
      </c>
      <c r="BM31" s="40">
        <v>0</v>
      </c>
      <c r="BN31" s="40">
        <v>0</v>
      </c>
      <c r="BO31" s="40">
        <v>0</v>
      </c>
      <c r="BP31" s="40">
        <v>0</v>
      </c>
      <c r="BQ31" s="40">
        <v>0</v>
      </c>
      <c r="BR31" s="40">
        <v>0</v>
      </c>
      <c r="BS31" s="40">
        <v>0</v>
      </c>
      <c r="BT31" s="40">
        <v>221972560</v>
      </c>
      <c r="BU31" s="40">
        <v>0</v>
      </c>
      <c r="BV31" s="40">
        <v>0</v>
      </c>
      <c r="BW31" s="40">
        <v>0</v>
      </c>
      <c r="BX31" s="40">
        <v>0</v>
      </c>
      <c r="BY31" s="40">
        <v>0</v>
      </c>
      <c r="BZ31" s="40">
        <v>0</v>
      </c>
      <c r="CA31" s="40">
        <v>0</v>
      </c>
      <c r="CB31" s="40">
        <v>0</v>
      </c>
      <c r="CC31" s="40">
        <v>0</v>
      </c>
      <c r="CD31" s="40">
        <v>0</v>
      </c>
      <c r="CE31" s="40">
        <v>221972560</v>
      </c>
      <c r="CF31" s="41"/>
      <c r="CG31" s="41"/>
      <c r="CH31" s="42"/>
    </row>
    <row r="32" spans="1:86" ht="33.75">
      <c r="A32" s="38">
        <v>26</v>
      </c>
      <c r="B32" s="65" t="s">
        <v>172</v>
      </c>
      <c r="C32" s="39" t="s">
        <v>171</v>
      </c>
      <c r="D32" s="40">
        <v>32551</v>
      </c>
      <c r="E32" s="40">
        <v>0</v>
      </c>
      <c r="F32" s="40">
        <v>0</v>
      </c>
      <c r="G32" s="40">
        <v>25008</v>
      </c>
      <c r="H32" s="40">
        <v>18295610</v>
      </c>
      <c r="I32" s="40">
        <v>0</v>
      </c>
      <c r="J32" s="40">
        <v>396287</v>
      </c>
      <c r="K32" s="40">
        <v>66696</v>
      </c>
      <c r="L32" s="40">
        <v>50403</v>
      </c>
      <c r="M32" s="40">
        <v>2648158</v>
      </c>
      <c r="N32" s="40">
        <v>3558</v>
      </c>
      <c r="O32" s="40">
        <v>0</v>
      </c>
      <c r="P32" s="40">
        <v>0</v>
      </c>
      <c r="Q32" s="40">
        <v>0</v>
      </c>
      <c r="R32" s="40">
        <v>1100</v>
      </c>
      <c r="S32" s="40">
        <v>0</v>
      </c>
      <c r="T32" s="40">
        <v>0</v>
      </c>
      <c r="U32" s="40">
        <v>0</v>
      </c>
      <c r="V32" s="40">
        <v>250257</v>
      </c>
      <c r="W32" s="40">
        <v>1080550</v>
      </c>
      <c r="X32" s="40">
        <v>16811</v>
      </c>
      <c r="Y32" s="40">
        <v>0</v>
      </c>
      <c r="Z32" s="40">
        <v>0</v>
      </c>
      <c r="AA32" s="40">
        <v>22265</v>
      </c>
      <c r="AB32" s="40">
        <v>2202</v>
      </c>
      <c r="AC32" s="40">
        <v>310001</v>
      </c>
      <c r="AD32" s="40">
        <v>58713</v>
      </c>
      <c r="AE32" s="40">
        <v>32970</v>
      </c>
      <c r="AF32" s="40">
        <v>0</v>
      </c>
      <c r="AG32" s="40">
        <v>105715</v>
      </c>
      <c r="AH32" s="40">
        <v>0</v>
      </c>
      <c r="AI32" s="40">
        <v>0</v>
      </c>
      <c r="AJ32" s="40">
        <v>585608</v>
      </c>
      <c r="AK32" s="40">
        <v>99408</v>
      </c>
      <c r="AL32" s="40">
        <v>5295</v>
      </c>
      <c r="AM32" s="40">
        <v>0</v>
      </c>
      <c r="AN32" s="40">
        <v>8905</v>
      </c>
      <c r="AO32" s="40">
        <v>994748</v>
      </c>
      <c r="AP32" s="40">
        <v>1626790</v>
      </c>
      <c r="AQ32" s="40">
        <v>11260</v>
      </c>
      <c r="AR32" s="40">
        <v>626986</v>
      </c>
      <c r="AS32" s="40">
        <v>114043</v>
      </c>
      <c r="AT32" s="40">
        <v>2881688</v>
      </c>
      <c r="AU32" s="40">
        <v>0</v>
      </c>
      <c r="AV32" s="40">
        <v>116214</v>
      </c>
      <c r="AW32" s="40">
        <v>18040</v>
      </c>
      <c r="AX32" s="40">
        <v>6832643</v>
      </c>
      <c r="AY32" s="40">
        <v>0</v>
      </c>
      <c r="AZ32" s="40">
        <v>0</v>
      </c>
      <c r="BA32" s="40">
        <v>12950</v>
      </c>
      <c r="BB32" s="40">
        <v>0</v>
      </c>
      <c r="BC32" s="40">
        <v>0</v>
      </c>
      <c r="BD32" s="40">
        <v>0</v>
      </c>
      <c r="BE32" s="40">
        <v>0</v>
      </c>
      <c r="BF32" s="40">
        <v>0</v>
      </c>
      <c r="BG32" s="40">
        <v>0</v>
      </c>
      <c r="BH32" s="40">
        <v>0</v>
      </c>
      <c r="BI32" s="40">
        <v>0</v>
      </c>
      <c r="BJ32" s="40">
        <v>33677</v>
      </c>
      <c r="BK32" s="40">
        <v>2337975</v>
      </c>
      <c r="BL32" s="40">
        <v>76753</v>
      </c>
      <c r="BM32" s="40">
        <v>0</v>
      </c>
      <c r="BN32" s="40">
        <v>0</v>
      </c>
      <c r="BO32" s="40">
        <v>0</v>
      </c>
      <c r="BP32" s="40">
        <v>0</v>
      </c>
      <c r="BQ32" s="40">
        <v>55457</v>
      </c>
      <c r="BR32" s="40">
        <v>0</v>
      </c>
      <c r="BS32" s="40">
        <v>0</v>
      </c>
      <c r="BT32" s="40">
        <v>39837295</v>
      </c>
      <c r="BU32" s="40">
        <v>59285</v>
      </c>
      <c r="BV32" s="40">
        <v>0</v>
      </c>
      <c r="BW32" s="40">
        <v>0</v>
      </c>
      <c r="BX32" s="40">
        <v>59285</v>
      </c>
      <c r="BY32" s="40">
        <v>0</v>
      </c>
      <c r="BZ32" s="40">
        <v>0</v>
      </c>
      <c r="CA32" s="40">
        <v>0</v>
      </c>
      <c r="CB32" s="40">
        <v>0</v>
      </c>
      <c r="CC32" s="40">
        <v>0</v>
      </c>
      <c r="CD32" s="40">
        <v>59285</v>
      </c>
      <c r="CE32" s="40">
        <v>39896580</v>
      </c>
      <c r="CF32" s="41"/>
      <c r="CG32" s="41"/>
      <c r="CH32" s="42"/>
    </row>
    <row r="33" spans="1:86" ht="22.5">
      <c r="A33" s="38">
        <v>27</v>
      </c>
      <c r="B33" s="65" t="s">
        <v>170</v>
      </c>
      <c r="C33" s="39" t="s">
        <v>169</v>
      </c>
      <c r="D33" s="40">
        <v>112326</v>
      </c>
      <c r="E33" s="40">
        <v>0</v>
      </c>
      <c r="F33" s="40">
        <v>82318</v>
      </c>
      <c r="G33" s="40">
        <v>0</v>
      </c>
      <c r="H33" s="40">
        <v>1182918</v>
      </c>
      <c r="I33" s="40">
        <v>0</v>
      </c>
      <c r="J33" s="40">
        <v>0</v>
      </c>
      <c r="K33" s="40">
        <v>373135</v>
      </c>
      <c r="L33" s="40">
        <v>246421</v>
      </c>
      <c r="M33" s="40">
        <v>0</v>
      </c>
      <c r="N33" s="40">
        <v>11512</v>
      </c>
      <c r="O33" s="40">
        <v>0</v>
      </c>
      <c r="P33" s="40">
        <v>6201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21040</v>
      </c>
      <c r="Y33" s="40">
        <v>0</v>
      </c>
      <c r="Z33" s="40">
        <v>0</v>
      </c>
      <c r="AA33" s="40">
        <v>860421</v>
      </c>
      <c r="AB33" s="40">
        <v>84664</v>
      </c>
      <c r="AC33" s="40">
        <v>0</v>
      </c>
      <c r="AD33" s="40">
        <v>713892</v>
      </c>
      <c r="AE33" s="40">
        <v>0</v>
      </c>
      <c r="AF33" s="40">
        <v>26873</v>
      </c>
      <c r="AG33" s="40">
        <v>1039983</v>
      </c>
      <c r="AH33" s="40">
        <v>100</v>
      </c>
      <c r="AI33" s="40">
        <v>18647</v>
      </c>
      <c r="AJ33" s="40">
        <v>433086</v>
      </c>
      <c r="AK33" s="40">
        <v>0</v>
      </c>
      <c r="AL33" s="40">
        <v>17</v>
      </c>
      <c r="AM33" s="40">
        <v>0</v>
      </c>
      <c r="AN33" s="40">
        <v>0</v>
      </c>
      <c r="AO33" s="40">
        <v>1518207</v>
      </c>
      <c r="AP33" s="40">
        <v>476349</v>
      </c>
      <c r="AQ33" s="40">
        <v>0</v>
      </c>
      <c r="AR33" s="40">
        <v>230770</v>
      </c>
      <c r="AS33" s="40">
        <v>161713</v>
      </c>
      <c r="AT33" s="40">
        <v>9251057</v>
      </c>
      <c r="AU33" s="40">
        <v>0</v>
      </c>
      <c r="AV33" s="40">
        <v>176126</v>
      </c>
      <c r="AW33" s="40">
        <v>87654</v>
      </c>
      <c r="AX33" s="40">
        <v>101581</v>
      </c>
      <c r="AY33" s="40">
        <v>0</v>
      </c>
      <c r="AZ33" s="40">
        <v>0</v>
      </c>
      <c r="BA33" s="40">
        <v>395</v>
      </c>
      <c r="BB33" s="40">
        <v>0</v>
      </c>
      <c r="BC33" s="40">
        <v>0</v>
      </c>
      <c r="BD33" s="40">
        <v>0</v>
      </c>
      <c r="BE33" s="40">
        <v>4724</v>
      </c>
      <c r="BF33" s="40">
        <v>0</v>
      </c>
      <c r="BG33" s="40">
        <v>0</v>
      </c>
      <c r="BH33" s="40">
        <v>0</v>
      </c>
      <c r="BI33" s="40">
        <v>0</v>
      </c>
      <c r="BJ33" s="40">
        <v>11192</v>
      </c>
      <c r="BK33" s="40">
        <v>472140</v>
      </c>
      <c r="BL33" s="40">
        <v>18209</v>
      </c>
      <c r="BM33" s="40">
        <v>0</v>
      </c>
      <c r="BN33" s="40">
        <v>0</v>
      </c>
      <c r="BO33" s="40">
        <v>0</v>
      </c>
      <c r="BP33" s="40">
        <v>0</v>
      </c>
      <c r="BQ33" s="40">
        <v>0</v>
      </c>
      <c r="BR33" s="40">
        <v>0</v>
      </c>
      <c r="BS33" s="40">
        <v>0</v>
      </c>
      <c r="BT33" s="40">
        <v>17723671</v>
      </c>
      <c r="BU33" s="40">
        <v>0</v>
      </c>
      <c r="BV33" s="40">
        <v>0</v>
      </c>
      <c r="BW33" s="40">
        <v>0</v>
      </c>
      <c r="BX33" s="40">
        <v>0</v>
      </c>
      <c r="BY33" s="40">
        <v>0</v>
      </c>
      <c r="BZ33" s="40">
        <v>0</v>
      </c>
      <c r="CA33" s="40">
        <v>0</v>
      </c>
      <c r="CB33" s="40">
        <v>0</v>
      </c>
      <c r="CC33" s="40">
        <v>0</v>
      </c>
      <c r="CD33" s="40">
        <v>0</v>
      </c>
      <c r="CE33" s="40">
        <v>17723671</v>
      </c>
      <c r="CF33" s="41"/>
      <c r="CG33" s="41"/>
      <c r="CH33" s="42"/>
    </row>
    <row r="34" spans="1:86" ht="22.5">
      <c r="A34" s="38">
        <v>28</v>
      </c>
      <c r="B34" s="65" t="s">
        <v>168</v>
      </c>
      <c r="C34" s="39" t="s">
        <v>167</v>
      </c>
      <c r="D34" s="40">
        <v>1398</v>
      </c>
      <c r="E34" s="40">
        <v>58</v>
      </c>
      <c r="F34" s="40">
        <v>0</v>
      </c>
      <c r="G34" s="40">
        <v>0</v>
      </c>
      <c r="H34" s="40">
        <v>421839</v>
      </c>
      <c r="I34" s="40">
        <v>0</v>
      </c>
      <c r="J34" s="40">
        <v>0</v>
      </c>
      <c r="K34" s="40">
        <v>85522743</v>
      </c>
      <c r="L34" s="40">
        <v>0</v>
      </c>
      <c r="M34" s="40">
        <v>66951</v>
      </c>
      <c r="N34" s="40">
        <v>39543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10410</v>
      </c>
      <c r="U34" s="40">
        <v>0</v>
      </c>
      <c r="V34" s="40">
        <v>0</v>
      </c>
      <c r="W34" s="40">
        <v>301563</v>
      </c>
      <c r="X34" s="40">
        <v>156726</v>
      </c>
      <c r="Y34" s="40">
        <v>56617</v>
      </c>
      <c r="Z34" s="40">
        <v>21617</v>
      </c>
      <c r="AA34" s="40">
        <v>1008901</v>
      </c>
      <c r="AB34" s="40">
        <v>12677009</v>
      </c>
      <c r="AC34" s="40">
        <v>0</v>
      </c>
      <c r="AD34" s="40">
        <v>59672</v>
      </c>
      <c r="AE34" s="40">
        <v>18265262</v>
      </c>
      <c r="AF34" s="40">
        <v>602354</v>
      </c>
      <c r="AG34" s="40">
        <v>2458026</v>
      </c>
      <c r="AH34" s="40">
        <v>982011</v>
      </c>
      <c r="AI34" s="40">
        <v>5251061</v>
      </c>
      <c r="AJ34" s="40">
        <v>1877444</v>
      </c>
      <c r="AK34" s="40">
        <v>4130618</v>
      </c>
      <c r="AL34" s="40">
        <v>1754546</v>
      </c>
      <c r="AM34" s="40">
        <v>164651</v>
      </c>
      <c r="AN34" s="40">
        <v>1079140</v>
      </c>
      <c r="AO34" s="40">
        <v>468323</v>
      </c>
      <c r="AP34" s="40">
        <v>5746801</v>
      </c>
      <c r="AQ34" s="40">
        <v>0</v>
      </c>
      <c r="AR34" s="40">
        <v>3109</v>
      </c>
      <c r="AS34" s="40">
        <v>1832500</v>
      </c>
      <c r="AT34" s="40">
        <v>99478997</v>
      </c>
      <c r="AU34" s="40">
        <v>490854</v>
      </c>
      <c r="AV34" s="40">
        <v>0</v>
      </c>
      <c r="AW34" s="40">
        <v>0</v>
      </c>
      <c r="AX34" s="40">
        <v>128288</v>
      </c>
      <c r="AY34" s="40">
        <v>0</v>
      </c>
      <c r="AZ34" s="40">
        <v>0</v>
      </c>
      <c r="BA34" s="40">
        <v>0</v>
      </c>
      <c r="BB34" s="40">
        <v>0</v>
      </c>
      <c r="BC34" s="40">
        <v>0</v>
      </c>
      <c r="BD34" s="40">
        <v>0</v>
      </c>
      <c r="BE34" s="40">
        <v>1301</v>
      </c>
      <c r="BF34" s="40">
        <v>48401</v>
      </c>
      <c r="BG34" s="40">
        <v>22210616</v>
      </c>
      <c r="BH34" s="40">
        <v>0</v>
      </c>
      <c r="BI34" s="40">
        <v>0</v>
      </c>
      <c r="BJ34" s="40">
        <v>75374</v>
      </c>
      <c r="BK34" s="40">
        <v>10523784</v>
      </c>
      <c r="BL34" s="40">
        <v>13670</v>
      </c>
      <c r="BM34" s="40">
        <v>0</v>
      </c>
      <c r="BN34" s="40">
        <v>7103</v>
      </c>
      <c r="BO34" s="40">
        <v>12309</v>
      </c>
      <c r="BP34" s="40">
        <v>18</v>
      </c>
      <c r="BQ34" s="40">
        <v>28160</v>
      </c>
      <c r="BR34" s="40">
        <v>0</v>
      </c>
      <c r="BS34" s="40">
        <v>0</v>
      </c>
      <c r="BT34" s="40">
        <v>277979768</v>
      </c>
      <c r="BU34" s="40">
        <v>0</v>
      </c>
      <c r="BV34" s="40">
        <v>0</v>
      </c>
      <c r="BW34" s="40">
        <v>0</v>
      </c>
      <c r="BX34" s="40">
        <v>0</v>
      </c>
      <c r="BY34" s="40">
        <v>0</v>
      </c>
      <c r="BZ34" s="40">
        <v>0</v>
      </c>
      <c r="CA34" s="40">
        <v>0</v>
      </c>
      <c r="CB34" s="40">
        <v>0</v>
      </c>
      <c r="CC34" s="40">
        <v>0</v>
      </c>
      <c r="CD34" s="40">
        <v>0</v>
      </c>
      <c r="CE34" s="40">
        <v>277979768</v>
      </c>
      <c r="CF34" s="41"/>
      <c r="CG34" s="41"/>
      <c r="CH34" s="42"/>
    </row>
    <row r="35" spans="1:86">
      <c r="A35" s="38">
        <v>29</v>
      </c>
      <c r="B35" s="65" t="s">
        <v>166</v>
      </c>
      <c r="C35" s="39" t="s">
        <v>165</v>
      </c>
      <c r="D35" s="40">
        <v>2864</v>
      </c>
      <c r="E35" s="40">
        <v>0</v>
      </c>
      <c r="F35" s="40">
        <v>8</v>
      </c>
      <c r="G35" s="40">
        <v>0</v>
      </c>
      <c r="H35" s="40">
        <v>1541822</v>
      </c>
      <c r="I35" s="40">
        <v>72617</v>
      </c>
      <c r="J35" s="40">
        <v>0</v>
      </c>
      <c r="K35" s="40">
        <v>3408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695601</v>
      </c>
      <c r="X35" s="40">
        <v>0</v>
      </c>
      <c r="Y35" s="40">
        <v>0</v>
      </c>
      <c r="Z35" s="40">
        <v>197</v>
      </c>
      <c r="AA35" s="40">
        <v>5947</v>
      </c>
      <c r="AB35" s="40">
        <v>0</v>
      </c>
      <c r="AC35" s="40">
        <v>0</v>
      </c>
      <c r="AD35" s="40">
        <v>0</v>
      </c>
      <c r="AE35" s="40">
        <v>64</v>
      </c>
      <c r="AF35" s="40">
        <v>0</v>
      </c>
      <c r="AG35" s="40">
        <v>27172</v>
      </c>
      <c r="AH35" s="40">
        <v>0</v>
      </c>
      <c r="AI35" s="40">
        <v>0</v>
      </c>
      <c r="AJ35" s="40">
        <v>1318</v>
      </c>
      <c r="AK35" s="40">
        <v>0</v>
      </c>
      <c r="AL35" s="40">
        <v>1403</v>
      </c>
      <c r="AM35" s="40">
        <v>0</v>
      </c>
      <c r="AN35" s="40">
        <v>0</v>
      </c>
      <c r="AO35" s="40">
        <v>2567</v>
      </c>
      <c r="AP35" s="40">
        <v>7709</v>
      </c>
      <c r="AQ35" s="40">
        <v>33777</v>
      </c>
      <c r="AR35" s="40">
        <v>42984</v>
      </c>
      <c r="AS35" s="40">
        <v>117968</v>
      </c>
      <c r="AT35" s="40">
        <v>255764</v>
      </c>
      <c r="AU35" s="40">
        <v>0</v>
      </c>
      <c r="AV35" s="40">
        <v>79254</v>
      </c>
      <c r="AW35" s="40">
        <v>0</v>
      </c>
      <c r="AX35" s="40">
        <v>314380</v>
      </c>
      <c r="AY35" s="40">
        <v>0</v>
      </c>
      <c r="AZ35" s="40">
        <v>0</v>
      </c>
      <c r="BA35" s="40">
        <v>0</v>
      </c>
      <c r="BB35" s="40">
        <v>0</v>
      </c>
      <c r="BC35" s="40">
        <v>0</v>
      </c>
      <c r="BD35" s="40">
        <v>0</v>
      </c>
      <c r="BE35" s="40">
        <v>0</v>
      </c>
      <c r="BF35" s="40">
        <v>0</v>
      </c>
      <c r="BG35" s="40">
        <v>0</v>
      </c>
      <c r="BH35" s="40">
        <v>0</v>
      </c>
      <c r="BI35" s="40">
        <v>0</v>
      </c>
      <c r="BJ35" s="40">
        <v>14953</v>
      </c>
      <c r="BK35" s="40">
        <v>32364</v>
      </c>
      <c r="BL35" s="40">
        <v>0</v>
      </c>
      <c r="BM35" s="40">
        <v>0</v>
      </c>
      <c r="BN35" s="40">
        <v>0</v>
      </c>
      <c r="BO35" s="40">
        <v>0</v>
      </c>
      <c r="BP35" s="40">
        <v>0</v>
      </c>
      <c r="BQ35" s="40">
        <v>0</v>
      </c>
      <c r="BR35" s="40">
        <v>0</v>
      </c>
      <c r="BS35" s="40">
        <v>0</v>
      </c>
      <c r="BT35" s="40">
        <v>3254141</v>
      </c>
      <c r="BU35" s="40">
        <v>0</v>
      </c>
      <c r="BV35" s="40">
        <v>0</v>
      </c>
      <c r="BW35" s="40">
        <v>0</v>
      </c>
      <c r="BX35" s="40">
        <v>0</v>
      </c>
      <c r="BY35" s="40">
        <v>0</v>
      </c>
      <c r="BZ35" s="40">
        <v>0</v>
      </c>
      <c r="CA35" s="40">
        <v>0</v>
      </c>
      <c r="CB35" s="40">
        <v>0</v>
      </c>
      <c r="CC35" s="40">
        <v>0</v>
      </c>
      <c r="CD35" s="40">
        <v>0</v>
      </c>
      <c r="CE35" s="40">
        <v>3254141</v>
      </c>
      <c r="CF35" s="41"/>
      <c r="CG35" s="41"/>
      <c r="CH35" s="42"/>
    </row>
    <row r="36" spans="1:86" ht="22.5">
      <c r="A36" s="38">
        <v>30</v>
      </c>
      <c r="B36" s="65" t="s">
        <v>66</v>
      </c>
      <c r="C36" s="39" t="s">
        <v>65</v>
      </c>
      <c r="D36" s="40">
        <v>583415</v>
      </c>
      <c r="E36" s="40">
        <v>422</v>
      </c>
      <c r="F36" s="40">
        <v>3232</v>
      </c>
      <c r="G36" s="40">
        <v>1135165</v>
      </c>
      <c r="H36" s="40">
        <v>2083866</v>
      </c>
      <c r="I36" s="40">
        <v>98041</v>
      </c>
      <c r="J36" s="40">
        <v>19170</v>
      </c>
      <c r="K36" s="40">
        <v>264240</v>
      </c>
      <c r="L36" s="40">
        <v>852807</v>
      </c>
      <c r="M36" s="40">
        <v>55903</v>
      </c>
      <c r="N36" s="40">
        <v>30572</v>
      </c>
      <c r="O36" s="40">
        <v>0</v>
      </c>
      <c r="P36" s="40">
        <v>905</v>
      </c>
      <c r="Q36" s="40">
        <v>680</v>
      </c>
      <c r="R36" s="40">
        <v>356</v>
      </c>
      <c r="S36" s="40">
        <v>0</v>
      </c>
      <c r="T36" s="40">
        <v>0</v>
      </c>
      <c r="U36" s="40">
        <v>0</v>
      </c>
      <c r="V36" s="40">
        <v>8960</v>
      </c>
      <c r="W36" s="40">
        <v>31840</v>
      </c>
      <c r="X36" s="40">
        <v>0</v>
      </c>
      <c r="Y36" s="40">
        <v>0</v>
      </c>
      <c r="Z36" s="40">
        <v>0</v>
      </c>
      <c r="AA36" s="40">
        <v>701934</v>
      </c>
      <c r="AB36" s="40">
        <v>30672</v>
      </c>
      <c r="AC36" s="40">
        <v>0</v>
      </c>
      <c r="AD36" s="40">
        <v>6</v>
      </c>
      <c r="AE36" s="40">
        <v>14726</v>
      </c>
      <c r="AF36" s="40">
        <v>36</v>
      </c>
      <c r="AG36" s="40">
        <v>43418</v>
      </c>
      <c r="AH36" s="40">
        <v>71</v>
      </c>
      <c r="AI36" s="40">
        <v>3746</v>
      </c>
      <c r="AJ36" s="40">
        <v>4970</v>
      </c>
      <c r="AK36" s="40">
        <v>150067</v>
      </c>
      <c r="AL36" s="40">
        <v>79294</v>
      </c>
      <c r="AM36" s="40">
        <v>47961</v>
      </c>
      <c r="AN36" s="40">
        <v>2123</v>
      </c>
      <c r="AO36" s="40">
        <v>391183</v>
      </c>
      <c r="AP36" s="40">
        <v>288784</v>
      </c>
      <c r="AQ36" s="40">
        <v>215698</v>
      </c>
      <c r="AR36" s="40">
        <v>240187</v>
      </c>
      <c r="AS36" s="40">
        <v>273171</v>
      </c>
      <c r="AT36" s="40">
        <v>4451035</v>
      </c>
      <c r="AU36" s="40">
        <v>3423397</v>
      </c>
      <c r="AV36" s="40">
        <v>2273344</v>
      </c>
      <c r="AW36" s="40">
        <v>3636015</v>
      </c>
      <c r="AX36" s="40">
        <v>1897179</v>
      </c>
      <c r="AY36" s="40">
        <v>0</v>
      </c>
      <c r="AZ36" s="40">
        <v>10618</v>
      </c>
      <c r="BA36" s="40">
        <v>643012</v>
      </c>
      <c r="BB36" s="40">
        <v>15827</v>
      </c>
      <c r="BC36" s="40">
        <v>203191</v>
      </c>
      <c r="BD36" s="40">
        <v>218198</v>
      </c>
      <c r="BE36" s="40">
        <v>914710</v>
      </c>
      <c r="BF36" s="40">
        <v>5007847</v>
      </c>
      <c r="BG36" s="40">
        <v>1987</v>
      </c>
      <c r="BH36" s="40">
        <v>13411</v>
      </c>
      <c r="BI36" s="40">
        <v>350</v>
      </c>
      <c r="BJ36" s="40">
        <v>5033327</v>
      </c>
      <c r="BK36" s="40">
        <v>2780927</v>
      </c>
      <c r="BL36" s="40">
        <v>499718</v>
      </c>
      <c r="BM36" s="40">
        <v>2131561</v>
      </c>
      <c r="BN36" s="40">
        <v>1951579</v>
      </c>
      <c r="BO36" s="40">
        <v>664362</v>
      </c>
      <c r="BP36" s="40">
        <v>42807</v>
      </c>
      <c r="BQ36" s="40">
        <v>865554</v>
      </c>
      <c r="BR36" s="40">
        <v>440483</v>
      </c>
      <c r="BS36" s="40">
        <v>0</v>
      </c>
      <c r="BT36" s="40">
        <v>44778060</v>
      </c>
      <c r="BU36" s="40">
        <v>2616234</v>
      </c>
      <c r="BV36" s="40">
        <v>0</v>
      </c>
      <c r="BW36" s="40">
        <v>0</v>
      </c>
      <c r="BX36" s="40">
        <v>2616234</v>
      </c>
      <c r="BY36" s="40">
        <v>10556934</v>
      </c>
      <c r="BZ36" s="40">
        <v>0</v>
      </c>
      <c r="CA36" s="40">
        <v>0</v>
      </c>
      <c r="CB36" s="40">
        <v>10556934</v>
      </c>
      <c r="CC36" s="40">
        <v>0</v>
      </c>
      <c r="CD36" s="40">
        <v>13173168</v>
      </c>
      <c r="CE36" s="40">
        <v>57951228</v>
      </c>
      <c r="CF36" s="41"/>
      <c r="CG36" s="41"/>
      <c r="CH36" s="42"/>
    </row>
    <row r="37" spans="1:86" ht="22.5">
      <c r="A37" s="38">
        <v>31</v>
      </c>
      <c r="B37" s="65" t="s">
        <v>64</v>
      </c>
      <c r="C37" s="39" t="s">
        <v>135</v>
      </c>
      <c r="D37" s="40">
        <v>1611</v>
      </c>
      <c r="E37" s="40">
        <v>417</v>
      </c>
      <c r="F37" s="40">
        <v>0</v>
      </c>
      <c r="G37" s="40">
        <v>0</v>
      </c>
      <c r="H37" s="40">
        <v>274416</v>
      </c>
      <c r="I37" s="40">
        <v>12911</v>
      </c>
      <c r="J37" s="40">
        <v>372</v>
      </c>
      <c r="K37" s="40">
        <v>641</v>
      </c>
      <c r="L37" s="40">
        <v>13</v>
      </c>
      <c r="M37" s="40">
        <v>4019</v>
      </c>
      <c r="N37" s="40">
        <v>25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8</v>
      </c>
      <c r="V37" s="40">
        <v>0</v>
      </c>
      <c r="W37" s="40">
        <v>960</v>
      </c>
      <c r="X37" s="40">
        <v>359</v>
      </c>
      <c r="Y37" s="40">
        <v>239</v>
      </c>
      <c r="Z37" s="40">
        <v>9</v>
      </c>
      <c r="AA37" s="40">
        <v>7</v>
      </c>
      <c r="AB37" s="40">
        <v>645</v>
      </c>
      <c r="AC37" s="40">
        <v>0</v>
      </c>
      <c r="AD37" s="40">
        <v>0</v>
      </c>
      <c r="AE37" s="40">
        <v>0</v>
      </c>
      <c r="AF37" s="40">
        <v>17</v>
      </c>
      <c r="AG37" s="40">
        <v>23</v>
      </c>
      <c r="AH37" s="40">
        <v>59456</v>
      </c>
      <c r="AI37" s="40">
        <v>12185</v>
      </c>
      <c r="AJ37" s="40">
        <v>9993</v>
      </c>
      <c r="AK37" s="40">
        <v>46104</v>
      </c>
      <c r="AL37" s="40">
        <v>32465</v>
      </c>
      <c r="AM37" s="40">
        <v>0</v>
      </c>
      <c r="AN37" s="40">
        <v>0</v>
      </c>
      <c r="AO37" s="40">
        <v>3390</v>
      </c>
      <c r="AP37" s="40">
        <v>55614</v>
      </c>
      <c r="AQ37" s="40">
        <v>99</v>
      </c>
      <c r="AR37" s="40">
        <v>171</v>
      </c>
      <c r="AS37" s="40">
        <v>83</v>
      </c>
      <c r="AT37" s="40">
        <v>10151</v>
      </c>
      <c r="AU37" s="40">
        <v>10325</v>
      </c>
      <c r="AV37" s="40">
        <v>12192</v>
      </c>
      <c r="AW37" s="40">
        <v>3182</v>
      </c>
      <c r="AX37" s="40">
        <v>7177</v>
      </c>
      <c r="AY37" s="40">
        <v>239</v>
      </c>
      <c r="AZ37" s="40">
        <v>9525</v>
      </c>
      <c r="BA37" s="40">
        <v>893216</v>
      </c>
      <c r="BB37" s="40">
        <v>2593</v>
      </c>
      <c r="BC37" s="40">
        <v>28506</v>
      </c>
      <c r="BD37" s="40">
        <v>29292</v>
      </c>
      <c r="BE37" s="40">
        <v>303025</v>
      </c>
      <c r="BF37" s="40">
        <v>260976</v>
      </c>
      <c r="BG37" s="40">
        <v>183524</v>
      </c>
      <c r="BH37" s="40">
        <v>81104</v>
      </c>
      <c r="BI37" s="40">
        <v>47408</v>
      </c>
      <c r="BJ37" s="40">
        <v>63547</v>
      </c>
      <c r="BK37" s="40">
        <v>343706</v>
      </c>
      <c r="BL37" s="40">
        <v>284772</v>
      </c>
      <c r="BM37" s="40">
        <v>152065</v>
      </c>
      <c r="BN37" s="40">
        <v>140371</v>
      </c>
      <c r="BO37" s="40">
        <v>849056</v>
      </c>
      <c r="BP37" s="40">
        <v>1959</v>
      </c>
      <c r="BQ37" s="40">
        <v>103909</v>
      </c>
      <c r="BR37" s="40">
        <v>166723</v>
      </c>
      <c r="BS37" s="40">
        <v>0</v>
      </c>
      <c r="BT37" s="40">
        <v>4504795</v>
      </c>
      <c r="BU37" s="40">
        <v>6634332</v>
      </c>
      <c r="BV37" s="40">
        <v>0</v>
      </c>
      <c r="BW37" s="40">
        <v>0</v>
      </c>
      <c r="BX37" s="40">
        <v>6634332</v>
      </c>
      <c r="BY37" s="40">
        <v>14818561</v>
      </c>
      <c r="BZ37" s="40">
        <v>0</v>
      </c>
      <c r="CA37" s="40">
        <v>0</v>
      </c>
      <c r="CB37" s="40">
        <v>14818561</v>
      </c>
      <c r="CC37" s="40">
        <v>0</v>
      </c>
      <c r="CD37" s="40">
        <v>21452893</v>
      </c>
      <c r="CE37" s="40">
        <v>25957688</v>
      </c>
      <c r="CF37" s="41"/>
      <c r="CG37" s="41"/>
      <c r="CH37" s="42"/>
    </row>
    <row r="38" spans="1:86">
      <c r="A38" s="38">
        <v>32</v>
      </c>
      <c r="B38" s="65" t="s">
        <v>96</v>
      </c>
      <c r="C38" s="39" t="s">
        <v>164</v>
      </c>
      <c r="D38" s="40">
        <v>18170</v>
      </c>
      <c r="E38" s="40">
        <v>0</v>
      </c>
      <c r="F38" s="40">
        <v>19</v>
      </c>
      <c r="G38" s="40">
        <v>632</v>
      </c>
      <c r="H38" s="40">
        <v>1292342</v>
      </c>
      <c r="I38" s="40">
        <v>60869</v>
      </c>
      <c r="J38" s="40">
        <v>2268</v>
      </c>
      <c r="K38" s="40">
        <v>1687</v>
      </c>
      <c r="L38" s="40">
        <v>74391</v>
      </c>
      <c r="M38" s="40">
        <v>2611</v>
      </c>
      <c r="N38" s="40">
        <v>0</v>
      </c>
      <c r="O38" s="40">
        <v>0</v>
      </c>
      <c r="P38" s="40">
        <v>0</v>
      </c>
      <c r="Q38" s="40">
        <v>0</v>
      </c>
      <c r="R38" s="40">
        <v>5</v>
      </c>
      <c r="S38" s="40">
        <v>0</v>
      </c>
      <c r="T38" s="40">
        <v>0</v>
      </c>
      <c r="U38" s="40">
        <v>0</v>
      </c>
      <c r="V38" s="40">
        <v>883</v>
      </c>
      <c r="W38" s="40">
        <v>3143</v>
      </c>
      <c r="X38" s="40">
        <v>2227</v>
      </c>
      <c r="Y38" s="40">
        <v>0</v>
      </c>
      <c r="Z38" s="40">
        <v>0</v>
      </c>
      <c r="AA38" s="40">
        <v>130</v>
      </c>
      <c r="AB38" s="40">
        <v>1880</v>
      </c>
      <c r="AC38" s="40">
        <v>0</v>
      </c>
      <c r="AD38" s="40">
        <v>0</v>
      </c>
      <c r="AE38" s="40">
        <v>1554</v>
      </c>
      <c r="AF38" s="40">
        <v>4</v>
      </c>
      <c r="AG38" s="40">
        <v>168</v>
      </c>
      <c r="AH38" s="40">
        <v>88684</v>
      </c>
      <c r="AI38" s="40">
        <v>7520</v>
      </c>
      <c r="AJ38" s="40">
        <v>3673</v>
      </c>
      <c r="AK38" s="40">
        <v>93097</v>
      </c>
      <c r="AL38" s="40">
        <v>44081</v>
      </c>
      <c r="AM38" s="40">
        <v>0</v>
      </c>
      <c r="AN38" s="40">
        <v>0</v>
      </c>
      <c r="AO38" s="40">
        <v>61695</v>
      </c>
      <c r="AP38" s="40">
        <v>616866</v>
      </c>
      <c r="AQ38" s="40">
        <v>0</v>
      </c>
      <c r="AR38" s="40">
        <v>2189</v>
      </c>
      <c r="AS38" s="40">
        <v>8119</v>
      </c>
      <c r="AT38" s="40">
        <v>161646</v>
      </c>
      <c r="AU38" s="40">
        <v>501623</v>
      </c>
      <c r="AV38" s="40">
        <v>73041</v>
      </c>
      <c r="AW38" s="40">
        <v>133390</v>
      </c>
      <c r="AX38" s="40">
        <v>13220</v>
      </c>
      <c r="AY38" s="40">
        <v>0</v>
      </c>
      <c r="AZ38" s="40">
        <v>14123</v>
      </c>
      <c r="BA38" s="40">
        <v>48412</v>
      </c>
      <c r="BB38" s="40">
        <v>0</v>
      </c>
      <c r="BC38" s="40">
        <v>118773</v>
      </c>
      <c r="BD38" s="40">
        <v>20141</v>
      </c>
      <c r="BE38" s="40">
        <v>48193</v>
      </c>
      <c r="BF38" s="40">
        <v>274866</v>
      </c>
      <c r="BG38" s="40">
        <v>8420</v>
      </c>
      <c r="BH38" s="40">
        <v>1219</v>
      </c>
      <c r="BI38" s="40">
        <v>2116</v>
      </c>
      <c r="BJ38" s="40">
        <v>468318</v>
      </c>
      <c r="BK38" s="40">
        <v>158511</v>
      </c>
      <c r="BL38" s="40">
        <v>659468</v>
      </c>
      <c r="BM38" s="40">
        <v>119319</v>
      </c>
      <c r="BN38" s="40">
        <v>226846</v>
      </c>
      <c r="BO38" s="40">
        <v>127566</v>
      </c>
      <c r="BP38" s="40">
        <v>1783</v>
      </c>
      <c r="BQ38" s="40">
        <v>554871</v>
      </c>
      <c r="BR38" s="40">
        <v>172796</v>
      </c>
      <c r="BS38" s="40">
        <v>0</v>
      </c>
      <c r="BT38" s="40">
        <v>6297568</v>
      </c>
      <c r="BU38" s="40">
        <v>1281706</v>
      </c>
      <c r="BV38" s="40">
        <v>0</v>
      </c>
      <c r="BW38" s="40">
        <v>0</v>
      </c>
      <c r="BX38" s="40">
        <v>1281706</v>
      </c>
      <c r="BY38" s="40">
        <v>10722441</v>
      </c>
      <c r="BZ38" s="40">
        <v>0</v>
      </c>
      <c r="CA38" s="40">
        <v>0</v>
      </c>
      <c r="CB38" s="40">
        <v>10722441</v>
      </c>
      <c r="CC38" s="40">
        <v>0</v>
      </c>
      <c r="CD38" s="40">
        <v>12004147</v>
      </c>
      <c r="CE38" s="40">
        <v>18301715</v>
      </c>
      <c r="CF38" s="41"/>
      <c r="CG38" s="41"/>
      <c r="CH38" s="42"/>
    </row>
    <row r="39" spans="1:86" ht="22.5">
      <c r="A39" s="38">
        <v>33</v>
      </c>
      <c r="B39" s="65" t="s">
        <v>95</v>
      </c>
      <c r="C39" s="39" t="s">
        <v>163</v>
      </c>
      <c r="D39" s="40">
        <v>1136539</v>
      </c>
      <c r="E39" s="40">
        <v>565</v>
      </c>
      <c r="F39" s="40">
        <v>1376</v>
      </c>
      <c r="G39" s="40">
        <v>1257390</v>
      </c>
      <c r="H39" s="40">
        <v>5092214</v>
      </c>
      <c r="I39" s="40">
        <v>136359</v>
      </c>
      <c r="J39" s="40">
        <v>103868</v>
      </c>
      <c r="K39" s="40">
        <v>430295</v>
      </c>
      <c r="L39" s="40">
        <v>301612</v>
      </c>
      <c r="M39" s="40">
        <v>264405</v>
      </c>
      <c r="N39" s="40">
        <v>100465</v>
      </c>
      <c r="O39" s="40">
        <v>2235</v>
      </c>
      <c r="P39" s="40">
        <v>743</v>
      </c>
      <c r="Q39" s="40">
        <v>60037</v>
      </c>
      <c r="R39" s="40">
        <v>1</v>
      </c>
      <c r="S39" s="40">
        <v>4</v>
      </c>
      <c r="T39" s="40">
        <v>312</v>
      </c>
      <c r="U39" s="40">
        <v>155</v>
      </c>
      <c r="V39" s="40">
        <v>79532</v>
      </c>
      <c r="W39" s="40">
        <v>335317</v>
      </c>
      <c r="X39" s="40">
        <v>0</v>
      </c>
      <c r="Y39" s="40">
        <v>2019</v>
      </c>
      <c r="Z39" s="40">
        <v>3027</v>
      </c>
      <c r="AA39" s="40">
        <v>197039</v>
      </c>
      <c r="AB39" s="40">
        <v>155107</v>
      </c>
      <c r="AC39" s="40">
        <v>2213</v>
      </c>
      <c r="AD39" s="40">
        <v>0</v>
      </c>
      <c r="AE39" s="40">
        <v>18827</v>
      </c>
      <c r="AF39" s="40">
        <v>0</v>
      </c>
      <c r="AG39" s="40">
        <v>273</v>
      </c>
      <c r="AH39" s="40">
        <v>42</v>
      </c>
      <c r="AI39" s="40">
        <v>195</v>
      </c>
      <c r="AJ39" s="40">
        <v>196701</v>
      </c>
      <c r="AK39" s="40">
        <v>142157</v>
      </c>
      <c r="AL39" s="40">
        <v>109480</v>
      </c>
      <c r="AM39" s="40">
        <v>0</v>
      </c>
      <c r="AN39" s="40">
        <v>0</v>
      </c>
      <c r="AO39" s="40">
        <v>39606</v>
      </c>
      <c r="AP39" s="40">
        <v>48932</v>
      </c>
      <c r="AQ39" s="40">
        <v>24602</v>
      </c>
      <c r="AR39" s="40">
        <v>175140</v>
      </c>
      <c r="AS39" s="40">
        <v>21260</v>
      </c>
      <c r="AT39" s="40">
        <v>150752</v>
      </c>
      <c r="AU39" s="40">
        <v>733141</v>
      </c>
      <c r="AV39" s="40">
        <v>243801</v>
      </c>
      <c r="AW39" s="40">
        <v>119391</v>
      </c>
      <c r="AX39" s="40">
        <v>943260</v>
      </c>
      <c r="AY39" s="40">
        <v>12019</v>
      </c>
      <c r="AZ39" s="40">
        <v>8493</v>
      </c>
      <c r="BA39" s="40">
        <v>269083</v>
      </c>
      <c r="BB39" s="40">
        <v>72</v>
      </c>
      <c r="BC39" s="40">
        <v>120626</v>
      </c>
      <c r="BD39" s="40">
        <v>177258</v>
      </c>
      <c r="BE39" s="40">
        <v>145599</v>
      </c>
      <c r="BF39" s="40">
        <v>145972</v>
      </c>
      <c r="BG39" s="40">
        <v>38493</v>
      </c>
      <c r="BH39" s="40">
        <v>17623</v>
      </c>
      <c r="BI39" s="40">
        <v>7063</v>
      </c>
      <c r="BJ39" s="40">
        <v>3890</v>
      </c>
      <c r="BK39" s="40">
        <v>2966012</v>
      </c>
      <c r="BL39" s="40">
        <v>634630</v>
      </c>
      <c r="BM39" s="40">
        <v>487882</v>
      </c>
      <c r="BN39" s="40">
        <v>327020</v>
      </c>
      <c r="BO39" s="40">
        <v>355481</v>
      </c>
      <c r="BP39" s="40">
        <v>3183</v>
      </c>
      <c r="BQ39" s="40">
        <v>64262</v>
      </c>
      <c r="BR39" s="40">
        <v>125637</v>
      </c>
      <c r="BS39" s="40">
        <v>0</v>
      </c>
      <c r="BT39" s="40">
        <v>18540687</v>
      </c>
      <c r="BU39" s="40">
        <v>3875287</v>
      </c>
      <c r="BV39" s="40">
        <v>0</v>
      </c>
      <c r="BW39" s="40">
        <v>0</v>
      </c>
      <c r="BX39" s="40">
        <v>3875287</v>
      </c>
      <c r="BY39" s="40">
        <v>38423453</v>
      </c>
      <c r="BZ39" s="40">
        <v>0</v>
      </c>
      <c r="CA39" s="40">
        <v>0</v>
      </c>
      <c r="CB39" s="40">
        <v>38423453</v>
      </c>
      <c r="CC39" s="40">
        <v>0</v>
      </c>
      <c r="CD39" s="40">
        <v>42298740</v>
      </c>
      <c r="CE39" s="40">
        <v>60839427</v>
      </c>
      <c r="CF39" s="41"/>
      <c r="CG39" s="41"/>
      <c r="CH39" s="42"/>
    </row>
    <row r="40" spans="1:86">
      <c r="A40" s="38">
        <v>34</v>
      </c>
      <c r="B40" s="65" t="s">
        <v>63</v>
      </c>
      <c r="C40" s="39" t="s">
        <v>62</v>
      </c>
      <c r="D40" s="40">
        <v>83798</v>
      </c>
      <c r="E40" s="40">
        <v>1</v>
      </c>
      <c r="F40" s="40">
        <v>203</v>
      </c>
      <c r="G40" s="40">
        <v>11368</v>
      </c>
      <c r="H40" s="40">
        <v>19760</v>
      </c>
      <c r="I40" s="40">
        <v>931</v>
      </c>
      <c r="J40" s="40">
        <v>13537</v>
      </c>
      <c r="K40" s="40">
        <v>14624</v>
      </c>
      <c r="L40" s="40">
        <v>2578</v>
      </c>
      <c r="M40" s="40">
        <v>9692</v>
      </c>
      <c r="N40" s="40">
        <v>8380</v>
      </c>
      <c r="O40" s="40">
        <v>0</v>
      </c>
      <c r="P40" s="40">
        <v>4</v>
      </c>
      <c r="Q40" s="40">
        <v>0</v>
      </c>
      <c r="R40" s="40">
        <v>0</v>
      </c>
      <c r="S40" s="40">
        <v>56</v>
      </c>
      <c r="T40" s="40">
        <v>50</v>
      </c>
      <c r="U40" s="40">
        <v>6</v>
      </c>
      <c r="V40" s="40">
        <v>2541</v>
      </c>
      <c r="W40" s="40">
        <v>0</v>
      </c>
      <c r="X40" s="40">
        <v>0</v>
      </c>
      <c r="Y40" s="40">
        <v>0</v>
      </c>
      <c r="Z40" s="40">
        <v>4</v>
      </c>
      <c r="AA40" s="40">
        <v>617</v>
      </c>
      <c r="AB40" s="40">
        <v>333</v>
      </c>
      <c r="AC40" s="40">
        <v>0</v>
      </c>
      <c r="AD40" s="40">
        <v>0</v>
      </c>
      <c r="AE40" s="40">
        <v>169</v>
      </c>
      <c r="AF40" s="40">
        <v>0</v>
      </c>
      <c r="AG40" s="40">
        <v>0</v>
      </c>
      <c r="AH40" s="40">
        <v>0</v>
      </c>
      <c r="AI40" s="40">
        <v>0</v>
      </c>
      <c r="AJ40" s="40">
        <v>55</v>
      </c>
      <c r="AK40" s="40">
        <v>7538425</v>
      </c>
      <c r="AL40" s="40">
        <v>0</v>
      </c>
      <c r="AM40" s="40">
        <v>0</v>
      </c>
      <c r="AN40" s="40">
        <v>0</v>
      </c>
      <c r="AO40" s="40">
        <v>211958</v>
      </c>
      <c r="AP40" s="40">
        <v>9907</v>
      </c>
      <c r="AQ40" s="40">
        <v>28</v>
      </c>
      <c r="AR40" s="40">
        <v>991</v>
      </c>
      <c r="AS40" s="40">
        <v>15802</v>
      </c>
      <c r="AT40" s="40">
        <v>92430</v>
      </c>
      <c r="AU40" s="40">
        <v>11413872</v>
      </c>
      <c r="AV40" s="40">
        <v>58286</v>
      </c>
      <c r="AW40" s="40">
        <v>20769</v>
      </c>
      <c r="AX40" s="40">
        <v>189228</v>
      </c>
      <c r="AY40" s="40">
        <v>0</v>
      </c>
      <c r="AZ40" s="40">
        <v>884</v>
      </c>
      <c r="BA40" s="40">
        <v>108491</v>
      </c>
      <c r="BB40" s="40">
        <v>3368</v>
      </c>
      <c r="BC40" s="40">
        <v>0</v>
      </c>
      <c r="BD40" s="40">
        <v>61126</v>
      </c>
      <c r="BE40" s="40">
        <v>107</v>
      </c>
      <c r="BF40" s="40">
        <v>0</v>
      </c>
      <c r="BG40" s="40">
        <v>1200</v>
      </c>
      <c r="BH40" s="40">
        <v>3650</v>
      </c>
      <c r="BI40" s="40">
        <v>1557</v>
      </c>
      <c r="BJ40" s="40">
        <v>36149</v>
      </c>
      <c r="BK40" s="40">
        <v>48853</v>
      </c>
      <c r="BL40" s="40">
        <v>60173</v>
      </c>
      <c r="BM40" s="40">
        <v>114878</v>
      </c>
      <c r="BN40" s="40">
        <v>92290</v>
      </c>
      <c r="BO40" s="40">
        <v>112273</v>
      </c>
      <c r="BP40" s="40">
        <v>6570</v>
      </c>
      <c r="BQ40" s="40">
        <v>4065</v>
      </c>
      <c r="BR40" s="40">
        <v>2695</v>
      </c>
      <c r="BS40" s="40">
        <v>0</v>
      </c>
      <c r="BT40" s="40">
        <v>20378732</v>
      </c>
      <c r="BU40" s="40">
        <v>3107272</v>
      </c>
      <c r="BV40" s="40">
        <v>0</v>
      </c>
      <c r="BW40" s="40">
        <v>0</v>
      </c>
      <c r="BX40" s="40">
        <v>3107272</v>
      </c>
      <c r="BY40" s="40">
        <v>29103257</v>
      </c>
      <c r="BZ40" s="40">
        <v>0</v>
      </c>
      <c r="CA40" s="40">
        <v>0</v>
      </c>
      <c r="CB40" s="40">
        <v>29103257</v>
      </c>
      <c r="CC40" s="40">
        <v>0</v>
      </c>
      <c r="CD40" s="40">
        <v>32210529</v>
      </c>
      <c r="CE40" s="40">
        <v>52589261</v>
      </c>
      <c r="CF40" s="41"/>
      <c r="CG40" s="41"/>
      <c r="CH40" s="42"/>
    </row>
    <row r="41" spans="1:86">
      <c r="A41" s="38">
        <v>35</v>
      </c>
      <c r="B41" s="65" t="s">
        <v>61</v>
      </c>
      <c r="C41" s="39" t="s">
        <v>60</v>
      </c>
      <c r="D41" s="40">
        <v>0</v>
      </c>
      <c r="E41" s="40">
        <v>0</v>
      </c>
      <c r="F41" s="40">
        <v>0</v>
      </c>
      <c r="G41" s="40">
        <v>10447</v>
      </c>
      <c r="H41" s="40">
        <v>0</v>
      </c>
      <c r="I41" s="40">
        <v>0</v>
      </c>
      <c r="J41" s="40">
        <v>11939</v>
      </c>
      <c r="K41" s="40">
        <v>671</v>
      </c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461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603</v>
      </c>
      <c r="AF41" s="40">
        <v>10</v>
      </c>
      <c r="AG41" s="40">
        <v>0</v>
      </c>
      <c r="AH41" s="40">
        <v>0</v>
      </c>
      <c r="AI41" s="40">
        <v>20</v>
      </c>
      <c r="AJ41" s="40">
        <v>117</v>
      </c>
      <c r="AK41" s="40">
        <v>0</v>
      </c>
      <c r="AL41" s="40">
        <v>808181</v>
      </c>
      <c r="AM41" s="40">
        <v>0</v>
      </c>
      <c r="AN41" s="40">
        <v>0</v>
      </c>
      <c r="AO41" s="40">
        <v>22535</v>
      </c>
      <c r="AP41" s="40">
        <v>150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14141</v>
      </c>
      <c r="AX41" s="40">
        <v>1691518</v>
      </c>
      <c r="AY41" s="40">
        <v>0</v>
      </c>
      <c r="AZ41" s="40">
        <v>491293</v>
      </c>
      <c r="BA41" s="40">
        <v>95414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52</v>
      </c>
      <c r="BL41" s="40">
        <v>124549</v>
      </c>
      <c r="BM41" s="40">
        <v>43850</v>
      </c>
      <c r="BN41" s="40">
        <v>18229</v>
      </c>
      <c r="BO41" s="40">
        <v>42616</v>
      </c>
      <c r="BP41" s="40">
        <v>0</v>
      </c>
      <c r="BQ41" s="40">
        <v>54858</v>
      </c>
      <c r="BR41" s="40">
        <v>0</v>
      </c>
      <c r="BS41" s="40">
        <v>0</v>
      </c>
      <c r="BT41" s="40">
        <v>3431654</v>
      </c>
      <c r="BU41" s="40">
        <v>1714581</v>
      </c>
      <c r="BV41" s="40">
        <v>0</v>
      </c>
      <c r="BW41" s="40">
        <v>0</v>
      </c>
      <c r="BX41" s="40">
        <v>1714581</v>
      </c>
      <c r="BY41" s="40">
        <v>45479429</v>
      </c>
      <c r="BZ41" s="40">
        <v>0</v>
      </c>
      <c r="CA41" s="40">
        <v>0</v>
      </c>
      <c r="CB41" s="40">
        <v>45479429</v>
      </c>
      <c r="CC41" s="40">
        <v>0</v>
      </c>
      <c r="CD41" s="40">
        <v>47194010</v>
      </c>
      <c r="CE41" s="40">
        <v>50625664</v>
      </c>
      <c r="CF41" s="41"/>
      <c r="CG41" s="41"/>
      <c r="CH41" s="42"/>
    </row>
    <row r="42" spans="1:86">
      <c r="A42" s="38">
        <v>36</v>
      </c>
      <c r="B42" s="65" t="s">
        <v>59</v>
      </c>
      <c r="C42" s="39" t="s">
        <v>58</v>
      </c>
      <c r="D42" s="40">
        <v>0</v>
      </c>
      <c r="E42" s="40">
        <v>0</v>
      </c>
      <c r="F42" s="40">
        <v>0</v>
      </c>
      <c r="G42" s="40">
        <v>0</v>
      </c>
      <c r="H42" s="40">
        <v>34</v>
      </c>
      <c r="I42" s="40">
        <v>2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2</v>
      </c>
      <c r="AC42" s="40">
        <v>0</v>
      </c>
      <c r="AD42" s="40">
        <v>0</v>
      </c>
      <c r="AE42" s="40">
        <v>0</v>
      </c>
      <c r="AF42" s="40">
        <v>0</v>
      </c>
      <c r="AG42" s="40">
        <v>704</v>
      </c>
      <c r="AH42" s="40">
        <v>0</v>
      </c>
      <c r="AI42" s="40">
        <v>0</v>
      </c>
      <c r="AJ42" s="40">
        <v>0</v>
      </c>
      <c r="AK42" s="40">
        <v>0</v>
      </c>
      <c r="AL42" s="40">
        <v>0</v>
      </c>
      <c r="AM42" s="40">
        <v>0</v>
      </c>
      <c r="AN42" s="40">
        <v>0</v>
      </c>
      <c r="AO42" s="40">
        <v>0</v>
      </c>
      <c r="AP42" s="40">
        <v>186</v>
      </c>
      <c r="AQ42" s="40">
        <v>0</v>
      </c>
      <c r="AR42" s="40">
        <v>0</v>
      </c>
      <c r="AS42" s="40">
        <v>0</v>
      </c>
      <c r="AT42" s="40">
        <v>88</v>
      </c>
      <c r="AU42" s="40">
        <v>0</v>
      </c>
      <c r="AV42" s="40">
        <v>533</v>
      </c>
      <c r="AW42" s="40">
        <v>113</v>
      </c>
      <c r="AX42" s="40">
        <v>0</v>
      </c>
      <c r="AY42" s="40">
        <v>0</v>
      </c>
      <c r="AZ42" s="40">
        <v>0</v>
      </c>
      <c r="BA42" s="40">
        <v>0</v>
      </c>
      <c r="BB42" s="40">
        <v>0</v>
      </c>
      <c r="BC42" s="40">
        <v>5682</v>
      </c>
      <c r="BD42" s="40">
        <v>28445</v>
      </c>
      <c r="BE42" s="40">
        <v>14</v>
      </c>
      <c r="BF42" s="40">
        <v>0</v>
      </c>
      <c r="BG42" s="40">
        <v>0</v>
      </c>
      <c r="BH42" s="40">
        <v>0</v>
      </c>
      <c r="BI42" s="40">
        <v>0</v>
      </c>
      <c r="BJ42" s="40">
        <v>133</v>
      </c>
      <c r="BK42" s="40">
        <v>76</v>
      </c>
      <c r="BL42" s="40">
        <v>0</v>
      </c>
      <c r="BM42" s="40">
        <v>41837</v>
      </c>
      <c r="BN42" s="40">
        <v>35615</v>
      </c>
      <c r="BO42" s="40">
        <v>300</v>
      </c>
      <c r="BP42" s="40">
        <v>121</v>
      </c>
      <c r="BQ42" s="40">
        <v>20231</v>
      </c>
      <c r="BR42" s="40">
        <v>176</v>
      </c>
      <c r="BS42" s="40">
        <v>0</v>
      </c>
      <c r="BT42" s="40">
        <v>134292</v>
      </c>
      <c r="BU42" s="40">
        <v>1747160</v>
      </c>
      <c r="BV42" s="40">
        <v>0</v>
      </c>
      <c r="BW42" s="40">
        <v>0</v>
      </c>
      <c r="BX42" s="40">
        <v>1747160</v>
      </c>
      <c r="BY42" s="40">
        <v>1657501</v>
      </c>
      <c r="BZ42" s="40">
        <v>0</v>
      </c>
      <c r="CA42" s="40">
        <v>0</v>
      </c>
      <c r="CB42" s="40">
        <v>1657501</v>
      </c>
      <c r="CC42" s="40">
        <v>0</v>
      </c>
      <c r="CD42" s="40">
        <v>3404661</v>
      </c>
      <c r="CE42" s="40">
        <v>3538953</v>
      </c>
      <c r="CF42" s="41"/>
      <c r="CG42" s="41"/>
      <c r="CH42" s="42"/>
    </row>
    <row r="43" spans="1:86">
      <c r="A43" s="38">
        <v>37</v>
      </c>
      <c r="B43" s="65" t="s">
        <v>57</v>
      </c>
      <c r="C43" s="39" t="s">
        <v>56</v>
      </c>
      <c r="D43" s="40">
        <v>4615</v>
      </c>
      <c r="E43" s="40">
        <v>0</v>
      </c>
      <c r="F43" s="40">
        <v>0</v>
      </c>
      <c r="G43" s="40">
        <v>0</v>
      </c>
      <c r="H43" s="40">
        <v>6984</v>
      </c>
      <c r="I43" s="40">
        <v>329</v>
      </c>
      <c r="J43" s="40">
        <v>0</v>
      </c>
      <c r="K43" s="40">
        <v>284</v>
      </c>
      <c r="L43" s="40">
        <v>0</v>
      </c>
      <c r="M43" s="40">
        <v>0</v>
      </c>
      <c r="N43" s="40">
        <v>2553</v>
      </c>
      <c r="O43" s="40">
        <v>0</v>
      </c>
      <c r="P43" s="40">
        <v>0</v>
      </c>
      <c r="Q43" s="40">
        <v>156866</v>
      </c>
      <c r="R43" s="40">
        <v>1119</v>
      </c>
      <c r="S43" s="40">
        <v>0</v>
      </c>
      <c r="T43" s="40">
        <v>0</v>
      </c>
      <c r="U43" s="40">
        <v>0</v>
      </c>
      <c r="V43" s="40">
        <v>0</v>
      </c>
      <c r="W43" s="40">
        <v>0</v>
      </c>
      <c r="X43" s="40">
        <v>0</v>
      </c>
      <c r="Y43" s="40">
        <v>0</v>
      </c>
      <c r="Z43" s="40">
        <v>3411</v>
      </c>
      <c r="AA43" s="40">
        <v>45883</v>
      </c>
      <c r="AB43" s="40">
        <v>0</v>
      </c>
      <c r="AC43" s="40">
        <v>0</v>
      </c>
      <c r="AD43" s="40">
        <v>0</v>
      </c>
      <c r="AE43" s="40">
        <v>0</v>
      </c>
      <c r="AF43" s="40">
        <v>0</v>
      </c>
      <c r="AG43" s="40">
        <v>0</v>
      </c>
      <c r="AH43" s="40">
        <v>0</v>
      </c>
      <c r="AI43" s="40">
        <v>0</v>
      </c>
      <c r="AJ43" s="40">
        <v>8</v>
      </c>
      <c r="AK43" s="40">
        <v>0</v>
      </c>
      <c r="AL43" s="40">
        <v>0</v>
      </c>
      <c r="AM43" s="40">
        <v>0</v>
      </c>
      <c r="AN43" s="40">
        <v>46525</v>
      </c>
      <c r="AO43" s="40">
        <v>5</v>
      </c>
      <c r="AP43" s="40">
        <v>288</v>
      </c>
      <c r="AQ43" s="40">
        <v>0</v>
      </c>
      <c r="AR43" s="40">
        <v>13</v>
      </c>
      <c r="AS43" s="40">
        <v>126</v>
      </c>
      <c r="AT43" s="40">
        <v>12639</v>
      </c>
      <c r="AU43" s="40">
        <v>15127</v>
      </c>
      <c r="AV43" s="40">
        <v>6111</v>
      </c>
      <c r="AW43" s="40">
        <v>55850</v>
      </c>
      <c r="AX43" s="40">
        <v>21336</v>
      </c>
      <c r="AY43" s="40">
        <v>0</v>
      </c>
      <c r="AZ43" s="40">
        <v>0</v>
      </c>
      <c r="BA43" s="40">
        <v>4943</v>
      </c>
      <c r="BB43" s="40">
        <v>0</v>
      </c>
      <c r="BC43" s="40">
        <v>210</v>
      </c>
      <c r="BD43" s="40">
        <v>30418</v>
      </c>
      <c r="BE43" s="40">
        <v>7363</v>
      </c>
      <c r="BF43" s="40">
        <v>7056</v>
      </c>
      <c r="BG43" s="40">
        <v>156289</v>
      </c>
      <c r="BH43" s="40">
        <v>17465</v>
      </c>
      <c r="BI43" s="40">
        <v>3436</v>
      </c>
      <c r="BJ43" s="40">
        <v>22222</v>
      </c>
      <c r="BK43" s="40">
        <v>144037</v>
      </c>
      <c r="BL43" s="40">
        <v>446618</v>
      </c>
      <c r="BM43" s="40">
        <v>479486</v>
      </c>
      <c r="BN43" s="40">
        <v>427704</v>
      </c>
      <c r="BO43" s="40">
        <v>195088</v>
      </c>
      <c r="BP43" s="40">
        <v>5750</v>
      </c>
      <c r="BQ43" s="40">
        <v>631717</v>
      </c>
      <c r="BR43" s="40">
        <v>82582</v>
      </c>
      <c r="BS43" s="40">
        <v>0</v>
      </c>
      <c r="BT43" s="40">
        <v>3042456</v>
      </c>
      <c r="BU43" s="40">
        <v>8964038</v>
      </c>
      <c r="BV43" s="40">
        <v>0</v>
      </c>
      <c r="BW43" s="40">
        <v>0</v>
      </c>
      <c r="BX43" s="40">
        <v>8964038</v>
      </c>
      <c r="BY43" s="40">
        <v>4606716</v>
      </c>
      <c r="BZ43" s="40">
        <v>0</v>
      </c>
      <c r="CA43" s="40">
        <v>0</v>
      </c>
      <c r="CB43" s="40">
        <v>4606716</v>
      </c>
      <c r="CC43" s="40">
        <v>0</v>
      </c>
      <c r="CD43" s="40">
        <v>13570754</v>
      </c>
      <c r="CE43" s="40">
        <v>16613210</v>
      </c>
      <c r="CF43" s="41"/>
      <c r="CG43" s="41"/>
      <c r="CH43" s="42"/>
    </row>
    <row r="44" spans="1:86" ht="22.5">
      <c r="A44" s="38">
        <v>38</v>
      </c>
      <c r="B44" s="65" t="s">
        <v>55</v>
      </c>
      <c r="C44" s="39" t="s">
        <v>136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40">
        <v>0</v>
      </c>
      <c r="AJ44" s="40">
        <v>0</v>
      </c>
      <c r="AK44" s="40">
        <v>0</v>
      </c>
      <c r="AL44" s="40">
        <v>0</v>
      </c>
      <c r="AM44" s="40">
        <v>0</v>
      </c>
      <c r="AN44" s="40">
        <v>0</v>
      </c>
      <c r="AO44" s="40">
        <v>0</v>
      </c>
      <c r="AP44" s="40">
        <v>0</v>
      </c>
      <c r="AQ44" s="40">
        <v>0</v>
      </c>
      <c r="AR44" s="40">
        <v>0</v>
      </c>
      <c r="AS44" s="40">
        <v>0</v>
      </c>
      <c r="AT44" s="40">
        <v>0</v>
      </c>
      <c r="AU44" s="40">
        <v>0</v>
      </c>
      <c r="AV44" s="40">
        <v>0</v>
      </c>
      <c r="AW44" s="40">
        <v>0</v>
      </c>
      <c r="AX44" s="40">
        <v>0</v>
      </c>
      <c r="AY44" s="40">
        <v>0</v>
      </c>
      <c r="AZ44" s="40">
        <v>0</v>
      </c>
      <c r="BA44" s="40">
        <v>0</v>
      </c>
      <c r="BB44" s="40">
        <v>0</v>
      </c>
      <c r="BC44" s="40">
        <v>0</v>
      </c>
      <c r="BD44" s="40">
        <v>0</v>
      </c>
      <c r="BE44" s="40">
        <v>0</v>
      </c>
      <c r="BF44" s="40">
        <v>0</v>
      </c>
      <c r="BG44" s="40">
        <v>0</v>
      </c>
      <c r="BH44" s="40">
        <v>0</v>
      </c>
      <c r="BI44" s="40">
        <v>0</v>
      </c>
      <c r="BJ44" s="40">
        <v>0</v>
      </c>
      <c r="BK44" s="40">
        <v>0</v>
      </c>
      <c r="BL44" s="40">
        <v>0</v>
      </c>
      <c r="BM44" s="40">
        <v>0</v>
      </c>
      <c r="BN44" s="40">
        <v>0</v>
      </c>
      <c r="BO44" s="40">
        <v>0</v>
      </c>
      <c r="BP44" s="40">
        <v>0</v>
      </c>
      <c r="BQ44" s="40">
        <v>0</v>
      </c>
      <c r="BR44" s="40">
        <v>0</v>
      </c>
      <c r="BS44" s="40">
        <v>0</v>
      </c>
      <c r="BT44" s="40">
        <v>0</v>
      </c>
      <c r="BU44" s="40">
        <v>0</v>
      </c>
      <c r="BV44" s="40">
        <v>0</v>
      </c>
      <c r="BW44" s="40">
        <v>0</v>
      </c>
      <c r="BX44" s="40">
        <v>0</v>
      </c>
      <c r="BY44" s="40">
        <v>0</v>
      </c>
      <c r="BZ44" s="40">
        <v>0</v>
      </c>
      <c r="CA44" s="40">
        <v>0</v>
      </c>
      <c r="CB44" s="40">
        <v>0</v>
      </c>
      <c r="CC44" s="40">
        <v>0</v>
      </c>
      <c r="CD44" s="40">
        <v>0</v>
      </c>
      <c r="CE44" s="40">
        <v>0</v>
      </c>
      <c r="CF44" s="41"/>
      <c r="CG44" s="41"/>
      <c r="CH44" s="42"/>
    </row>
    <row r="45" spans="1:86" ht="22.5">
      <c r="A45" s="38">
        <v>39</v>
      </c>
      <c r="B45" s="65" t="s">
        <v>54</v>
      </c>
      <c r="C45" s="39" t="s">
        <v>53</v>
      </c>
      <c r="D45" s="40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  <c r="Q45" s="40">
        <v>0</v>
      </c>
      <c r="R45" s="40">
        <v>0</v>
      </c>
      <c r="S45" s="40">
        <v>0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0">
        <v>0</v>
      </c>
      <c r="AG45" s="40">
        <v>0</v>
      </c>
      <c r="AH45" s="40">
        <v>0</v>
      </c>
      <c r="AI45" s="40">
        <v>0</v>
      </c>
      <c r="AJ45" s="40">
        <v>0</v>
      </c>
      <c r="AK45" s="40">
        <v>0</v>
      </c>
      <c r="AL45" s="40">
        <v>0</v>
      </c>
      <c r="AM45" s="40">
        <v>0</v>
      </c>
      <c r="AN45" s="40">
        <v>0</v>
      </c>
      <c r="AO45" s="40">
        <v>0</v>
      </c>
      <c r="AP45" s="40">
        <v>0</v>
      </c>
      <c r="AQ45" s="40">
        <v>0</v>
      </c>
      <c r="AR45" s="40">
        <v>0</v>
      </c>
      <c r="AS45" s="40">
        <v>0</v>
      </c>
      <c r="AT45" s="40">
        <v>0</v>
      </c>
      <c r="AU45" s="40">
        <v>0</v>
      </c>
      <c r="AV45" s="40">
        <v>0</v>
      </c>
      <c r="AW45" s="40">
        <v>0</v>
      </c>
      <c r="AX45" s="40">
        <v>0</v>
      </c>
      <c r="AY45" s="40">
        <v>0</v>
      </c>
      <c r="AZ45" s="40">
        <v>0</v>
      </c>
      <c r="BA45" s="40">
        <v>0</v>
      </c>
      <c r="BB45" s="40">
        <v>0</v>
      </c>
      <c r="BC45" s="40">
        <v>0</v>
      </c>
      <c r="BD45" s="40">
        <v>0</v>
      </c>
      <c r="BE45" s="40">
        <v>0</v>
      </c>
      <c r="BF45" s="40">
        <v>0</v>
      </c>
      <c r="BG45" s="40">
        <v>0</v>
      </c>
      <c r="BH45" s="40">
        <v>0</v>
      </c>
      <c r="BI45" s="40">
        <v>0</v>
      </c>
      <c r="BJ45" s="40">
        <v>0</v>
      </c>
      <c r="BK45" s="40">
        <v>0</v>
      </c>
      <c r="BL45" s="40">
        <v>0</v>
      </c>
      <c r="BM45" s="40">
        <v>0</v>
      </c>
      <c r="BN45" s="40">
        <v>0</v>
      </c>
      <c r="BO45" s="40">
        <v>0</v>
      </c>
      <c r="BP45" s="40">
        <v>0</v>
      </c>
      <c r="BQ45" s="40">
        <v>0</v>
      </c>
      <c r="BR45" s="40">
        <v>0</v>
      </c>
      <c r="BS45" s="40">
        <v>0</v>
      </c>
      <c r="BT45" s="40">
        <v>0</v>
      </c>
      <c r="BU45" s="40">
        <v>0</v>
      </c>
      <c r="BV45" s="40">
        <v>0</v>
      </c>
      <c r="BW45" s="40">
        <v>0</v>
      </c>
      <c r="BX45" s="40">
        <v>0</v>
      </c>
      <c r="BY45" s="40">
        <v>0</v>
      </c>
      <c r="BZ45" s="40">
        <v>0</v>
      </c>
      <c r="CA45" s="40">
        <v>0</v>
      </c>
      <c r="CB45" s="40">
        <v>0</v>
      </c>
      <c r="CC45" s="40">
        <v>0</v>
      </c>
      <c r="CD45" s="40">
        <v>0</v>
      </c>
      <c r="CE45" s="40">
        <v>0</v>
      </c>
      <c r="CF45" s="41"/>
      <c r="CG45" s="41"/>
      <c r="CH45" s="42"/>
    </row>
    <row r="46" spans="1:86" ht="33.75">
      <c r="A46" s="38">
        <v>40</v>
      </c>
      <c r="B46" s="65" t="s">
        <v>52</v>
      </c>
      <c r="C46" s="39" t="s">
        <v>51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  <c r="AI46" s="40">
        <v>0</v>
      </c>
      <c r="AJ46" s="40">
        <v>0</v>
      </c>
      <c r="AK46" s="40">
        <v>0</v>
      </c>
      <c r="AL46" s="40">
        <v>0</v>
      </c>
      <c r="AM46" s="40">
        <v>0</v>
      </c>
      <c r="AN46" s="40">
        <v>0</v>
      </c>
      <c r="AO46" s="40">
        <v>0</v>
      </c>
      <c r="AP46" s="40">
        <v>0</v>
      </c>
      <c r="AQ46" s="40">
        <v>0</v>
      </c>
      <c r="AR46" s="40">
        <v>0</v>
      </c>
      <c r="AS46" s="40">
        <v>0</v>
      </c>
      <c r="AT46" s="40">
        <v>0</v>
      </c>
      <c r="AU46" s="40">
        <v>0</v>
      </c>
      <c r="AV46" s="40">
        <v>0</v>
      </c>
      <c r="AW46" s="40">
        <v>0</v>
      </c>
      <c r="AX46" s="40">
        <v>0</v>
      </c>
      <c r="AY46" s="40">
        <v>0</v>
      </c>
      <c r="AZ46" s="40">
        <v>0</v>
      </c>
      <c r="BA46" s="40">
        <v>0</v>
      </c>
      <c r="BB46" s="40">
        <v>0</v>
      </c>
      <c r="BC46" s="40">
        <v>0</v>
      </c>
      <c r="BD46" s="40">
        <v>0</v>
      </c>
      <c r="BE46" s="40">
        <v>0</v>
      </c>
      <c r="BF46" s="40">
        <v>0</v>
      </c>
      <c r="BG46" s="40">
        <v>0</v>
      </c>
      <c r="BH46" s="40">
        <v>0</v>
      </c>
      <c r="BI46" s="40">
        <v>0</v>
      </c>
      <c r="BJ46" s="40">
        <v>0</v>
      </c>
      <c r="BK46" s="40">
        <v>0</v>
      </c>
      <c r="BL46" s="40">
        <v>0</v>
      </c>
      <c r="BM46" s="40">
        <v>0</v>
      </c>
      <c r="BN46" s="40">
        <v>0</v>
      </c>
      <c r="BO46" s="40">
        <v>0</v>
      </c>
      <c r="BP46" s="40">
        <v>0</v>
      </c>
      <c r="BQ46" s="40">
        <v>0</v>
      </c>
      <c r="BR46" s="40">
        <v>0</v>
      </c>
      <c r="BS46" s="40">
        <v>0</v>
      </c>
      <c r="BT46" s="40">
        <v>0</v>
      </c>
      <c r="BU46" s="40">
        <v>0</v>
      </c>
      <c r="BV46" s="40">
        <v>0</v>
      </c>
      <c r="BW46" s="40">
        <v>0</v>
      </c>
      <c r="BX46" s="40">
        <v>0</v>
      </c>
      <c r="BY46" s="40">
        <v>0</v>
      </c>
      <c r="BZ46" s="40">
        <v>0</v>
      </c>
      <c r="CA46" s="40">
        <v>0</v>
      </c>
      <c r="CB46" s="40">
        <v>0</v>
      </c>
      <c r="CC46" s="40">
        <v>0</v>
      </c>
      <c r="CD46" s="40">
        <v>0</v>
      </c>
      <c r="CE46" s="40">
        <v>0</v>
      </c>
      <c r="CF46" s="41"/>
      <c r="CG46" s="41"/>
      <c r="CH46" s="42"/>
    </row>
    <row r="47" spans="1:86" ht="22.5">
      <c r="A47" s="38">
        <v>41</v>
      </c>
      <c r="B47" s="65" t="s">
        <v>50</v>
      </c>
      <c r="C47" s="39" t="s">
        <v>49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  <c r="AI47" s="40">
        <v>0</v>
      </c>
      <c r="AJ47" s="40">
        <v>0</v>
      </c>
      <c r="AK47" s="40">
        <v>0</v>
      </c>
      <c r="AL47" s="40">
        <v>0</v>
      </c>
      <c r="AM47" s="40">
        <v>0</v>
      </c>
      <c r="AN47" s="40">
        <v>0</v>
      </c>
      <c r="AO47" s="40">
        <v>0</v>
      </c>
      <c r="AP47" s="40">
        <v>0</v>
      </c>
      <c r="AQ47" s="40">
        <v>0</v>
      </c>
      <c r="AR47" s="40">
        <v>0</v>
      </c>
      <c r="AS47" s="40">
        <v>0</v>
      </c>
      <c r="AT47" s="40">
        <v>0</v>
      </c>
      <c r="AU47" s="40">
        <v>0</v>
      </c>
      <c r="AV47" s="40">
        <v>0</v>
      </c>
      <c r="AW47" s="40">
        <v>0</v>
      </c>
      <c r="AX47" s="40">
        <v>0</v>
      </c>
      <c r="AY47" s="40">
        <v>0</v>
      </c>
      <c r="AZ47" s="40">
        <v>0</v>
      </c>
      <c r="BA47" s="40">
        <v>0</v>
      </c>
      <c r="BB47" s="40">
        <v>0</v>
      </c>
      <c r="BC47" s="40">
        <v>0</v>
      </c>
      <c r="BD47" s="40">
        <v>0</v>
      </c>
      <c r="BE47" s="40">
        <v>0</v>
      </c>
      <c r="BF47" s="40">
        <v>0</v>
      </c>
      <c r="BG47" s="40">
        <v>0</v>
      </c>
      <c r="BH47" s="40">
        <v>0</v>
      </c>
      <c r="BI47" s="40">
        <v>0</v>
      </c>
      <c r="BJ47" s="40">
        <v>0</v>
      </c>
      <c r="BK47" s="40">
        <v>0</v>
      </c>
      <c r="BL47" s="40">
        <v>0</v>
      </c>
      <c r="BM47" s="40">
        <v>0</v>
      </c>
      <c r="BN47" s="40">
        <v>0</v>
      </c>
      <c r="BO47" s="40">
        <v>0</v>
      </c>
      <c r="BP47" s="40">
        <v>0</v>
      </c>
      <c r="BQ47" s="40">
        <v>0</v>
      </c>
      <c r="BR47" s="40">
        <v>0</v>
      </c>
      <c r="BS47" s="40">
        <v>0</v>
      </c>
      <c r="BT47" s="40">
        <v>0</v>
      </c>
      <c r="BU47" s="40">
        <v>0</v>
      </c>
      <c r="BV47" s="40">
        <v>0</v>
      </c>
      <c r="BW47" s="40">
        <v>0</v>
      </c>
      <c r="BX47" s="40">
        <v>0</v>
      </c>
      <c r="BY47" s="40">
        <v>0</v>
      </c>
      <c r="BZ47" s="40">
        <v>0</v>
      </c>
      <c r="CA47" s="40">
        <v>0</v>
      </c>
      <c r="CB47" s="40">
        <v>0</v>
      </c>
      <c r="CC47" s="40">
        <v>0</v>
      </c>
      <c r="CD47" s="40">
        <v>0</v>
      </c>
      <c r="CE47" s="40">
        <v>0</v>
      </c>
      <c r="CF47" s="41"/>
      <c r="CG47" s="41"/>
      <c r="CH47" s="42"/>
    </row>
    <row r="48" spans="1:86" ht="33.75">
      <c r="A48" s="38">
        <v>42</v>
      </c>
      <c r="B48" s="65" t="s">
        <v>94</v>
      </c>
      <c r="C48" s="39" t="s">
        <v>162</v>
      </c>
      <c r="D48" s="40">
        <v>17828</v>
      </c>
      <c r="E48" s="40">
        <v>46</v>
      </c>
      <c r="F48" s="40">
        <v>0</v>
      </c>
      <c r="G48" s="40">
        <v>1708</v>
      </c>
      <c r="H48" s="40">
        <v>147643</v>
      </c>
      <c r="I48" s="40">
        <v>6960</v>
      </c>
      <c r="J48" s="40">
        <v>0</v>
      </c>
      <c r="K48" s="40">
        <v>7349</v>
      </c>
      <c r="L48" s="40">
        <v>1189</v>
      </c>
      <c r="M48" s="40">
        <v>19997</v>
      </c>
      <c r="N48" s="40">
        <v>10834</v>
      </c>
      <c r="O48" s="40">
        <v>160</v>
      </c>
      <c r="P48" s="40">
        <v>0</v>
      </c>
      <c r="Q48" s="40">
        <v>48</v>
      </c>
      <c r="R48" s="40">
        <v>109</v>
      </c>
      <c r="S48" s="40">
        <v>14</v>
      </c>
      <c r="T48" s="40">
        <v>61</v>
      </c>
      <c r="U48" s="40">
        <v>0</v>
      </c>
      <c r="V48" s="40">
        <v>0</v>
      </c>
      <c r="W48" s="40">
        <v>5438</v>
      </c>
      <c r="X48" s="40">
        <v>605</v>
      </c>
      <c r="Y48" s="40">
        <v>10618</v>
      </c>
      <c r="Z48" s="40">
        <v>1955</v>
      </c>
      <c r="AA48" s="40">
        <v>857</v>
      </c>
      <c r="AB48" s="40">
        <v>7</v>
      </c>
      <c r="AC48" s="40">
        <v>0</v>
      </c>
      <c r="AD48" s="40">
        <v>13</v>
      </c>
      <c r="AE48" s="40">
        <v>933</v>
      </c>
      <c r="AF48" s="40">
        <v>44</v>
      </c>
      <c r="AG48" s="40">
        <v>120</v>
      </c>
      <c r="AH48" s="40">
        <v>0</v>
      </c>
      <c r="AI48" s="40">
        <v>0</v>
      </c>
      <c r="AJ48" s="40">
        <v>8</v>
      </c>
      <c r="AK48" s="40">
        <v>237</v>
      </c>
      <c r="AL48" s="40">
        <v>13</v>
      </c>
      <c r="AM48" s="40">
        <v>0</v>
      </c>
      <c r="AN48" s="40">
        <v>107</v>
      </c>
      <c r="AO48" s="40">
        <v>230</v>
      </c>
      <c r="AP48" s="40">
        <v>29724</v>
      </c>
      <c r="AQ48" s="40">
        <v>109</v>
      </c>
      <c r="AR48" s="40">
        <v>865</v>
      </c>
      <c r="AS48" s="40">
        <v>155346</v>
      </c>
      <c r="AT48" s="40">
        <v>26904</v>
      </c>
      <c r="AU48" s="40">
        <v>62988</v>
      </c>
      <c r="AV48" s="40">
        <v>43350</v>
      </c>
      <c r="AW48" s="40">
        <v>36527</v>
      </c>
      <c r="AX48" s="40">
        <v>17117</v>
      </c>
      <c r="AY48" s="40">
        <v>5</v>
      </c>
      <c r="AZ48" s="40">
        <v>1155</v>
      </c>
      <c r="BA48" s="40">
        <v>41924</v>
      </c>
      <c r="BB48" s="40">
        <v>469</v>
      </c>
      <c r="BC48" s="40">
        <v>31693</v>
      </c>
      <c r="BD48" s="40">
        <v>9750</v>
      </c>
      <c r="BE48" s="40">
        <v>10943</v>
      </c>
      <c r="BF48" s="40">
        <v>8087</v>
      </c>
      <c r="BG48" s="40">
        <v>5361</v>
      </c>
      <c r="BH48" s="40">
        <v>3439</v>
      </c>
      <c r="BI48" s="40">
        <v>2300</v>
      </c>
      <c r="BJ48" s="40">
        <v>165826</v>
      </c>
      <c r="BK48" s="40">
        <v>98635</v>
      </c>
      <c r="BL48" s="40">
        <v>367019</v>
      </c>
      <c r="BM48" s="40">
        <v>507897</v>
      </c>
      <c r="BN48" s="40">
        <v>360822</v>
      </c>
      <c r="BO48" s="40">
        <v>1514243</v>
      </c>
      <c r="BP48" s="40">
        <v>3481</v>
      </c>
      <c r="BQ48" s="40">
        <v>22146</v>
      </c>
      <c r="BR48" s="40">
        <v>24021</v>
      </c>
      <c r="BS48" s="40">
        <v>0</v>
      </c>
      <c r="BT48" s="40">
        <v>3787277</v>
      </c>
      <c r="BU48" s="40">
        <v>471415</v>
      </c>
      <c r="BV48" s="40">
        <v>0</v>
      </c>
      <c r="BW48" s="40">
        <v>0</v>
      </c>
      <c r="BX48" s="40">
        <v>471415</v>
      </c>
      <c r="BY48" s="40">
        <v>0</v>
      </c>
      <c r="BZ48" s="40">
        <v>0</v>
      </c>
      <c r="CA48" s="40">
        <v>0</v>
      </c>
      <c r="CB48" s="40">
        <v>0</v>
      </c>
      <c r="CC48" s="40">
        <v>0</v>
      </c>
      <c r="CD48" s="40">
        <v>471415</v>
      </c>
      <c r="CE48" s="40">
        <v>4258692</v>
      </c>
      <c r="CF48" s="41"/>
      <c r="CG48" s="41"/>
      <c r="CH48" s="42"/>
    </row>
    <row r="49" spans="1:86">
      <c r="A49" s="38">
        <v>43</v>
      </c>
      <c r="B49" s="65" t="s">
        <v>48</v>
      </c>
      <c r="C49" s="39" t="s">
        <v>47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0</v>
      </c>
      <c r="AH49" s="40">
        <v>0</v>
      </c>
      <c r="AI49" s="40">
        <v>0</v>
      </c>
      <c r="AJ49" s="40">
        <v>0</v>
      </c>
      <c r="AK49" s="40">
        <v>0</v>
      </c>
      <c r="AL49" s="40">
        <v>0</v>
      </c>
      <c r="AM49" s="40">
        <v>0</v>
      </c>
      <c r="AN49" s="40">
        <v>0</v>
      </c>
      <c r="AO49" s="40">
        <v>0</v>
      </c>
      <c r="AP49" s="40">
        <v>0</v>
      </c>
      <c r="AQ49" s="40">
        <v>0</v>
      </c>
      <c r="AR49" s="40">
        <v>0</v>
      </c>
      <c r="AS49" s="40">
        <v>0</v>
      </c>
      <c r="AT49" s="40">
        <v>0</v>
      </c>
      <c r="AU49" s="40">
        <v>0</v>
      </c>
      <c r="AV49" s="40">
        <v>0</v>
      </c>
      <c r="AW49" s="40">
        <v>0</v>
      </c>
      <c r="AX49" s="40">
        <v>0</v>
      </c>
      <c r="AY49" s="40">
        <v>0</v>
      </c>
      <c r="AZ49" s="40">
        <v>0</v>
      </c>
      <c r="BA49" s="40">
        <v>0</v>
      </c>
      <c r="BB49" s="40">
        <v>0</v>
      </c>
      <c r="BC49" s="40">
        <v>0</v>
      </c>
      <c r="BD49" s="40">
        <v>0</v>
      </c>
      <c r="BE49" s="40">
        <v>0</v>
      </c>
      <c r="BF49" s="40">
        <v>0</v>
      </c>
      <c r="BG49" s="40">
        <v>0</v>
      </c>
      <c r="BH49" s="40">
        <v>0</v>
      </c>
      <c r="BI49" s="40">
        <v>0</v>
      </c>
      <c r="BJ49" s="40">
        <v>0</v>
      </c>
      <c r="BK49" s="40">
        <v>0</v>
      </c>
      <c r="BL49" s="40">
        <v>0</v>
      </c>
      <c r="BM49" s="40">
        <v>0</v>
      </c>
      <c r="BN49" s="40">
        <v>0</v>
      </c>
      <c r="BO49" s="40">
        <v>0</v>
      </c>
      <c r="BP49" s="40">
        <v>0</v>
      </c>
      <c r="BQ49" s="40">
        <v>0</v>
      </c>
      <c r="BR49" s="40">
        <v>0</v>
      </c>
      <c r="BS49" s="40">
        <v>0</v>
      </c>
      <c r="BT49" s="40">
        <v>0</v>
      </c>
      <c r="BU49" s="40">
        <v>0</v>
      </c>
      <c r="BV49" s="40">
        <v>0</v>
      </c>
      <c r="BW49" s="40">
        <v>0</v>
      </c>
      <c r="BX49" s="40">
        <v>0</v>
      </c>
      <c r="BY49" s="40">
        <v>0</v>
      </c>
      <c r="BZ49" s="40">
        <v>0</v>
      </c>
      <c r="CA49" s="40">
        <v>0</v>
      </c>
      <c r="CB49" s="40">
        <v>0</v>
      </c>
      <c r="CC49" s="40">
        <v>0</v>
      </c>
      <c r="CD49" s="40">
        <v>0</v>
      </c>
      <c r="CE49" s="40">
        <v>0</v>
      </c>
      <c r="CF49" s="41"/>
      <c r="CG49" s="41"/>
      <c r="CH49" s="42"/>
    </row>
    <row r="50" spans="1:86" ht="33.75">
      <c r="A50" s="38">
        <v>44</v>
      </c>
      <c r="B50" s="65" t="s">
        <v>46</v>
      </c>
      <c r="C50" s="39" t="s">
        <v>137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T50" s="40">
        <v>0</v>
      </c>
      <c r="U50" s="40">
        <v>0</v>
      </c>
      <c r="V50" s="40">
        <v>0</v>
      </c>
      <c r="W50" s="40">
        <v>0</v>
      </c>
      <c r="X50" s="40">
        <v>0</v>
      </c>
      <c r="Y50" s="40">
        <v>0</v>
      </c>
      <c r="Z50" s="40">
        <v>0</v>
      </c>
      <c r="AA50" s="40">
        <v>0</v>
      </c>
      <c r="AB50" s="40">
        <v>0</v>
      </c>
      <c r="AC50" s="40">
        <v>0</v>
      </c>
      <c r="AD50" s="40">
        <v>0</v>
      </c>
      <c r="AE50" s="40">
        <v>0</v>
      </c>
      <c r="AF50" s="40">
        <v>0</v>
      </c>
      <c r="AG50" s="40">
        <v>0</v>
      </c>
      <c r="AH50" s="40">
        <v>0</v>
      </c>
      <c r="AI50" s="40">
        <v>0</v>
      </c>
      <c r="AJ50" s="40">
        <v>0</v>
      </c>
      <c r="AK50" s="40">
        <v>0</v>
      </c>
      <c r="AL50" s="40">
        <v>0</v>
      </c>
      <c r="AM50" s="40">
        <v>0</v>
      </c>
      <c r="AN50" s="40">
        <v>0</v>
      </c>
      <c r="AO50" s="40">
        <v>0</v>
      </c>
      <c r="AP50" s="40">
        <v>0</v>
      </c>
      <c r="AQ50" s="40">
        <v>0</v>
      </c>
      <c r="AR50" s="40">
        <v>0</v>
      </c>
      <c r="AS50" s="40">
        <v>0</v>
      </c>
      <c r="AT50" s="40">
        <v>0</v>
      </c>
      <c r="AU50" s="40">
        <v>0</v>
      </c>
      <c r="AV50" s="40">
        <v>0</v>
      </c>
      <c r="AW50" s="40">
        <v>0</v>
      </c>
      <c r="AX50" s="40">
        <v>0</v>
      </c>
      <c r="AY50" s="40">
        <v>0</v>
      </c>
      <c r="AZ50" s="40">
        <v>0</v>
      </c>
      <c r="BA50" s="40">
        <v>0</v>
      </c>
      <c r="BB50" s="40">
        <v>0</v>
      </c>
      <c r="BC50" s="40">
        <v>0</v>
      </c>
      <c r="BD50" s="40">
        <v>0</v>
      </c>
      <c r="BE50" s="40">
        <v>0</v>
      </c>
      <c r="BF50" s="40">
        <v>0</v>
      </c>
      <c r="BG50" s="40">
        <v>0</v>
      </c>
      <c r="BH50" s="40">
        <v>0</v>
      </c>
      <c r="BI50" s="40">
        <v>0</v>
      </c>
      <c r="BJ50" s="40">
        <v>0</v>
      </c>
      <c r="BK50" s="40">
        <v>0</v>
      </c>
      <c r="BL50" s="40">
        <v>0</v>
      </c>
      <c r="BM50" s="40">
        <v>0</v>
      </c>
      <c r="BN50" s="40">
        <v>0</v>
      </c>
      <c r="BO50" s="40">
        <v>0</v>
      </c>
      <c r="BP50" s="40">
        <v>0</v>
      </c>
      <c r="BQ50" s="40">
        <v>0</v>
      </c>
      <c r="BR50" s="40">
        <v>0</v>
      </c>
      <c r="BS50" s="40">
        <v>0</v>
      </c>
      <c r="BT50" s="40">
        <v>0</v>
      </c>
      <c r="BU50" s="40">
        <v>0</v>
      </c>
      <c r="BV50" s="40">
        <v>0</v>
      </c>
      <c r="BW50" s="40">
        <v>0</v>
      </c>
      <c r="BX50" s="40">
        <v>0</v>
      </c>
      <c r="BY50" s="40">
        <v>0</v>
      </c>
      <c r="BZ50" s="40">
        <v>0</v>
      </c>
      <c r="CA50" s="40">
        <v>0</v>
      </c>
      <c r="CB50" s="40">
        <v>0</v>
      </c>
      <c r="CC50" s="40">
        <v>0</v>
      </c>
      <c r="CD50" s="40">
        <v>0</v>
      </c>
      <c r="CE50" s="40">
        <v>0</v>
      </c>
      <c r="CF50" s="41"/>
      <c r="CG50" s="41"/>
      <c r="CH50" s="42"/>
    </row>
    <row r="51" spans="1:86" ht="22.5">
      <c r="A51" s="38">
        <v>45</v>
      </c>
      <c r="B51" s="65" t="s">
        <v>45</v>
      </c>
      <c r="C51" s="39" t="s">
        <v>44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40">
        <v>0</v>
      </c>
      <c r="S51" s="40">
        <v>0</v>
      </c>
      <c r="T51" s="40">
        <v>0</v>
      </c>
      <c r="U51" s="40">
        <v>0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40">
        <v>0</v>
      </c>
      <c r="AI51" s="40">
        <v>0</v>
      </c>
      <c r="AJ51" s="40">
        <v>0</v>
      </c>
      <c r="AK51" s="40">
        <v>0</v>
      </c>
      <c r="AL51" s="40">
        <v>0</v>
      </c>
      <c r="AM51" s="40">
        <v>0</v>
      </c>
      <c r="AN51" s="40">
        <v>0</v>
      </c>
      <c r="AO51" s="40">
        <v>0</v>
      </c>
      <c r="AP51" s="40">
        <v>0</v>
      </c>
      <c r="AQ51" s="40">
        <v>0</v>
      </c>
      <c r="AR51" s="40">
        <v>0</v>
      </c>
      <c r="AS51" s="40">
        <v>0</v>
      </c>
      <c r="AT51" s="40">
        <v>0</v>
      </c>
      <c r="AU51" s="40">
        <v>0</v>
      </c>
      <c r="AV51" s="40">
        <v>0</v>
      </c>
      <c r="AW51" s="40">
        <v>0</v>
      </c>
      <c r="AX51" s="40">
        <v>0</v>
      </c>
      <c r="AY51" s="40">
        <v>0</v>
      </c>
      <c r="AZ51" s="40">
        <v>0</v>
      </c>
      <c r="BA51" s="40">
        <v>0</v>
      </c>
      <c r="BB51" s="40">
        <v>0</v>
      </c>
      <c r="BC51" s="40">
        <v>0</v>
      </c>
      <c r="BD51" s="40">
        <v>0</v>
      </c>
      <c r="BE51" s="40">
        <v>0</v>
      </c>
      <c r="BF51" s="40">
        <v>0</v>
      </c>
      <c r="BG51" s="40">
        <v>0</v>
      </c>
      <c r="BH51" s="40">
        <v>0</v>
      </c>
      <c r="BI51" s="40">
        <v>0</v>
      </c>
      <c r="BJ51" s="40">
        <v>0</v>
      </c>
      <c r="BK51" s="40">
        <v>0</v>
      </c>
      <c r="BL51" s="40">
        <v>0</v>
      </c>
      <c r="BM51" s="40">
        <v>0</v>
      </c>
      <c r="BN51" s="40">
        <v>0</v>
      </c>
      <c r="BO51" s="40">
        <v>0</v>
      </c>
      <c r="BP51" s="40">
        <v>0</v>
      </c>
      <c r="BQ51" s="40">
        <v>0</v>
      </c>
      <c r="BR51" s="40">
        <v>0</v>
      </c>
      <c r="BS51" s="40">
        <v>0</v>
      </c>
      <c r="BT51" s="40">
        <v>0</v>
      </c>
      <c r="BU51" s="40">
        <v>0</v>
      </c>
      <c r="BV51" s="40">
        <v>0</v>
      </c>
      <c r="BW51" s="40">
        <v>0</v>
      </c>
      <c r="BX51" s="40">
        <v>0</v>
      </c>
      <c r="BY51" s="40">
        <v>0</v>
      </c>
      <c r="BZ51" s="40">
        <v>0</v>
      </c>
      <c r="CA51" s="40">
        <v>0</v>
      </c>
      <c r="CB51" s="40">
        <v>0</v>
      </c>
      <c r="CC51" s="40">
        <v>0</v>
      </c>
      <c r="CD51" s="40">
        <v>0</v>
      </c>
      <c r="CE51" s="40">
        <v>0</v>
      </c>
      <c r="CF51" s="41"/>
      <c r="CG51" s="41"/>
      <c r="CH51" s="42"/>
    </row>
    <row r="52" spans="1:86" ht="33.75">
      <c r="A52" s="38">
        <v>46</v>
      </c>
      <c r="B52" s="65" t="s">
        <v>43</v>
      </c>
      <c r="C52" s="39" t="s">
        <v>42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40">
        <v>0</v>
      </c>
      <c r="AJ52" s="40">
        <v>0</v>
      </c>
      <c r="AK52" s="40">
        <v>0</v>
      </c>
      <c r="AL52" s="40">
        <v>0</v>
      </c>
      <c r="AM52" s="40">
        <v>0</v>
      </c>
      <c r="AN52" s="40">
        <v>0</v>
      </c>
      <c r="AO52" s="40">
        <v>0</v>
      </c>
      <c r="AP52" s="40">
        <v>0</v>
      </c>
      <c r="AQ52" s="40">
        <v>0</v>
      </c>
      <c r="AR52" s="40">
        <v>0</v>
      </c>
      <c r="AS52" s="40">
        <v>0</v>
      </c>
      <c r="AT52" s="40">
        <v>0</v>
      </c>
      <c r="AU52" s="40">
        <v>0</v>
      </c>
      <c r="AV52" s="40">
        <v>0</v>
      </c>
      <c r="AW52" s="40">
        <v>0</v>
      </c>
      <c r="AX52" s="40">
        <v>0</v>
      </c>
      <c r="AY52" s="40">
        <v>0</v>
      </c>
      <c r="AZ52" s="40">
        <v>0</v>
      </c>
      <c r="BA52" s="40">
        <v>0</v>
      </c>
      <c r="BB52" s="40">
        <v>0</v>
      </c>
      <c r="BC52" s="40">
        <v>0</v>
      </c>
      <c r="BD52" s="40">
        <v>0</v>
      </c>
      <c r="BE52" s="40">
        <v>0</v>
      </c>
      <c r="BF52" s="40">
        <v>0</v>
      </c>
      <c r="BG52" s="40">
        <v>0</v>
      </c>
      <c r="BH52" s="40">
        <v>0</v>
      </c>
      <c r="BI52" s="40">
        <v>0</v>
      </c>
      <c r="BJ52" s="40">
        <v>0</v>
      </c>
      <c r="BK52" s="40">
        <v>0</v>
      </c>
      <c r="BL52" s="40">
        <v>0</v>
      </c>
      <c r="BM52" s="40">
        <v>0</v>
      </c>
      <c r="BN52" s="40">
        <v>0</v>
      </c>
      <c r="BO52" s="40">
        <v>0</v>
      </c>
      <c r="BP52" s="40">
        <v>0</v>
      </c>
      <c r="BQ52" s="40">
        <v>0</v>
      </c>
      <c r="BR52" s="40">
        <v>0</v>
      </c>
      <c r="BS52" s="40">
        <v>0</v>
      </c>
      <c r="BT52" s="40">
        <v>0</v>
      </c>
      <c r="BU52" s="40">
        <v>0</v>
      </c>
      <c r="BV52" s="40">
        <v>0</v>
      </c>
      <c r="BW52" s="40">
        <v>0</v>
      </c>
      <c r="BX52" s="40">
        <v>0</v>
      </c>
      <c r="BY52" s="40">
        <v>0</v>
      </c>
      <c r="BZ52" s="40">
        <v>0</v>
      </c>
      <c r="CA52" s="40">
        <v>0</v>
      </c>
      <c r="CB52" s="40">
        <v>0</v>
      </c>
      <c r="CC52" s="40">
        <v>0</v>
      </c>
      <c r="CD52" s="40">
        <v>0</v>
      </c>
      <c r="CE52" s="40">
        <v>0</v>
      </c>
      <c r="CF52" s="41"/>
      <c r="CG52" s="41"/>
      <c r="CH52" s="42"/>
    </row>
    <row r="53" spans="1:86" ht="22.5">
      <c r="A53" s="38">
        <v>47</v>
      </c>
      <c r="B53" s="65" t="s">
        <v>41</v>
      </c>
      <c r="C53" s="39" t="s">
        <v>40</v>
      </c>
      <c r="D53" s="40">
        <v>-48524263</v>
      </c>
      <c r="E53" s="40">
        <v>-10663</v>
      </c>
      <c r="F53" s="40">
        <v>-225407</v>
      </c>
      <c r="G53" s="40">
        <v>-4212377</v>
      </c>
      <c r="H53" s="40">
        <v>-52212191</v>
      </c>
      <c r="I53" s="40">
        <v>-969797</v>
      </c>
      <c r="J53" s="40">
        <v>-10540041</v>
      </c>
      <c r="K53" s="40">
        <v>-114790659</v>
      </c>
      <c r="L53" s="40">
        <v>-3662117</v>
      </c>
      <c r="M53" s="40">
        <v>-12159741</v>
      </c>
      <c r="N53" s="40">
        <v>-53842345</v>
      </c>
      <c r="O53" s="40">
        <v>-1382845</v>
      </c>
      <c r="P53" s="40">
        <v>-1806766</v>
      </c>
      <c r="Q53" s="40">
        <v>-550851</v>
      </c>
      <c r="R53" s="40">
        <v>-153892</v>
      </c>
      <c r="S53" s="40">
        <v>-355465</v>
      </c>
      <c r="T53" s="40">
        <v>-1452468</v>
      </c>
      <c r="U53" s="40">
        <v>-552015</v>
      </c>
      <c r="V53" s="40">
        <v>-4253902</v>
      </c>
      <c r="W53" s="40">
        <v>-85638248</v>
      </c>
      <c r="X53" s="40">
        <v>-39320367</v>
      </c>
      <c r="Y53" s="40">
        <v>-2170476</v>
      </c>
      <c r="Z53" s="40">
        <v>-6099154</v>
      </c>
      <c r="AA53" s="40">
        <v>-27245991</v>
      </c>
      <c r="AB53" s="40">
        <v>-101940338</v>
      </c>
      <c r="AC53" s="40">
        <v>-4121373</v>
      </c>
      <c r="AD53" s="40">
        <v>-5426166</v>
      </c>
      <c r="AE53" s="40">
        <v>-288708699</v>
      </c>
      <c r="AF53" s="40">
        <v>-757398</v>
      </c>
      <c r="AG53" s="40">
        <v>-12192388</v>
      </c>
      <c r="AH53" s="40">
        <v>-1144468</v>
      </c>
      <c r="AI53" s="40">
        <v>-6279975</v>
      </c>
      <c r="AJ53" s="40">
        <v>-11857854</v>
      </c>
      <c r="AK53" s="40">
        <v>-29815009</v>
      </c>
      <c r="AL53" s="40">
        <v>-11800442</v>
      </c>
      <c r="AM53" s="40">
        <v>-1157826</v>
      </c>
      <c r="AN53" s="40">
        <v>-1305114</v>
      </c>
      <c r="AO53" s="40">
        <v>-22469999</v>
      </c>
      <c r="AP53" s="40">
        <v>-28301565</v>
      </c>
      <c r="AQ53" s="40">
        <v>-6520801</v>
      </c>
      <c r="AR53" s="40">
        <v>-6554027</v>
      </c>
      <c r="AS53" s="40">
        <v>-5834927</v>
      </c>
      <c r="AT53" s="40">
        <v>-222564694</v>
      </c>
      <c r="AU53" s="40">
        <v>-16616732</v>
      </c>
      <c r="AV53" s="40">
        <v>-25003727</v>
      </c>
      <c r="AW53" s="40">
        <v>-9488911</v>
      </c>
      <c r="AX53" s="40">
        <v>-41838951</v>
      </c>
      <c r="AY53" s="40">
        <v>-67919</v>
      </c>
      <c r="AZ53" s="40">
        <v>-5376962</v>
      </c>
      <c r="BA53" s="40">
        <v>-10427299</v>
      </c>
      <c r="BB53" s="40">
        <v>-191994</v>
      </c>
      <c r="BC53" s="40">
        <v>-2979482</v>
      </c>
      <c r="BD53" s="40">
        <v>-21176740</v>
      </c>
      <c r="BE53" s="40">
        <v>-2319709</v>
      </c>
      <c r="BF53" s="40">
        <v>-6279315</v>
      </c>
      <c r="BG53" s="40">
        <v>-23432448</v>
      </c>
      <c r="BH53" s="40">
        <v>-332406</v>
      </c>
      <c r="BI53" s="40">
        <v>-140740</v>
      </c>
      <c r="BJ53" s="40">
        <v>-7248076</v>
      </c>
      <c r="BK53" s="40">
        <v>-31301301</v>
      </c>
      <c r="BL53" s="40">
        <v>-6628721</v>
      </c>
      <c r="BM53" s="40">
        <v>-12735176</v>
      </c>
      <c r="BN53" s="40">
        <v>-17480219</v>
      </c>
      <c r="BO53" s="40">
        <v>-39096032</v>
      </c>
      <c r="BP53" s="40">
        <v>-577409</v>
      </c>
      <c r="BQ53" s="40">
        <v>-6441482</v>
      </c>
      <c r="BR53" s="40">
        <v>-2564991</v>
      </c>
      <c r="BS53" s="40">
        <v>0</v>
      </c>
      <c r="BT53" s="40">
        <v>-1530631846</v>
      </c>
      <c r="BU53" s="40">
        <v>-352908540</v>
      </c>
      <c r="BV53" s="40">
        <v>0</v>
      </c>
      <c r="BW53" s="40">
        <v>0</v>
      </c>
      <c r="BX53" s="40">
        <v>-352908540</v>
      </c>
      <c r="BY53" s="40">
        <v>-165726827</v>
      </c>
      <c r="BZ53" s="40">
        <v>0</v>
      </c>
      <c r="CA53" s="40">
        <v>0</v>
      </c>
      <c r="CB53" s="40">
        <v>-165726827</v>
      </c>
      <c r="CC53" s="40">
        <v>0</v>
      </c>
      <c r="CD53" s="40">
        <v>-518635367</v>
      </c>
      <c r="CE53" s="40">
        <v>-2049267213</v>
      </c>
      <c r="CF53" s="41"/>
      <c r="CG53" s="41"/>
      <c r="CH53" s="42"/>
    </row>
    <row r="54" spans="1:86">
      <c r="A54" s="38">
        <v>48</v>
      </c>
      <c r="B54" s="65" t="s">
        <v>39</v>
      </c>
      <c r="C54" s="39" t="s">
        <v>38</v>
      </c>
      <c r="D54" s="40">
        <v>-565326</v>
      </c>
      <c r="E54" s="40">
        <v>-65</v>
      </c>
      <c r="F54" s="40">
        <v>-2539</v>
      </c>
      <c r="G54" s="40">
        <v>-47365</v>
      </c>
      <c r="H54" s="40">
        <v>-531770</v>
      </c>
      <c r="I54" s="40">
        <v>-10926</v>
      </c>
      <c r="J54" s="40">
        <v>-118077</v>
      </c>
      <c r="K54" s="40">
        <v>-1292974</v>
      </c>
      <c r="L54" s="40">
        <v>-40868</v>
      </c>
      <c r="M54" s="40">
        <v>-136696</v>
      </c>
      <c r="N54" s="40">
        <v>-611146</v>
      </c>
      <c r="O54" s="40">
        <v>-19288</v>
      </c>
      <c r="P54" s="40">
        <v>-21958</v>
      </c>
      <c r="Q54" s="40">
        <v>-6302</v>
      </c>
      <c r="R54" s="40">
        <v>-1734</v>
      </c>
      <c r="S54" s="40">
        <v>-3993</v>
      </c>
      <c r="T54" s="40">
        <v>-16347</v>
      </c>
      <c r="U54" s="40">
        <v>-6175</v>
      </c>
      <c r="V54" s="40">
        <v>-47915</v>
      </c>
      <c r="W54" s="40">
        <v>-345194</v>
      </c>
      <c r="X54" s="40">
        <v>-442823</v>
      </c>
      <c r="Y54" s="40">
        <v>-24461</v>
      </c>
      <c r="Z54" s="40">
        <v>-68675</v>
      </c>
      <c r="AA54" s="40">
        <v>-307058</v>
      </c>
      <c r="AB54" s="40">
        <v>-1148329</v>
      </c>
      <c r="AC54" s="40">
        <v>-46428</v>
      </c>
      <c r="AD54" s="40">
        <v>-61133</v>
      </c>
      <c r="AE54" s="40">
        <v>-3906751</v>
      </c>
      <c r="AF54" s="40">
        <v>-8532</v>
      </c>
      <c r="AG54" s="40">
        <v>-137165</v>
      </c>
      <c r="AH54" s="40">
        <v>-12893</v>
      </c>
      <c r="AI54" s="40">
        <v>-70664</v>
      </c>
      <c r="AJ54" s="40">
        <v>-133582</v>
      </c>
      <c r="AK54" s="40">
        <v>-335922</v>
      </c>
      <c r="AL54" s="40">
        <v>-132947</v>
      </c>
      <c r="AM54" s="40">
        <v>-13045</v>
      </c>
      <c r="AN54" s="40">
        <v>-14702</v>
      </c>
      <c r="AO54" s="40">
        <v>-253053</v>
      </c>
      <c r="AP54" s="40">
        <v>-318843</v>
      </c>
      <c r="AQ54" s="40">
        <v>-79295</v>
      </c>
      <c r="AR54" s="40">
        <v>-73845</v>
      </c>
      <c r="AS54" s="40">
        <v>-65553</v>
      </c>
      <c r="AT54" s="40">
        <v>-2499688</v>
      </c>
      <c r="AU54" s="40">
        <v>-187520</v>
      </c>
      <c r="AV54" s="40">
        <v>-288600</v>
      </c>
      <c r="AW54" s="40">
        <v>-107100</v>
      </c>
      <c r="AX54" s="40">
        <v>-506326</v>
      </c>
      <c r="AY54" s="40">
        <v>-3989</v>
      </c>
      <c r="AZ54" s="40">
        <v>-83074</v>
      </c>
      <c r="BA54" s="40">
        <v>-164498</v>
      </c>
      <c r="BB54" s="40">
        <v>-2162</v>
      </c>
      <c r="BC54" s="40">
        <v>-33766</v>
      </c>
      <c r="BD54" s="40">
        <v>-237127</v>
      </c>
      <c r="BE54" s="40">
        <v>-26218</v>
      </c>
      <c r="BF54" s="40">
        <v>-70618</v>
      </c>
      <c r="BG54" s="40">
        <v>-264023</v>
      </c>
      <c r="BH54" s="40">
        <v>-3745</v>
      </c>
      <c r="BI54" s="40">
        <v>-1587</v>
      </c>
      <c r="BJ54" s="40">
        <v>-85362</v>
      </c>
      <c r="BK54" s="40">
        <v>-356602</v>
      </c>
      <c r="BL54" s="40">
        <v>-87440</v>
      </c>
      <c r="BM54" s="40">
        <v>-143691</v>
      </c>
      <c r="BN54" s="40">
        <v>-196782</v>
      </c>
      <c r="BO54" s="40">
        <v>-437124</v>
      </c>
      <c r="BP54" s="40">
        <v>-6478</v>
      </c>
      <c r="BQ54" s="40">
        <v>-72812</v>
      </c>
      <c r="BR54" s="40">
        <v>-28744</v>
      </c>
      <c r="BS54" s="40">
        <v>0</v>
      </c>
      <c r="BT54" s="40">
        <v>-17377433</v>
      </c>
      <c r="BU54" s="40">
        <v>-3829750</v>
      </c>
      <c r="BV54" s="40">
        <v>0</v>
      </c>
      <c r="BW54" s="40">
        <v>0</v>
      </c>
      <c r="BX54" s="40">
        <v>-3829750</v>
      </c>
      <c r="BY54" s="40">
        <v>-1865954</v>
      </c>
      <c r="BZ54" s="40">
        <v>0</v>
      </c>
      <c r="CA54" s="40">
        <v>0</v>
      </c>
      <c r="CB54" s="40">
        <v>-1865954</v>
      </c>
      <c r="CC54" s="40">
        <v>0</v>
      </c>
      <c r="CD54" s="40">
        <v>-5695704</v>
      </c>
      <c r="CE54" s="40">
        <v>-23073137</v>
      </c>
      <c r="CF54" s="41"/>
      <c r="CG54" s="41"/>
      <c r="CH54" s="42"/>
    </row>
    <row r="55" spans="1:86">
      <c r="A55" s="38">
        <v>49</v>
      </c>
      <c r="B55" s="65" t="s">
        <v>37</v>
      </c>
      <c r="C55" s="39" t="s">
        <v>36</v>
      </c>
      <c r="D55" s="40">
        <v>-1553</v>
      </c>
      <c r="E55" s="40">
        <v>0</v>
      </c>
      <c r="F55" s="40">
        <v>-7</v>
      </c>
      <c r="G55" s="40">
        <v>-130</v>
      </c>
      <c r="H55" s="40">
        <v>-1461</v>
      </c>
      <c r="I55" s="40">
        <v>-30</v>
      </c>
      <c r="J55" s="40">
        <v>-324</v>
      </c>
      <c r="K55" s="40">
        <v>-3553</v>
      </c>
      <c r="L55" s="40">
        <v>-112</v>
      </c>
      <c r="M55" s="40">
        <v>-376</v>
      </c>
      <c r="N55" s="40">
        <v>-1678</v>
      </c>
      <c r="O55" s="40">
        <v>-53</v>
      </c>
      <c r="P55" s="40">
        <v>-60</v>
      </c>
      <c r="Q55" s="40">
        <v>-18</v>
      </c>
      <c r="R55" s="40">
        <v>-5</v>
      </c>
      <c r="S55" s="40">
        <v>-11</v>
      </c>
      <c r="T55" s="40">
        <v>-45</v>
      </c>
      <c r="U55" s="40">
        <v>-17</v>
      </c>
      <c r="V55" s="40">
        <v>-132</v>
      </c>
      <c r="W55" s="40">
        <v>-949</v>
      </c>
      <c r="X55" s="40">
        <v>-1217</v>
      </c>
      <c r="Y55" s="40">
        <v>-67</v>
      </c>
      <c r="Z55" s="40">
        <v>-189</v>
      </c>
      <c r="AA55" s="40">
        <v>-845</v>
      </c>
      <c r="AB55" s="40">
        <v>-3155</v>
      </c>
      <c r="AC55" s="40">
        <v>-128</v>
      </c>
      <c r="AD55" s="40">
        <v>-168</v>
      </c>
      <c r="AE55" s="40">
        <v>-10735</v>
      </c>
      <c r="AF55" s="40">
        <v>-23</v>
      </c>
      <c r="AG55" s="40">
        <v>-377</v>
      </c>
      <c r="AH55" s="40">
        <v>-36</v>
      </c>
      <c r="AI55" s="40">
        <v>-194</v>
      </c>
      <c r="AJ55" s="40">
        <v>-367</v>
      </c>
      <c r="AK55" s="40">
        <v>-923</v>
      </c>
      <c r="AL55" s="40">
        <v>-365</v>
      </c>
      <c r="AM55" s="40">
        <v>-36</v>
      </c>
      <c r="AN55" s="40">
        <v>-40</v>
      </c>
      <c r="AO55" s="40">
        <v>-695</v>
      </c>
      <c r="AP55" s="40">
        <v>-876</v>
      </c>
      <c r="AQ55" s="40">
        <v>-218</v>
      </c>
      <c r="AR55" s="40">
        <v>-203</v>
      </c>
      <c r="AS55" s="40">
        <v>-181</v>
      </c>
      <c r="AT55" s="40">
        <v>-6868</v>
      </c>
      <c r="AU55" s="40">
        <v>-515</v>
      </c>
      <c r="AV55" s="40">
        <v>-793</v>
      </c>
      <c r="AW55" s="40">
        <v>-294</v>
      </c>
      <c r="AX55" s="40">
        <v>-1391</v>
      </c>
      <c r="AY55" s="40">
        <v>-11</v>
      </c>
      <c r="AZ55" s="40">
        <v>-228</v>
      </c>
      <c r="BA55" s="40">
        <v>-452</v>
      </c>
      <c r="BB55" s="40">
        <v>-6</v>
      </c>
      <c r="BC55" s="40">
        <v>-93</v>
      </c>
      <c r="BD55" s="40">
        <v>-651</v>
      </c>
      <c r="BE55" s="40">
        <v>-72</v>
      </c>
      <c r="BF55" s="40">
        <v>-194</v>
      </c>
      <c r="BG55" s="40">
        <v>-726</v>
      </c>
      <c r="BH55" s="40">
        <v>-10</v>
      </c>
      <c r="BI55" s="40">
        <v>-4</v>
      </c>
      <c r="BJ55" s="40">
        <v>-235</v>
      </c>
      <c r="BK55" s="40">
        <v>-980</v>
      </c>
      <c r="BL55" s="40">
        <v>-241</v>
      </c>
      <c r="BM55" s="40">
        <v>-395</v>
      </c>
      <c r="BN55" s="40">
        <v>-541</v>
      </c>
      <c r="BO55" s="40">
        <v>-1201</v>
      </c>
      <c r="BP55" s="40">
        <v>-18</v>
      </c>
      <c r="BQ55" s="40">
        <v>-200</v>
      </c>
      <c r="BR55" s="40">
        <v>-79</v>
      </c>
      <c r="BS55" s="40">
        <v>0</v>
      </c>
      <c r="BT55" s="40">
        <v>-47750</v>
      </c>
      <c r="BU55" s="40">
        <v>-10524</v>
      </c>
      <c r="BV55" s="40">
        <v>0</v>
      </c>
      <c r="BW55" s="40">
        <v>0</v>
      </c>
      <c r="BX55" s="40">
        <v>-10524</v>
      </c>
      <c r="BY55" s="40">
        <v>-5127</v>
      </c>
      <c r="BZ55" s="40">
        <v>0</v>
      </c>
      <c r="CA55" s="40">
        <v>0</v>
      </c>
      <c r="CB55" s="40">
        <v>-5127</v>
      </c>
      <c r="CC55" s="40">
        <v>0</v>
      </c>
      <c r="CD55" s="40">
        <v>-15651</v>
      </c>
      <c r="CE55" s="40">
        <v>-63401</v>
      </c>
      <c r="CF55" s="41"/>
      <c r="CG55" s="41"/>
      <c r="CH55" s="42"/>
    </row>
    <row r="56" spans="1:86" ht="22.5">
      <c r="A56" s="38">
        <v>50</v>
      </c>
      <c r="B56" s="65" t="s">
        <v>35</v>
      </c>
      <c r="C56" s="39" t="s">
        <v>34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40">
        <v>0</v>
      </c>
      <c r="S56" s="40">
        <v>0</v>
      </c>
      <c r="T56" s="40">
        <v>0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0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0</v>
      </c>
      <c r="AV56" s="40">
        <v>0</v>
      </c>
      <c r="AW56" s="40">
        <v>0</v>
      </c>
      <c r="AX56" s="40">
        <v>0</v>
      </c>
      <c r="AY56" s="40">
        <v>0</v>
      </c>
      <c r="AZ56" s="40">
        <v>0</v>
      </c>
      <c r="BA56" s="40">
        <v>0</v>
      </c>
      <c r="BB56" s="40">
        <v>0</v>
      </c>
      <c r="BC56" s="40">
        <v>0</v>
      </c>
      <c r="BD56" s="40">
        <v>0</v>
      </c>
      <c r="BE56" s="40">
        <v>0</v>
      </c>
      <c r="BF56" s="40">
        <v>0</v>
      </c>
      <c r="BG56" s="40">
        <v>0</v>
      </c>
      <c r="BH56" s="40">
        <v>0</v>
      </c>
      <c r="BI56" s="40">
        <v>0</v>
      </c>
      <c r="BJ56" s="40">
        <v>0</v>
      </c>
      <c r="BK56" s="40">
        <v>0</v>
      </c>
      <c r="BL56" s="40">
        <v>0</v>
      </c>
      <c r="BM56" s="40">
        <v>0</v>
      </c>
      <c r="BN56" s="40">
        <v>0</v>
      </c>
      <c r="BO56" s="40">
        <v>0</v>
      </c>
      <c r="BP56" s="40">
        <v>0</v>
      </c>
      <c r="BQ56" s="40">
        <v>0</v>
      </c>
      <c r="BR56" s="40">
        <v>0</v>
      </c>
      <c r="BS56" s="40">
        <v>0</v>
      </c>
      <c r="BT56" s="40">
        <v>0</v>
      </c>
      <c r="BU56" s="40">
        <v>0</v>
      </c>
      <c r="BV56" s="40">
        <v>0</v>
      </c>
      <c r="BW56" s="40">
        <v>0</v>
      </c>
      <c r="BX56" s="40">
        <v>0</v>
      </c>
      <c r="BY56" s="40">
        <v>0</v>
      </c>
      <c r="BZ56" s="40">
        <v>0</v>
      </c>
      <c r="CA56" s="40">
        <v>0</v>
      </c>
      <c r="CB56" s="40">
        <v>0</v>
      </c>
      <c r="CC56" s="40">
        <v>0</v>
      </c>
      <c r="CD56" s="40">
        <v>0</v>
      </c>
      <c r="CE56" s="40">
        <v>0</v>
      </c>
      <c r="CF56" s="41"/>
      <c r="CG56" s="41"/>
      <c r="CH56" s="42"/>
    </row>
    <row r="57" spans="1:86">
      <c r="A57" s="38">
        <v>51</v>
      </c>
      <c r="B57" s="65" t="s">
        <v>33</v>
      </c>
      <c r="C57" s="39" t="s">
        <v>32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40">
        <v>0</v>
      </c>
      <c r="S57" s="40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  <c r="AC57" s="40">
        <v>0</v>
      </c>
      <c r="AD57" s="40">
        <v>0</v>
      </c>
      <c r="AE57" s="40">
        <v>0</v>
      </c>
      <c r="AF57" s="40">
        <v>0</v>
      </c>
      <c r="AG57" s="40">
        <v>0</v>
      </c>
      <c r="AH57" s="40">
        <v>0</v>
      </c>
      <c r="AI57" s="40">
        <v>0</v>
      </c>
      <c r="AJ57" s="40">
        <v>0</v>
      </c>
      <c r="AK57" s="40">
        <v>0</v>
      </c>
      <c r="AL57" s="40">
        <v>0</v>
      </c>
      <c r="AM57" s="40">
        <v>0</v>
      </c>
      <c r="AN57" s="40">
        <v>0</v>
      </c>
      <c r="AO57" s="40">
        <v>0</v>
      </c>
      <c r="AP57" s="40">
        <v>0</v>
      </c>
      <c r="AQ57" s="40">
        <v>0</v>
      </c>
      <c r="AR57" s="40">
        <v>0</v>
      </c>
      <c r="AS57" s="40">
        <v>0</v>
      </c>
      <c r="AT57" s="40">
        <v>0</v>
      </c>
      <c r="AU57" s="40">
        <v>0</v>
      </c>
      <c r="AV57" s="40">
        <v>0</v>
      </c>
      <c r="AW57" s="40">
        <v>0</v>
      </c>
      <c r="AX57" s="40">
        <v>0</v>
      </c>
      <c r="AY57" s="40">
        <v>0</v>
      </c>
      <c r="AZ57" s="40">
        <v>0</v>
      </c>
      <c r="BA57" s="40">
        <v>0</v>
      </c>
      <c r="BB57" s="40">
        <v>0</v>
      </c>
      <c r="BC57" s="40">
        <v>0</v>
      </c>
      <c r="BD57" s="40">
        <v>0</v>
      </c>
      <c r="BE57" s="40">
        <v>0</v>
      </c>
      <c r="BF57" s="40">
        <v>0</v>
      </c>
      <c r="BG57" s="40">
        <v>0</v>
      </c>
      <c r="BH57" s="40">
        <v>0</v>
      </c>
      <c r="BI57" s="40">
        <v>0</v>
      </c>
      <c r="BJ57" s="40">
        <v>0</v>
      </c>
      <c r="BK57" s="40">
        <v>0</v>
      </c>
      <c r="BL57" s="40">
        <v>0</v>
      </c>
      <c r="BM57" s="40">
        <v>0</v>
      </c>
      <c r="BN57" s="40">
        <v>0</v>
      </c>
      <c r="BO57" s="40">
        <v>0</v>
      </c>
      <c r="BP57" s="40">
        <v>0</v>
      </c>
      <c r="BQ57" s="40">
        <v>0</v>
      </c>
      <c r="BR57" s="40">
        <v>0</v>
      </c>
      <c r="BS57" s="40">
        <v>0</v>
      </c>
      <c r="BT57" s="40">
        <v>0</v>
      </c>
      <c r="BU57" s="40">
        <v>0</v>
      </c>
      <c r="BV57" s="40">
        <v>0</v>
      </c>
      <c r="BW57" s="40">
        <v>0</v>
      </c>
      <c r="BX57" s="40">
        <v>0</v>
      </c>
      <c r="BY57" s="40">
        <v>0</v>
      </c>
      <c r="BZ57" s="40">
        <v>0</v>
      </c>
      <c r="CA57" s="40">
        <v>0</v>
      </c>
      <c r="CB57" s="40">
        <v>0</v>
      </c>
      <c r="CC57" s="40">
        <v>0</v>
      </c>
      <c r="CD57" s="40">
        <v>0</v>
      </c>
      <c r="CE57" s="40">
        <v>0</v>
      </c>
      <c r="CF57" s="41"/>
      <c r="CG57" s="41"/>
      <c r="CH57" s="42"/>
    </row>
    <row r="58" spans="1:86">
      <c r="A58" s="38">
        <v>52</v>
      </c>
      <c r="B58" s="65" t="s">
        <v>31</v>
      </c>
      <c r="C58" s="39" t="s">
        <v>30</v>
      </c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T58" s="40">
        <v>0</v>
      </c>
      <c r="U58" s="40">
        <v>0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0</v>
      </c>
      <c r="AI58" s="40">
        <v>0</v>
      </c>
      <c r="AJ58" s="40">
        <v>0</v>
      </c>
      <c r="AK58" s="40">
        <v>0</v>
      </c>
      <c r="AL58" s="40">
        <v>0</v>
      </c>
      <c r="AM58" s="40">
        <v>0</v>
      </c>
      <c r="AN58" s="40">
        <v>0</v>
      </c>
      <c r="AO58" s="40">
        <v>0</v>
      </c>
      <c r="AP58" s="40">
        <v>0</v>
      </c>
      <c r="AQ58" s="40">
        <v>0</v>
      </c>
      <c r="AR58" s="40">
        <v>0</v>
      </c>
      <c r="AS58" s="40">
        <v>0</v>
      </c>
      <c r="AT58" s="40">
        <v>0</v>
      </c>
      <c r="AU58" s="40">
        <v>0</v>
      </c>
      <c r="AV58" s="40">
        <v>0</v>
      </c>
      <c r="AW58" s="40">
        <v>0</v>
      </c>
      <c r="AX58" s="40">
        <v>0</v>
      </c>
      <c r="AY58" s="40">
        <v>0</v>
      </c>
      <c r="AZ58" s="40">
        <v>0</v>
      </c>
      <c r="BA58" s="40">
        <v>0</v>
      </c>
      <c r="BB58" s="40">
        <v>0</v>
      </c>
      <c r="BC58" s="40">
        <v>0</v>
      </c>
      <c r="BD58" s="40">
        <v>0</v>
      </c>
      <c r="BE58" s="40">
        <v>0</v>
      </c>
      <c r="BF58" s="40">
        <v>0</v>
      </c>
      <c r="BG58" s="40">
        <v>0</v>
      </c>
      <c r="BH58" s="40">
        <v>0</v>
      </c>
      <c r="BI58" s="40">
        <v>0</v>
      </c>
      <c r="BJ58" s="40">
        <v>0</v>
      </c>
      <c r="BK58" s="40">
        <v>0</v>
      </c>
      <c r="BL58" s="40">
        <v>0</v>
      </c>
      <c r="BM58" s="40">
        <v>0</v>
      </c>
      <c r="BN58" s="40">
        <v>0</v>
      </c>
      <c r="BO58" s="40">
        <v>0</v>
      </c>
      <c r="BP58" s="40">
        <v>0</v>
      </c>
      <c r="BQ58" s="40">
        <v>0</v>
      </c>
      <c r="BR58" s="40">
        <v>0</v>
      </c>
      <c r="BS58" s="40">
        <v>0</v>
      </c>
      <c r="BT58" s="40">
        <v>0</v>
      </c>
      <c r="BU58" s="40">
        <v>0</v>
      </c>
      <c r="BV58" s="40">
        <v>0</v>
      </c>
      <c r="BW58" s="40">
        <v>0</v>
      </c>
      <c r="BX58" s="40">
        <v>0</v>
      </c>
      <c r="BY58" s="40">
        <v>0</v>
      </c>
      <c r="BZ58" s="40">
        <v>0</v>
      </c>
      <c r="CA58" s="40">
        <v>0</v>
      </c>
      <c r="CB58" s="40">
        <v>0</v>
      </c>
      <c r="CC58" s="40">
        <v>0</v>
      </c>
      <c r="CD58" s="40">
        <v>0</v>
      </c>
      <c r="CE58" s="40">
        <v>0</v>
      </c>
      <c r="CF58" s="41"/>
      <c r="CG58" s="41"/>
      <c r="CH58" s="42"/>
    </row>
    <row r="59" spans="1:86" ht="22.5">
      <c r="A59" s="38">
        <v>53</v>
      </c>
      <c r="B59" s="65" t="s">
        <v>29</v>
      </c>
      <c r="C59" s="39" t="s">
        <v>28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40">
        <v>0</v>
      </c>
      <c r="AH59" s="40">
        <v>0</v>
      </c>
      <c r="AI59" s="40">
        <v>0</v>
      </c>
      <c r="AJ59" s="40">
        <v>0</v>
      </c>
      <c r="AK59" s="40">
        <v>0</v>
      </c>
      <c r="AL59" s="40">
        <v>0</v>
      </c>
      <c r="AM59" s="40">
        <v>0</v>
      </c>
      <c r="AN59" s="40">
        <v>0</v>
      </c>
      <c r="AO59" s="40">
        <v>0</v>
      </c>
      <c r="AP59" s="40">
        <v>0</v>
      </c>
      <c r="AQ59" s="40">
        <v>0</v>
      </c>
      <c r="AR59" s="40">
        <v>0</v>
      </c>
      <c r="AS59" s="40">
        <v>0</v>
      </c>
      <c r="AT59" s="40">
        <v>0</v>
      </c>
      <c r="AU59" s="40">
        <v>0</v>
      </c>
      <c r="AV59" s="40">
        <v>0</v>
      </c>
      <c r="AW59" s="40">
        <v>0</v>
      </c>
      <c r="AX59" s="40">
        <v>0</v>
      </c>
      <c r="AY59" s="40">
        <v>0</v>
      </c>
      <c r="AZ59" s="40">
        <v>0</v>
      </c>
      <c r="BA59" s="40">
        <v>0</v>
      </c>
      <c r="BB59" s="40">
        <v>0</v>
      </c>
      <c r="BC59" s="40">
        <v>0</v>
      </c>
      <c r="BD59" s="40">
        <v>0</v>
      </c>
      <c r="BE59" s="40">
        <v>0</v>
      </c>
      <c r="BF59" s="40">
        <v>0</v>
      </c>
      <c r="BG59" s="40">
        <v>0</v>
      </c>
      <c r="BH59" s="40">
        <v>0</v>
      </c>
      <c r="BI59" s="40">
        <v>0</v>
      </c>
      <c r="BJ59" s="40">
        <v>0</v>
      </c>
      <c r="BK59" s="40">
        <v>0</v>
      </c>
      <c r="BL59" s="40">
        <v>0</v>
      </c>
      <c r="BM59" s="40">
        <v>0</v>
      </c>
      <c r="BN59" s="40">
        <v>0</v>
      </c>
      <c r="BO59" s="40">
        <v>0</v>
      </c>
      <c r="BP59" s="40">
        <v>0</v>
      </c>
      <c r="BQ59" s="40">
        <v>0</v>
      </c>
      <c r="BR59" s="40">
        <v>0</v>
      </c>
      <c r="BS59" s="40">
        <v>0</v>
      </c>
      <c r="BT59" s="40">
        <v>0</v>
      </c>
      <c r="BU59" s="40">
        <v>0</v>
      </c>
      <c r="BV59" s="40">
        <v>0</v>
      </c>
      <c r="BW59" s="40">
        <v>0</v>
      </c>
      <c r="BX59" s="40">
        <v>0</v>
      </c>
      <c r="BY59" s="40">
        <v>0</v>
      </c>
      <c r="BZ59" s="40">
        <v>0</v>
      </c>
      <c r="CA59" s="40">
        <v>0</v>
      </c>
      <c r="CB59" s="40">
        <v>0</v>
      </c>
      <c r="CC59" s="40">
        <v>0</v>
      </c>
      <c r="CD59" s="40">
        <v>0</v>
      </c>
      <c r="CE59" s="40">
        <v>0</v>
      </c>
      <c r="CF59" s="41"/>
      <c r="CG59" s="41"/>
      <c r="CH59" s="42"/>
    </row>
    <row r="60" spans="1:86" ht="24.75" customHeight="1">
      <c r="A60" s="38">
        <v>54</v>
      </c>
      <c r="B60" s="67" t="s">
        <v>198</v>
      </c>
      <c r="C60" s="39" t="s">
        <v>161</v>
      </c>
      <c r="D60" s="40">
        <v>0</v>
      </c>
      <c r="E60" s="40">
        <v>2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9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4996</v>
      </c>
      <c r="Z60" s="40">
        <v>0</v>
      </c>
      <c r="AA60" s="40">
        <v>0</v>
      </c>
      <c r="AB60" s="40">
        <v>7</v>
      </c>
      <c r="AC60" s="40">
        <v>0</v>
      </c>
      <c r="AD60" s="40">
        <v>0</v>
      </c>
      <c r="AE60" s="40">
        <v>0</v>
      </c>
      <c r="AF60" s="40">
        <v>0</v>
      </c>
      <c r="AG60" s="40">
        <v>0</v>
      </c>
      <c r="AH60" s="40">
        <v>0</v>
      </c>
      <c r="AI60" s="40">
        <v>0</v>
      </c>
      <c r="AJ60" s="40">
        <v>0</v>
      </c>
      <c r="AK60" s="40">
        <v>6</v>
      </c>
      <c r="AL60" s="40">
        <v>0</v>
      </c>
      <c r="AM60" s="40">
        <v>0</v>
      </c>
      <c r="AN60" s="40">
        <v>0</v>
      </c>
      <c r="AO60" s="40">
        <v>0</v>
      </c>
      <c r="AP60" s="40">
        <v>77</v>
      </c>
      <c r="AQ60" s="40">
        <v>0</v>
      </c>
      <c r="AR60" s="40">
        <v>0</v>
      </c>
      <c r="AS60" s="40">
        <v>6</v>
      </c>
      <c r="AT60" s="40">
        <v>36</v>
      </c>
      <c r="AU60" s="40">
        <v>0</v>
      </c>
      <c r="AV60" s="40">
        <v>2707</v>
      </c>
      <c r="AW60" s="40">
        <v>2730</v>
      </c>
      <c r="AX60" s="40">
        <v>134</v>
      </c>
      <c r="AY60" s="40">
        <v>0</v>
      </c>
      <c r="AZ60" s="40">
        <v>15</v>
      </c>
      <c r="BA60" s="40">
        <v>0</v>
      </c>
      <c r="BB60" s="40">
        <v>306</v>
      </c>
      <c r="BC60" s="40">
        <v>74</v>
      </c>
      <c r="BD60" s="40">
        <v>276</v>
      </c>
      <c r="BE60" s="40">
        <v>277704</v>
      </c>
      <c r="BF60" s="40">
        <v>0</v>
      </c>
      <c r="BG60" s="40">
        <v>21953</v>
      </c>
      <c r="BH60" s="40">
        <v>64206</v>
      </c>
      <c r="BI60" s="40">
        <v>20184</v>
      </c>
      <c r="BJ60" s="40">
        <v>70910</v>
      </c>
      <c r="BK60" s="40">
        <v>156694</v>
      </c>
      <c r="BL60" s="40">
        <v>0</v>
      </c>
      <c r="BM60" s="40">
        <v>310313</v>
      </c>
      <c r="BN60" s="40">
        <v>490926</v>
      </c>
      <c r="BO60" s="40">
        <v>0</v>
      </c>
      <c r="BP60" s="40">
        <v>45</v>
      </c>
      <c r="BQ60" s="40">
        <v>284999</v>
      </c>
      <c r="BR60" s="40">
        <v>140418</v>
      </c>
      <c r="BS60" s="40">
        <v>0</v>
      </c>
      <c r="BT60" s="40">
        <v>1849733</v>
      </c>
      <c r="BU60" s="40">
        <v>2760808</v>
      </c>
      <c r="BV60" s="40">
        <v>0</v>
      </c>
      <c r="BW60" s="40">
        <v>0</v>
      </c>
      <c r="BX60" s="40">
        <v>2760808</v>
      </c>
      <c r="BY60" s="40">
        <v>1383320</v>
      </c>
      <c r="BZ60" s="40">
        <v>0</v>
      </c>
      <c r="CA60" s="40">
        <v>0</v>
      </c>
      <c r="CB60" s="40">
        <v>1383320</v>
      </c>
      <c r="CC60" s="40">
        <v>0</v>
      </c>
      <c r="CD60" s="40">
        <v>4144128</v>
      </c>
      <c r="CE60" s="40">
        <v>5993861</v>
      </c>
      <c r="CF60" s="41"/>
      <c r="CG60" s="41"/>
      <c r="CH60" s="42"/>
    </row>
    <row r="61" spans="1:86">
      <c r="A61" s="38">
        <v>55</v>
      </c>
      <c r="B61" s="65" t="s">
        <v>27</v>
      </c>
      <c r="C61" s="39" t="s">
        <v>26</v>
      </c>
      <c r="D61" s="40">
        <v>0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0</v>
      </c>
      <c r="T61" s="40">
        <v>0</v>
      </c>
      <c r="U61" s="40">
        <v>0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0</v>
      </c>
      <c r="AC61" s="40">
        <v>0</v>
      </c>
      <c r="AD61" s="40">
        <v>0</v>
      </c>
      <c r="AE61" s="40">
        <v>0</v>
      </c>
      <c r="AF61" s="40">
        <v>0</v>
      </c>
      <c r="AG61" s="40">
        <v>0</v>
      </c>
      <c r="AH61" s="40">
        <v>0</v>
      </c>
      <c r="AI61" s="40">
        <v>0</v>
      </c>
      <c r="AJ61" s="40">
        <v>0</v>
      </c>
      <c r="AK61" s="40">
        <v>0</v>
      </c>
      <c r="AL61" s="40">
        <v>0</v>
      </c>
      <c r="AM61" s="40">
        <v>0</v>
      </c>
      <c r="AN61" s="40">
        <v>0</v>
      </c>
      <c r="AO61" s="40">
        <v>0</v>
      </c>
      <c r="AP61" s="40">
        <v>0</v>
      </c>
      <c r="AQ61" s="40">
        <v>0</v>
      </c>
      <c r="AR61" s="40">
        <v>0</v>
      </c>
      <c r="AS61" s="40">
        <v>0</v>
      </c>
      <c r="AT61" s="40">
        <v>0</v>
      </c>
      <c r="AU61" s="40">
        <v>0</v>
      </c>
      <c r="AV61" s="40">
        <v>0</v>
      </c>
      <c r="AW61" s="40">
        <v>0</v>
      </c>
      <c r="AX61" s="40">
        <v>0</v>
      </c>
      <c r="AY61" s="40">
        <v>0</v>
      </c>
      <c r="AZ61" s="40">
        <v>0</v>
      </c>
      <c r="BA61" s="40">
        <v>0</v>
      </c>
      <c r="BB61" s="40">
        <v>0</v>
      </c>
      <c r="BC61" s="40">
        <v>0</v>
      </c>
      <c r="BD61" s="40">
        <v>0</v>
      </c>
      <c r="BE61" s="40">
        <v>0</v>
      </c>
      <c r="BF61" s="40">
        <v>0</v>
      </c>
      <c r="BG61" s="40">
        <v>0</v>
      </c>
      <c r="BH61" s="40">
        <v>0</v>
      </c>
      <c r="BI61" s="40">
        <v>0</v>
      </c>
      <c r="BJ61" s="40">
        <v>0</v>
      </c>
      <c r="BK61" s="40">
        <v>0</v>
      </c>
      <c r="BL61" s="40">
        <v>0</v>
      </c>
      <c r="BM61" s="40">
        <v>0</v>
      </c>
      <c r="BN61" s="40">
        <v>0</v>
      </c>
      <c r="BO61" s="40">
        <v>0</v>
      </c>
      <c r="BP61" s="40">
        <v>0</v>
      </c>
      <c r="BQ61" s="40">
        <v>0</v>
      </c>
      <c r="BR61" s="40">
        <v>0</v>
      </c>
      <c r="BS61" s="40">
        <v>0</v>
      </c>
      <c r="BT61" s="40">
        <v>0</v>
      </c>
      <c r="BU61" s="40">
        <v>0</v>
      </c>
      <c r="BV61" s="40">
        <v>0</v>
      </c>
      <c r="BW61" s="40">
        <v>0</v>
      </c>
      <c r="BX61" s="40">
        <v>0</v>
      </c>
      <c r="BY61" s="40">
        <v>0</v>
      </c>
      <c r="BZ61" s="40">
        <v>0</v>
      </c>
      <c r="CA61" s="40">
        <v>0</v>
      </c>
      <c r="CB61" s="40">
        <v>0</v>
      </c>
      <c r="CC61" s="40">
        <v>0</v>
      </c>
      <c r="CD61" s="40">
        <v>0</v>
      </c>
      <c r="CE61" s="40">
        <v>0</v>
      </c>
      <c r="CF61" s="41"/>
      <c r="CG61" s="41"/>
      <c r="CH61" s="42"/>
    </row>
    <row r="62" spans="1:86" ht="22.5">
      <c r="A62" s="38">
        <v>56</v>
      </c>
      <c r="B62" s="65" t="s">
        <v>25</v>
      </c>
      <c r="C62" s="39" t="s">
        <v>24</v>
      </c>
      <c r="D62" s="40">
        <v>0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T62" s="40">
        <v>0</v>
      </c>
      <c r="U62" s="40">
        <v>0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0</v>
      </c>
      <c r="AC62" s="40">
        <v>0</v>
      </c>
      <c r="AD62" s="40">
        <v>0</v>
      </c>
      <c r="AE62" s="40">
        <v>0</v>
      </c>
      <c r="AF62" s="40">
        <v>0</v>
      </c>
      <c r="AG62" s="40">
        <v>0</v>
      </c>
      <c r="AH62" s="40">
        <v>0</v>
      </c>
      <c r="AI62" s="40">
        <v>0</v>
      </c>
      <c r="AJ62" s="40">
        <v>0</v>
      </c>
      <c r="AK62" s="40">
        <v>0</v>
      </c>
      <c r="AL62" s="40">
        <v>0</v>
      </c>
      <c r="AM62" s="40">
        <v>0</v>
      </c>
      <c r="AN62" s="40">
        <v>0</v>
      </c>
      <c r="AO62" s="40">
        <v>0</v>
      </c>
      <c r="AP62" s="40">
        <v>0</v>
      </c>
      <c r="AQ62" s="40">
        <v>0</v>
      </c>
      <c r="AR62" s="40">
        <v>0</v>
      </c>
      <c r="AS62" s="40">
        <v>0</v>
      </c>
      <c r="AT62" s="40">
        <v>0</v>
      </c>
      <c r="AU62" s="40">
        <v>0</v>
      </c>
      <c r="AV62" s="40">
        <v>0</v>
      </c>
      <c r="AW62" s="40">
        <v>0</v>
      </c>
      <c r="AX62" s="40">
        <v>0</v>
      </c>
      <c r="AY62" s="40">
        <v>0</v>
      </c>
      <c r="AZ62" s="40">
        <v>0</v>
      </c>
      <c r="BA62" s="40">
        <v>0</v>
      </c>
      <c r="BB62" s="40">
        <v>0</v>
      </c>
      <c r="BC62" s="40">
        <v>0</v>
      </c>
      <c r="BD62" s="40">
        <v>0</v>
      </c>
      <c r="BE62" s="40">
        <v>0</v>
      </c>
      <c r="BF62" s="40">
        <v>0</v>
      </c>
      <c r="BG62" s="40">
        <v>0</v>
      </c>
      <c r="BH62" s="40">
        <v>0</v>
      </c>
      <c r="BI62" s="40">
        <v>0</v>
      </c>
      <c r="BJ62" s="40">
        <v>0</v>
      </c>
      <c r="BK62" s="40">
        <v>0</v>
      </c>
      <c r="BL62" s="40">
        <v>0</v>
      </c>
      <c r="BM62" s="40">
        <v>0</v>
      </c>
      <c r="BN62" s="40">
        <v>0</v>
      </c>
      <c r="BO62" s="40">
        <v>0</v>
      </c>
      <c r="BP62" s="40">
        <v>0</v>
      </c>
      <c r="BQ62" s="40">
        <v>0</v>
      </c>
      <c r="BR62" s="40">
        <v>0</v>
      </c>
      <c r="BS62" s="40">
        <v>0</v>
      </c>
      <c r="BT62" s="40">
        <v>0</v>
      </c>
      <c r="BU62" s="40">
        <v>0</v>
      </c>
      <c r="BV62" s="40">
        <v>0</v>
      </c>
      <c r="BW62" s="40">
        <v>0</v>
      </c>
      <c r="BX62" s="40">
        <v>0</v>
      </c>
      <c r="BY62" s="40">
        <v>0</v>
      </c>
      <c r="BZ62" s="40">
        <v>0</v>
      </c>
      <c r="CA62" s="40">
        <v>0</v>
      </c>
      <c r="CB62" s="40">
        <v>0</v>
      </c>
      <c r="CC62" s="40">
        <v>0</v>
      </c>
      <c r="CD62" s="40">
        <v>0</v>
      </c>
      <c r="CE62" s="40">
        <v>0</v>
      </c>
      <c r="CF62" s="41"/>
      <c r="CG62" s="41"/>
      <c r="CH62" s="42"/>
    </row>
    <row r="63" spans="1:86" ht="45">
      <c r="A63" s="38">
        <v>57</v>
      </c>
      <c r="B63" s="65" t="s">
        <v>23</v>
      </c>
      <c r="C63" s="39" t="s">
        <v>138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0</v>
      </c>
      <c r="Q63" s="40">
        <v>0</v>
      </c>
      <c r="R63" s="40">
        <v>0</v>
      </c>
      <c r="S63" s="40">
        <v>0</v>
      </c>
      <c r="T63" s="40">
        <v>0</v>
      </c>
      <c r="U63" s="40">
        <v>0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0</v>
      </c>
      <c r="AC63" s="40">
        <v>0</v>
      </c>
      <c r="AD63" s="40">
        <v>0</v>
      </c>
      <c r="AE63" s="40">
        <v>0</v>
      </c>
      <c r="AF63" s="40">
        <v>0</v>
      </c>
      <c r="AG63" s="40">
        <v>0</v>
      </c>
      <c r="AH63" s="40">
        <v>0</v>
      </c>
      <c r="AI63" s="40">
        <v>0</v>
      </c>
      <c r="AJ63" s="40">
        <v>0</v>
      </c>
      <c r="AK63" s="40">
        <v>0</v>
      </c>
      <c r="AL63" s="40">
        <v>0</v>
      </c>
      <c r="AM63" s="40">
        <v>0</v>
      </c>
      <c r="AN63" s="40">
        <v>0</v>
      </c>
      <c r="AO63" s="40">
        <v>0</v>
      </c>
      <c r="AP63" s="40">
        <v>0</v>
      </c>
      <c r="AQ63" s="40">
        <v>0</v>
      </c>
      <c r="AR63" s="40">
        <v>0</v>
      </c>
      <c r="AS63" s="40">
        <v>0</v>
      </c>
      <c r="AT63" s="40">
        <v>0</v>
      </c>
      <c r="AU63" s="40">
        <v>0</v>
      </c>
      <c r="AV63" s="40">
        <v>0</v>
      </c>
      <c r="AW63" s="40">
        <v>0</v>
      </c>
      <c r="AX63" s="40">
        <v>0</v>
      </c>
      <c r="AY63" s="40">
        <v>0</v>
      </c>
      <c r="AZ63" s="40">
        <v>0</v>
      </c>
      <c r="BA63" s="40">
        <v>0</v>
      </c>
      <c r="BB63" s="40">
        <v>0</v>
      </c>
      <c r="BC63" s="40">
        <v>0</v>
      </c>
      <c r="BD63" s="40">
        <v>0</v>
      </c>
      <c r="BE63" s="40">
        <v>0</v>
      </c>
      <c r="BF63" s="40">
        <v>0</v>
      </c>
      <c r="BG63" s="40">
        <v>0</v>
      </c>
      <c r="BH63" s="40">
        <v>0</v>
      </c>
      <c r="BI63" s="40">
        <v>0</v>
      </c>
      <c r="BJ63" s="40">
        <v>0</v>
      </c>
      <c r="BK63" s="40">
        <v>0</v>
      </c>
      <c r="BL63" s="40">
        <v>0</v>
      </c>
      <c r="BM63" s="40">
        <v>0</v>
      </c>
      <c r="BN63" s="40">
        <v>0</v>
      </c>
      <c r="BO63" s="40">
        <v>0</v>
      </c>
      <c r="BP63" s="40">
        <v>0</v>
      </c>
      <c r="BQ63" s="40">
        <v>0</v>
      </c>
      <c r="BR63" s="40">
        <v>0</v>
      </c>
      <c r="BS63" s="40">
        <v>0</v>
      </c>
      <c r="BT63" s="40">
        <v>0</v>
      </c>
      <c r="BU63" s="40">
        <v>0</v>
      </c>
      <c r="BV63" s="40">
        <v>0</v>
      </c>
      <c r="BW63" s="40">
        <v>0</v>
      </c>
      <c r="BX63" s="40">
        <v>0</v>
      </c>
      <c r="BY63" s="40">
        <v>0</v>
      </c>
      <c r="BZ63" s="40">
        <v>0</v>
      </c>
      <c r="CA63" s="40">
        <v>0</v>
      </c>
      <c r="CB63" s="40">
        <v>0</v>
      </c>
      <c r="CC63" s="40">
        <v>0</v>
      </c>
      <c r="CD63" s="40">
        <v>0</v>
      </c>
      <c r="CE63" s="40">
        <v>0</v>
      </c>
      <c r="CF63" s="41"/>
      <c r="CG63" s="41"/>
      <c r="CH63" s="42"/>
    </row>
    <row r="64" spans="1:86" ht="33.75">
      <c r="A64" s="38">
        <v>58</v>
      </c>
      <c r="B64" s="65" t="s">
        <v>22</v>
      </c>
      <c r="C64" s="39" t="s">
        <v>139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T64" s="40">
        <v>0</v>
      </c>
      <c r="U64" s="40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40">
        <v>0</v>
      </c>
      <c r="AJ64" s="40">
        <v>0</v>
      </c>
      <c r="AK64" s="40">
        <v>0</v>
      </c>
      <c r="AL64" s="40">
        <v>0</v>
      </c>
      <c r="AM64" s="40">
        <v>0</v>
      </c>
      <c r="AN64" s="40">
        <v>0</v>
      </c>
      <c r="AO64" s="40">
        <v>0</v>
      </c>
      <c r="AP64" s="40">
        <v>0</v>
      </c>
      <c r="AQ64" s="40">
        <v>0</v>
      </c>
      <c r="AR64" s="40">
        <v>0</v>
      </c>
      <c r="AS64" s="40">
        <v>0</v>
      </c>
      <c r="AT64" s="40">
        <v>0</v>
      </c>
      <c r="AU64" s="40">
        <v>0</v>
      </c>
      <c r="AV64" s="40">
        <v>0</v>
      </c>
      <c r="AW64" s="40">
        <v>0</v>
      </c>
      <c r="AX64" s="40">
        <v>0</v>
      </c>
      <c r="AY64" s="40">
        <v>0</v>
      </c>
      <c r="AZ64" s="40">
        <v>0</v>
      </c>
      <c r="BA64" s="40">
        <v>0</v>
      </c>
      <c r="BB64" s="40">
        <v>0</v>
      </c>
      <c r="BC64" s="40">
        <v>0</v>
      </c>
      <c r="BD64" s="40">
        <v>0</v>
      </c>
      <c r="BE64" s="40">
        <v>0</v>
      </c>
      <c r="BF64" s="40">
        <v>0</v>
      </c>
      <c r="BG64" s="40">
        <v>0</v>
      </c>
      <c r="BH64" s="40">
        <v>0</v>
      </c>
      <c r="BI64" s="40">
        <v>0</v>
      </c>
      <c r="BJ64" s="40">
        <v>0</v>
      </c>
      <c r="BK64" s="40">
        <v>0</v>
      </c>
      <c r="BL64" s="40">
        <v>0</v>
      </c>
      <c r="BM64" s="40">
        <v>0</v>
      </c>
      <c r="BN64" s="40">
        <v>0</v>
      </c>
      <c r="BO64" s="40">
        <v>0</v>
      </c>
      <c r="BP64" s="40">
        <v>0</v>
      </c>
      <c r="BQ64" s="40">
        <v>0</v>
      </c>
      <c r="BR64" s="40">
        <v>0</v>
      </c>
      <c r="BS64" s="40">
        <v>0</v>
      </c>
      <c r="BT64" s="40">
        <v>0</v>
      </c>
      <c r="BU64" s="40">
        <v>0</v>
      </c>
      <c r="BV64" s="40">
        <v>0</v>
      </c>
      <c r="BW64" s="40">
        <v>0</v>
      </c>
      <c r="BX64" s="40">
        <v>0</v>
      </c>
      <c r="BY64" s="40">
        <v>0</v>
      </c>
      <c r="BZ64" s="40">
        <v>0</v>
      </c>
      <c r="CA64" s="40">
        <v>0</v>
      </c>
      <c r="CB64" s="40">
        <v>0</v>
      </c>
      <c r="CC64" s="40">
        <v>0</v>
      </c>
      <c r="CD64" s="40">
        <v>0</v>
      </c>
      <c r="CE64" s="40">
        <v>0</v>
      </c>
      <c r="CF64" s="41"/>
      <c r="CG64" s="41"/>
      <c r="CH64" s="42"/>
    </row>
    <row r="65" spans="1:86" ht="22.5">
      <c r="A65" s="38">
        <v>59</v>
      </c>
      <c r="B65" s="65" t="s">
        <v>21</v>
      </c>
      <c r="C65" s="39" t="s">
        <v>20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 s="40">
        <v>0</v>
      </c>
      <c r="Q65" s="40">
        <v>0</v>
      </c>
      <c r="R65" s="40">
        <v>0</v>
      </c>
      <c r="S65" s="40">
        <v>0</v>
      </c>
      <c r="T65" s="40">
        <v>0</v>
      </c>
      <c r="U65" s="40">
        <v>0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0</v>
      </c>
      <c r="AB65" s="40">
        <v>0</v>
      </c>
      <c r="AC65" s="40">
        <v>0</v>
      </c>
      <c r="AD65" s="40">
        <v>0</v>
      </c>
      <c r="AE65" s="40">
        <v>0</v>
      </c>
      <c r="AF65" s="40">
        <v>0</v>
      </c>
      <c r="AG65" s="40">
        <v>0</v>
      </c>
      <c r="AH65" s="40">
        <v>0</v>
      </c>
      <c r="AI65" s="40">
        <v>0</v>
      </c>
      <c r="AJ65" s="40">
        <v>0</v>
      </c>
      <c r="AK65" s="40">
        <v>0</v>
      </c>
      <c r="AL65" s="40">
        <v>0</v>
      </c>
      <c r="AM65" s="40">
        <v>0</v>
      </c>
      <c r="AN65" s="40">
        <v>0</v>
      </c>
      <c r="AO65" s="40">
        <v>0</v>
      </c>
      <c r="AP65" s="40">
        <v>0</v>
      </c>
      <c r="AQ65" s="40">
        <v>0</v>
      </c>
      <c r="AR65" s="40">
        <v>0</v>
      </c>
      <c r="AS65" s="40">
        <v>0</v>
      </c>
      <c r="AT65" s="40">
        <v>0</v>
      </c>
      <c r="AU65" s="40">
        <v>0</v>
      </c>
      <c r="AV65" s="40">
        <v>0</v>
      </c>
      <c r="AW65" s="40">
        <v>0</v>
      </c>
      <c r="AX65" s="40">
        <v>0</v>
      </c>
      <c r="AY65" s="40">
        <v>0</v>
      </c>
      <c r="AZ65" s="40">
        <v>0</v>
      </c>
      <c r="BA65" s="40">
        <v>0</v>
      </c>
      <c r="BB65" s="40">
        <v>0</v>
      </c>
      <c r="BC65" s="40">
        <v>0</v>
      </c>
      <c r="BD65" s="40">
        <v>0</v>
      </c>
      <c r="BE65" s="40">
        <v>0</v>
      </c>
      <c r="BF65" s="40">
        <v>0</v>
      </c>
      <c r="BG65" s="40">
        <v>0</v>
      </c>
      <c r="BH65" s="40">
        <v>0</v>
      </c>
      <c r="BI65" s="40">
        <v>0</v>
      </c>
      <c r="BJ65" s="40">
        <v>0</v>
      </c>
      <c r="BK65" s="40">
        <v>0</v>
      </c>
      <c r="BL65" s="40">
        <v>0</v>
      </c>
      <c r="BM65" s="40">
        <v>0</v>
      </c>
      <c r="BN65" s="40">
        <v>0</v>
      </c>
      <c r="BO65" s="40">
        <v>0</v>
      </c>
      <c r="BP65" s="40">
        <v>0</v>
      </c>
      <c r="BQ65" s="40">
        <v>0</v>
      </c>
      <c r="BR65" s="40">
        <v>0</v>
      </c>
      <c r="BS65" s="40">
        <v>0</v>
      </c>
      <c r="BT65" s="40">
        <v>0</v>
      </c>
      <c r="BU65" s="40">
        <v>0</v>
      </c>
      <c r="BV65" s="40">
        <v>0</v>
      </c>
      <c r="BW65" s="40">
        <v>0</v>
      </c>
      <c r="BX65" s="40">
        <v>0</v>
      </c>
      <c r="BY65" s="40">
        <v>0</v>
      </c>
      <c r="BZ65" s="40">
        <v>0</v>
      </c>
      <c r="CA65" s="40">
        <v>0</v>
      </c>
      <c r="CB65" s="40">
        <v>0</v>
      </c>
      <c r="CC65" s="40">
        <v>0</v>
      </c>
      <c r="CD65" s="40">
        <v>0</v>
      </c>
      <c r="CE65" s="40">
        <v>0</v>
      </c>
      <c r="CF65" s="41"/>
      <c r="CG65" s="41"/>
      <c r="CH65" s="42"/>
    </row>
    <row r="66" spans="1:86" ht="22.5">
      <c r="A66" s="38">
        <v>60</v>
      </c>
      <c r="B66" s="65" t="s">
        <v>160</v>
      </c>
      <c r="C66" s="39" t="s">
        <v>159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0</v>
      </c>
      <c r="AE66" s="40">
        <v>0</v>
      </c>
      <c r="AF66" s="40">
        <v>0</v>
      </c>
      <c r="AG66" s="40">
        <v>0</v>
      </c>
      <c r="AH66" s="40">
        <v>0</v>
      </c>
      <c r="AI66" s="40">
        <v>0</v>
      </c>
      <c r="AJ66" s="40">
        <v>0</v>
      </c>
      <c r="AK66" s="40">
        <v>0</v>
      </c>
      <c r="AL66" s="40">
        <v>0</v>
      </c>
      <c r="AM66" s="40">
        <v>0</v>
      </c>
      <c r="AN66" s="40">
        <v>0</v>
      </c>
      <c r="AO66" s="40">
        <v>0</v>
      </c>
      <c r="AP66" s="40">
        <v>0</v>
      </c>
      <c r="AQ66" s="40">
        <v>0</v>
      </c>
      <c r="AR66" s="40">
        <v>0</v>
      </c>
      <c r="AS66" s="40">
        <v>0</v>
      </c>
      <c r="AT66" s="40">
        <v>0</v>
      </c>
      <c r="AU66" s="40">
        <v>0</v>
      </c>
      <c r="AV66" s="40">
        <v>0</v>
      </c>
      <c r="AW66" s="40">
        <v>85</v>
      </c>
      <c r="AX66" s="40">
        <v>0</v>
      </c>
      <c r="AY66" s="40">
        <v>0</v>
      </c>
      <c r="AZ66" s="40">
        <v>0</v>
      </c>
      <c r="BA66" s="40">
        <v>0</v>
      </c>
      <c r="BB66" s="40">
        <v>0</v>
      </c>
      <c r="BC66" s="40">
        <v>0</v>
      </c>
      <c r="BD66" s="40">
        <v>19</v>
      </c>
      <c r="BE66" s="40">
        <v>13</v>
      </c>
      <c r="BF66" s="40">
        <v>0</v>
      </c>
      <c r="BG66" s="40">
        <v>0</v>
      </c>
      <c r="BH66" s="40">
        <v>0</v>
      </c>
      <c r="BI66" s="40">
        <v>15</v>
      </c>
      <c r="BJ66" s="40">
        <v>5690</v>
      </c>
      <c r="BK66" s="40">
        <v>20</v>
      </c>
      <c r="BL66" s="40">
        <v>0</v>
      </c>
      <c r="BM66" s="40">
        <v>2107</v>
      </c>
      <c r="BN66" s="40">
        <v>7429</v>
      </c>
      <c r="BO66" s="40">
        <v>441</v>
      </c>
      <c r="BP66" s="40">
        <v>400</v>
      </c>
      <c r="BQ66" s="40">
        <v>66</v>
      </c>
      <c r="BR66" s="40">
        <v>0</v>
      </c>
      <c r="BS66" s="40">
        <v>0</v>
      </c>
      <c r="BT66" s="40">
        <v>16285</v>
      </c>
      <c r="BU66" s="40">
        <v>88797</v>
      </c>
      <c r="BV66" s="40">
        <v>0</v>
      </c>
      <c r="BW66" s="40">
        <v>0</v>
      </c>
      <c r="BX66" s="40">
        <v>88797</v>
      </c>
      <c r="BY66" s="40">
        <v>0</v>
      </c>
      <c r="BZ66" s="40">
        <v>0</v>
      </c>
      <c r="CA66" s="40">
        <v>0</v>
      </c>
      <c r="CB66" s="40">
        <v>0</v>
      </c>
      <c r="CC66" s="40">
        <v>0</v>
      </c>
      <c r="CD66" s="40">
        <v>88797</v>
      </c>
      <c r="CE66" s="40">
        <v>105082</v>
      </c>
      <c r="CF66" s="41"/>
      <c r="CG66" s="41"/>
      <c r="CH66" s="42"/>
    </row>
    <row r="67" spans="1:86" ht="22.5">
      <c r="A67" s="38">
        <v>61</v>
      </c>
      <c r="B67" s="65" t="s">
        <v>158</v>
      </c>
      <c r="C67" s="39" t="s">
        <v>157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40">
        <v>0</v>
      </c>
      <c r="P67" s="40">
        <v>0</v>
      </c>
      <c r="Q67" s="40">
        <v>0</v>
      </c>
      <c r="R67" s="40">
        <v>0</v>
      </c>
      <c r="S67" s="40">
        <v>0</v>
      </c>
      <c r="T67" s="40">
        <v>0</v>
      </c>
      <c r="U67" s="40">
        <v>0</v>
      </c>
      <c r="V67" s="40">
        <v>0</v>
      </c>
      <c r="W67" s="40">
        <v>0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0</v>
      </c>
      <c r="AD67" s="40">
        <v>0</v>
      </c>
      <c r="AE67" s="40">
        <v>0</v>
      </c>
      <c r="AF67" s="40">
        <v>0</v>
      </c>
      <c r="AG67" s="40">
        <v>0</v>
      </c>
      <c r="AH67" s="40">
        <v>0</v>
      </c>
      <c r="AI67" s="40">
        <v>0</v>
      </c>
      <c r="AJ67" s="40">
        <v>0</v>
      </c>
      <c r="AK67" s="40">
        <v>0</v>
      </c>
      <c r="AL67" s="40">
        <v>0</v>
      </c>
      <c r="AM67" s="40">
        <v>0</v>
      </c>
      <c r="AN67" s="40">
        <v>0</v>
      </c>
      <c r="AO67" s="40">
        <v>0</v>
      </c>
      <c r="AP67" s="40">
        <v>0</v>
      </c>
      <c r="AQ67" s="40">
        <v>0</v>
      </c>
      <c r="AR67" s="40">
        <v>0</v>
      </c>
      <c r="AS67" s="40">
        <v>0</v>
      </c>
      <c r="AT67" s="40">
        <v>0</v>
      </c>
      <c r="AU67" s="40">
        <v>0</v>
      </c>
      <c r="AV67" s="40">
        <v>0</v>
      </c>
      <c r="AW67" s="40">
        <v>0</v>
      </c>
      <c r="AX67" s="40">
        <v>0</v>
      </c>
      <c r="AY67" s="40">
        <v>0</v>
      </c>
      <c r="AZ67" s="40">
        <v>0</v>
      </c>
      <c r="BA67" s="40">
        <v>0</v>
      </c>
      <c r="BB67" s="40">
        <v>0</v>
      </c>
      <c r="BC67" s="40">
        <v>0</v>
      </c>
      <c r="BD67" s="40">
        <v>0</v>
      </c>
      <c r="BE67" s="40">
        <v>0</v>
      </c>
      <c r="BF67" s="40">
        <v>0</v>
      </c>
      <c r="BG67" s="40">
        <v>0</v>
      </c>
      <c r="BH67" s="40">
        <v>0</v>
      </c>
      <c r="BI67" s="40">
        <v>0</v>
      </c>
      <c r="BJ67" s="40">
        <v>0</v>
      </c>
      <c r="BK67" s="40">
        <v>0</v>
      </c>
      <c r="BL67" s="40">
        <v>0</v>
      </c>
      <c r="BM67" s="40">
        <v>0</v>
      </c>
      <c r="BN67" s="40">
        <v>0</v>
      </c>
      <c r="BO67" s="40">
        <v>0</v>
      </c>
      <c r="BP67" s="40">
        <v>0</v>
      </c>
      <c r="BQ67" s="40">
        <v>0</v>
      </c>
      <c r="BR67" s="40">
        <v>0</v>
      </c>
      <c r="BS67" s="40">
        <v>0</v>
      </c>
      <c r="BT67" s="40">
        <v>0</v>
      </c>
      <c r="BU67" s="40">
        <v>0</v>
      </c>
      <c r="BV67" s="40">
        <v>0</v>
      </c>
      <c r="BW67" s="40">
        <v>0</v>
      </c>
      <c r="BX67" s="40">
        <v>0</v>
      </c>
      <c r="BY67" s="40">
        <v>0</v>
      </c>
      <c r="BZ67" s="40">
        <v>0</v>
      </c>
      <c r="CA67" s="40">
        <v>0</v>
      </c>
      <c r="CB67" s="40">
        <v>0</v>
      </c>
      <c r="CC67" s="40">
        <v>0</v>
      </c>
      <c r="CD67" s="40">
        <v>0</v>
      </c>
      <c r="CE67" s="40">
        <v>0</v>
      </c>
      <c r="CF67" s="41"/>
      <c r="CG67" s="41"/>
      <c r="CH67" s="42"/>
    </row>
    <row r="68" spans="1:86" ht="33.75">
      <c r="A68" s="38">
        <v>62</v>
      </c>
      <c r="B68" s="65" t="s">
        <v>19</v>
      </c>
      <c r="C68" s="39" t="s">
        <v>18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40">
        <v>0</v>
      </c>
      <c r="AJ68" s="40">
        <v>0</v>
      </c>
      <c r="AK68" s="40">
        <v>0</v>
      </c>
      <c r="AL68" s="40">
        <v>0</v>
      </c>
      <c r="AM68" s="40">
        <v>0</v>
      </c>
      <c r="AN68" s="40">
        <v>0</v>
      </c>
      <c r="AO68" s="40">
        <v>0</v>
      </c>
      <c r="AP68" s="40">
        <v>0</v>
      </c>
      <c r="AQ68" s="40">
        <v>0</v>
      </c>
      <c r="AR68" s="40">
        <v>0</v>
      </c>
      <c r="AS68" s="40">
        <v>0</v>
      </c>
      <c r="AT68" s="40">
        <v>0</v>
      </c>
      <c r="AU68" s="40">
        <v>0</v>
      </c>
      <c r="AV68" s="40">
        <v>0</v>
      </c>
      <c r="AW68" s="40">
        <v>0</v>
      </c>
      <c r="AX68" s="40">
        <v>0</v>
      </c>
      <c r="AY68" s="40">
        <v>0</v>
      </c>
      <c r="AZ68" s="40">
        <v>0</v>
      </c>
      <c r="BA68" s="40">
        <v>0</v>
      </c>
      <c r="BB68" s="40">
        <v>0</v>
      </c>
      <c r="BC68" s="40">
        <v>0</v>
      </c>
      <c r="BD68" s="40">
        <v>0</v>
      </c>
      <c r="BE68" s="40">
        <v>0</v>
      </c>
      <c r="BF68" s="40">
        <v>0</v>
      </c>
      <c r="BG68" s="40">
        <v>0</v>
      </c>
      <c r="BH68" s="40">
        <v>0</v>
      </c>
      <c r="BI68" s="40">
        <v>0</v>
      </c>
      <c r="BJ68" s="40">
        <v>0</v>
      </c>
      <c r="BK68" s="40">
        <v>0</v>
      </c>
      <c r="BL68" s="40">
        <v>0</v>
      </c>
      <c r="BM68" s="40">
        <v>0</v>
      </c>
      <c r="BN68" s="40">
        <v>0</v>
      </c>
      <c r="BO68" s="40">
        <v>0</v>
      </c>
      <c r="BP68" s="40">
        <v>0</v>
      </c>
      <c r="BQ68" s="40">
        <v>0</v>
      </c>
      <c r="BR68" s="40">
        <v>0</v>
      </c>
      <c r="BS68" s="40">
        <v>0</v>
      </c>
      <c r="BT68" s="40">
        <v>0</v>
      </c>
      <c r="BU68" s="40">
        <v>0</v>
      </c>
      <c r="BV68" s="40">
        <v>0</v>
      </c>
      <c r="BW68" s="40">
        <v>0</v>
      </c>
      <c r="BX68" s="40">
        <v>0</v>
      </c>
      <c r="BY68" s="40">
        <v>0</v>
      </c>
      <c r="BZ68" s="40">
        <v>0</v>
      </c>
      <c r="CA68" s="40">
        <v>0</v>
      </c>
      <c r="CB68" s="40">
        <v>0</v>
      </c>
      <c r="CC68" s="40">
        <v>0</v>
      </c>
      <c r="CD68" s="40">
        <v>0</v>
      </c>
      <c r="CE68" s="40">
        <v>0</v>
      </c>
      <c r="CF68" s="41"/>
      <c r="CG68" s="41"/>
      <c r="CH68" s="42"/>
    </row>
    <row r="69" spans="1:86">
      <c r="A69" s="38">
        <v>63</v>
      </c>
      <c r="B69" s="65" t="s">
        <v>17</v>
      </c>
      <c r="C69" s="39" t="s">
        <v>16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40">
        <v>0</v>
      </c>
      <c r="S69" s="40">
        <v>0</v>
      </c>
      <c r="T69" s="40">
        <v>0</v>
      </c>
      <c r="U69" s="40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  <c r="AB69" s="40">
        <v>0</v>
      </c>
      <c r="AC69" s="40">
        <v>0</v>
      </c>
      <c r="AD69" s="40">
        <v>0</v>
      </c>
      <c r="AE69" s="40">
        <v>0</v>
      </c>
      <c r="AF69" s="40">
        <v>0</v>
      </c>
      <c r="AG69" s="40">
        <v>0</v>
      </c>
      <c r="AH69" s="40">
        <v>0</v>
      </c>
      <c r="AI69" s="40">
        <v>0</v>
      </c>
      <c r="AJ69" s="40">
        <v>0</v>
      </c>
      <c r="AK69" s="40">
        <v>0</v>
      </c>
      <c r="AL69" s="40">
        <v>0</v>
      </c>
      <c r="AM69" s="40">
        <v>0</v>
      </c>
      <c r="AN69" s="40">
        <v>0</v>
      </c>
      <c r="AO69" s="40">
        <v>0</v>
      </c>
      <c r="AP69" s="40">
        <v>0</v>
      </c>
      <c r="AQ69" s="40">
        <v>0</v>
      </c>
      <c r="AR69" s="40">
        <v>0</v>
      </c>
      <c r="AS69" s="40">
        <v>0</v>
      </c>
      <c r="AT69" s="40">
        <v>0</v>
      </c>
      <c r="AU69" s="40">
        <v>0</v>
      </c>
      <c r="AV69" s="40">
        <v>0</v>
      </c>
      <c r="AW69" s="40">
        <v>0</v>
      </c>
      <c r="AX69" s="40">
        <v>0</v>
      </c>
      <c r="AY69" s="40">
        <v>0</v>
      </c>
      <c r="AZ69" s="40">
        <v>0</v>
      </c>
      <c r="BA69" s="40">
        <v>0</v>
      </c>
      <c r="BB69" s="40">
        <v>0</v>
      </c>
      <c r="BC69" s="40">
        <v>0</v>
      </c>
      <c r="BD69" s="40">
        <v>0</v>
      </c>
      <c r="BE69" s="40">
        <v>0</v>
      </c>
      <c r="BF69" s="40">
        <v>0</v>
      </c>
      <c r="BG69" s="40">
        <v>0</v>
      </c>
      <c r="BH69" s="40">
        <v>0</v>
      </c>
      <c r="BI69" s="40">
        <v>0</v>
      </c>
      <c r="BJ69" s="40">
        <v>0</v>
      </c>
      <c r="BK69" s="40">
        <v>0</v>
      </c>
      <c r="BL69" s="40">
        <v>0</v>
      </c>
      <c r="BM69" s="40">
        <v>0</v>
      </c>
      <c r="BN69" s="40">
        <v>0</v>
      </c>
      <c r="BO69" s="40">
        <v>0</v>
      </c>
      <c r="BP69" s="40">
        <v>0</v>
      </c>
      <c r="BQ69" s="40">
        <v>0</v>
      </c>
      <c r="BR69" s="40">
        <v>0</v>
      </c>
      <c r="BS69" s="40">
        <v>0</v>
      </c>
      <c r="BT69" s="40">
        <v>0</v>
      </c>
      <c r="BU69" s="40">
        <v>0</v>
      </c>
      <c r="BV69" s="40">
        <v>0</v>
      </c>
      <c r="BW69" s="40">
        <v>0</v>
      </c>
      <c r="BX69" s="40">
        <v>0</v>
      </c>
      <c r="BY69" s="40">
        <v>0</v>
      </c>
      <c r="BZ69" s="40">
        <v>0</v>
      </c>
      <c r="CA69" s="40">
        <v>0</v>
      </c>
      <c r="CB69" s="40">
        <v>0</v>
      </c>
      <c r="CC69" s="40">
        <v>0</v>
      </c>
      <c r="CD69" s="40">
        <v>0</v>
      </c>
      <c r="CE69" s="40">
        <v>0</v>
      </c>
      <c r="CF69" s="41"/>
      <c r="CG69" s="41"/>
      <c r="CH69" s="42"/>
    </row>
    <row r="70" spans="1:86">
      <c r="A70" s="38">
        <v>64</v>
      </c>
      <c r="B70" s="65" t="s">
        <v>15</v>
      </c>
      <c r="C70" s="39" t="s">
        <v>14</v>
      </c>
      <c r="D70" s="40">
        <v>0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T70" s="40">
        <v>0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0</v>
      </c>
      <c r="AB70" s="40">
        <v>0</v>
      </c>
      <c r="AC70" s="40">
        <v>0</v>
      </c>
      <c r="AD70" s="40">
        <v>0</v>
      </c>
      <c r="AE70" s="40">
        <v>0</v>
      </c>
      <c r="AF70" s="40">
        <v>0</v>
      </c>
      <c r="AG70" s="40">
        <v>0</v>
      </c>
      <c r="AH70" s="40">
        <v>0</v>
      </c>
      <c r="AI70" s="40">
        <v>0</v>
      </c>
      <c r="AJ70" s="40">
        <v>0</v>
      </c>
      <c r="AK70" s="40">
        <v>0</v>
      </c>
      <c r="AL70" s="40">
        <v>0</v>
      </c>
      <c r="AM70" s="40">
        <v>0</v>
      </c>
      <c r="AN70" s="40">
        <v>0</v>
      </c>
      <c r="AO70" s="40">
        <v>0</v>
      </c>
      <c r="AP70" s="40">
        <v>0</v>
      </c>
      <c r="AQ70" s="40">
        <v>0</v>
      </c>
      <c r="AR70" s="40">
        <v>0</v>
      </c>
      <c r="AS70" s="40">
        <v>0</v>
      </c>
      <c r="AT70" s="40">
        <v>0</v>
      </c>
      <c r="AU70" s="40">
        <v>0</v>
      </c>
      <c r="AV70" s="40">
        <v>0</v>
      </c>
      <c r="AW70" s="40">
        <v>0</v>
      </c>
      <c r="AX70" s="40">
        <v>0</v>
      </c>
      <c r="AY70" s="40">
        <v>0</v>
      </c>
      <c r="AZ70" s="40">
        <v>0</v>
      </c>
      <c r="BA70" s="40">
        <v>0</v>
      </c>
      <c r="BB70" s="40">
        <v>0</v>
      </c>
      <c r="BC70" s="40">
        <v>0</v>
      </c>
      <c r="BD70" s="40">
        <v>0</v>
      </c>
      <c r="BE70" s="40">
        <v>0</v>
      </c>
      <c r="BF70" s="40">
        <v>0</v>
      </c>
      <c r="BG70" s="40">
        <v>0</v>
      </c>
      <c r="BH70" s="40">
        <v>0</v>
      </c>
      <c r="BI70" s="40">
        <v>0</v>
      </c>
      <c r="BJ70" s="40">
        <v>0</v>
      </c>
      <c r="BK70" s="40">
        <v>0</v>
      </c>
      <c r="BL70" s="40">
        <v>0</v>
      </c>
      <c r="BM70" s="40">
        <v>0</v>
      </c>
      <c r="BN70" s="40">
        <v>0</v>
      </c>
      <c r="BO70" s="40">
        <v>0</v>
      </c>
      <c r="BP70" s="40">
        <v>0</v>
      </c>
      <c r="BQ70" s="40">
        <v>0</v>
      </c>
      <c r="BR70" s="40">
        <v>0</v>
      </c>
      <c r="BS70" s="40">
        <v>0</v>
      </c>
      <c r="BT70" s="40">
        <v>0</v>
      </c>
      <c r="BU70" s="40">
        <v>0</v>
      </c>
      <c r="BV70" s="40">
        <v>0</v>
      </c>
      <c r="BW70" s="40">
        <v>0</v>
      </c>
      <c r="BX70" s="40">
        <v>0</v>
      </c>
      <c r="BY70" s="40">
        <v>0</v>
      </c>
      <c r="BZ70" s="40">
        <v>0</v>
      </c>
      <c r="CA70" s="40">
        <v>0</v>
      </c>
      <c r="CB70" s="40">
        <v>0</v>
      </c>
      <c r="CC70" s="40">
        <v>0</v>
      </c>
      <c r="CD70" s="40">
        <v>0</v>
      </c>
      <c r="CE70" s="40">
        <v>0</v>
      </c>
      <c r="CF70" s="41"/>
      <c r="CG70" s="41"/>
      <c r="CH70" s="42"/>
    </row>
    <row r="71" spans="1:86">
      <c r="A71" s="38">
        <v>65</v>
      </c>
      <c r="B71" s="65" t="s">
        <v>13</v>
      </c>
      <c r="C71" s="39" t="s">
        <v>12</v>
      </c>
      <c r="D71" s="40">
        <v>0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 s="40">
        <v>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  <c r="AA71" s="40">
        <v>0</v>
      </c>
      <c r="AB71" s="40">
        <v>0</v>
      </c>
      <c r="AC71" s="40">
        <v>0</v>
      </c>
      <c r="AD71" s="40">
        <v>0</v>
      </c>
      <c r="AE71" s="40">
        <v>0</v>
      </c>
      <c r="AF71" s="40">
        <v>0</v>
      </c>
      <c r="AG71" s="40">
        <v>0</v>
      </c>
      <c r="AH71" s="40">
        <v>0</v>
      </c>
      <c r="AI71" s="40">
        <v>0</v>
      </c>
      <c r="AJ71" s="40">
        <v>0</v>
      </c>
      <c r="AK71" s="40">
        <v>0</v>
      </c>
      <c r="AL71" s="40">
        <v>0</v>
      </c>
      <c r="AM71" s="40">
        <v>0</v>
      </c>
      <c r="AN71" s="40">
        <v>0</v>
      </c>
      <c r="AO71" s="40">
        <v>0</v>
      </c>
      <c r="AP71" s="40">
        <v>0</v>
      </c>
      <c r="AQ71" s="40">
        <v>0</v>
      </c>
      <c r="AR71" s="40">
        <v>0</v>
      </c>
      <c r="AS71" s="40">
        <v>0</v>
      </c>
      <c r="AT71" s="40">
        <v>0</v>
      </c>
      <c r="AU71" s="40">
        <v>0</v>
      </c>
      <c r="AV71" s="40">
        <v>0</v>
      </c>
      <c r="AW71" s="40">
        <v>0</v>
      </c>
      <c r="AX71" s="40">
        <v>0</v>
      </c>
      <c r="AY71" s="40">
        <v>0</v>
      </c>
      <c r="AZ71" s="40">
        <v>0</v>
      </c>
      <c r="BA71" s="40">
        <v>0</v>
      </c>
      <c r="BB71" s="40">
        <v>0</v>
      </c>
      <c r="BC71" s="40">
        <v>0</v>
      </c>
      <c r="BD71" s="40">
        <v>0</v>
      </c>
      <c r="BE71" s="40">
        <v>0</v>
      </c>
      <c r="BF71" s="40">
        <v>0</v>
      </c>
      <c r="BG71" s="40">
        <v>0</v>
      </c>
      <c r="BH71" s="40">
        <v>0</v>
      </c>
      <c r="BI71" s="40">
        <v>0</v>
      </c>
      <c r="BJ71" s="40">
        <v>0</v>
      </c>
      <c r="BK71" s="40">
        <v>0</v>
      </c>
      <c r="BL71" s="40">
        <v>0</v>
      </c>
      <c r="BM71" s="40">
        <v>0</v>
      </c>
      <c r="BN71" s="40">
        <v>0</v>
      </c>
      <c r="BO71" s="40">
        <v>0</v>
      </c>
      <c r="BP71" s="40">
        <v>0</v>
      </c>
      <c r="BQ71" s="40">
        <v>0</v>
      </c>
      <c r="BR71" s="40">
        <v>0</v>
      </c>
      <c r="BS71" s="40">
        <v>0</v>
      </c>
      <c r="BT71" s="40">
        <v>0</v>
      </c>
      <c r="BU71" s="40">
        <v>0</v>
      </c>
      <c r="BV71" s="40">
        <v>0</v>
      </c>
      <c r="BW71" s="40">
        <v>0</v>
      </c>
      <c r="BX71" s="40">
        <v>0</v>
      </c>
      <c r="BY71" s="40">
        <v>0</v>
      </c>
      <c r="BZ71" s="40">
        <v>0</v>
      </c>
      <c r="CA71" s="40">
        <v>0</v>
      </c>
      <c r="CB71" s="40">
        <v>0</v>
      </c>
      <c r="CC71" s="40">
        <v>0</v>
      </c>
      <c r="CD71" s="40">
        <v>0</v>
      </c>
      <c r="CE71" s="40">
        <v>0</v>
      </c>
      <c r="CF71" s="41"/>
      <c r="CG71" s="41"/>
      <c r="CH71" s="42"/>
    </row>
    <row r="72" spans="1:86" ht="22.5">
      <c r="A72" s="38">
        <v>66</v>
      </c>
      <c r="B72" s="65" t="s">
        <v>93</v>
      </c>
      <c r="C72" s="39" t="s">
        <v>156</v>
      </c>
      <c r="D72" s="40">
        <v>0</v>
      </c>
      <c r="E72" s="40">
        <v>0</v>
      </c>
      <c r="F72" s="40">
        <v>0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T72" s="40">
        <v>0</v>
      </c>
      <c r="U72" s="40">
        <v>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0</v>
      </c>
      <c r="AD72" s="40">
        <v>0</v>
      </c>
      <c r="AE72" s="40">
        <v>0</v>
      </c>
      <c r="AF72" s="40">
        <v>0</v>
      </c>
      <c r="AG72" s="40">
        <v>0</v>
      </c>
      <c r="AH72" s="40">
        <v>0</v>
      </c>
      <c r="AI72" s="40">
        <v>0</v>
      </c>
      <c r="AJ72" s="40">
        <v>0</v>
      </c>
      <c r="AK72" s="40">
        <v>0</v>
      </c>
      <c r="AL72" s="40">
        <v>0</v>
      </c>
      <c r="AM72" s="40">
        <v>0</v>
      </c>
      <c r="AN72" s="40">
        <v>0</v>
      </c>
      <c r="AO72" s="40">
        <v>0</v>
      </c>
      <c r="AP72" s="40">
        <v>0</v>
      </c>
      <c r="AQ72" s="40">
        <v>0</v>
      </c>
      <c r="AR72" s="40">
        <v>0</v>
      </c>
      <c r="AS72" s="40">
        <v>0</v>
      </c>
      <c r="AT72" s="40">
        <v>0</v>
      </c>
      <c r="AU72" s="40">
        <v>0</v>
      </c>
      <c r="AV72" s="40">
        <v>0</v>
      </c>
      <c r="AW72" s="40">
        <v>0</v>
      </c>
      <c r="AX72" s="40">
        <v>0</v>
      </c>
      <c r="AY72" s="40">
        <v>0</v>
      </c>
      <c r="AZ72" s="40">
        <v>0</v>
      </c>
      <c r="BA72" s="40">
        <v>0</v>
      </c>
      <c r="BB72" s="40">
        <v>0</v>
      </c>
      <c r="BC72" s="40">
        <v>0</v>
      </c>
      <c r="BD72" s="40">
        <v>0</v>
      </c>
      <c r="BE72" s="40">
        <v>0</v>
      </c>
      <c r="BF72" s="40">
        <v>0</v>
      </c>
      <c r="BG72" s="40">
        <v>0</v>
      </c>
      <c r="BH72" s="40">
        <v>0</v>
      </c>
      <c r="BI72" s="40">
        <v>0</v>
      </c>
      <c r="BJ72" s="40">
        <v>0</v>
      </c>
      <c r="BK72" s="40">
        <v>0</v>
      </c>
      <c r="BL72" s="40">
        <v>0</v>
      </c>
      <c r="BM72" s="40">
        <v>0</v>
      </c>
      <c r="BN72" s="40">
        <v>0</v>
      </c>
      <c r="BO72" s="40">
        <v>0</v>
      </c>
      <c r="BP72" s="40">
        <v>0</v>
      </c>
      <c r="BQ72" s="40">
        <v>0</v>
      </c>
      <c r="BR72" s="40">
        <v>0</v>
      </c>
      <c r="BS72" s="40">
        <v>0</v>
      </c>
      <c r="BT72" s="40">
        <v>0</v>
      </c>
      <c r="BU72" s="40">
        <v>0</v>
      </c>
      <c r="BV72" s="40">
        <v>0</v>
      </c>
      <c r="BW72" s="40">
        <v>0</v>
      </c>
      <c r="BX72" s="40">
        <v>0</v>
      </c>
      <c r="BY72" s="40">
        <v>0</v>
      </c>
      <c r="BZ72" s="40">
        <v>0</v>
      </c>
      <c r="CA72" s="40">
        <v>0</v>
      </c>
      <c r="CB72" s="40">
        <v>0</v>
      </c>
      <c r="CC72" s="40">
        <v>0</v>
      </c>
      <c r="CD72" s="40">
        <v>0</v>
      </c>
      <c r="CE72" s="40">
        <v>0</v>
      </c>
      <c r="CF72" s="41"/>
      <c r="CG72" s="41"/>
      <c r="CH72" s="42"/>
    </row>
    <row r="73" spans="1:86">
      <c r="A73" s="38">
        <v>67</v>
      </c>
      <c r="B73" s="65" t="s">
        <v>92</v>
      </c>
      <c r="C73" s="39" t="s">
        <v>155</v>
      </c>
      <c r="D73" s="40">
        <v>0</v>
      </c>
      <c r="E73" s="40">
        <v>0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  <c r="N73" s="40">
        <v>0</v>
      </c>
      <c r="O73" s="40">
        <v>0</v>
      </c>
      <c r="P73" s="40">
        <v>0</v>
      </c>
      <c r="Q73" s="40">
        <v>0</v>
      </c>
      <c r="R73" s="40">
        <v>0</v>
      </c>
      <c r="S73" s="40">
        <v>0</v>
      </c>
      <c r="T73" s="40">
        <v>0</v>
      </c>
      <c r="U73" s="40">
        <v>0</v>
      </c>
      <c r="V73" s="40">
        <v>0</v>
      </c>
      <c r="W73" s="40">
        <v>0</v>
      </c>
      <c r="X73" s="40">
        <v>0</v>
      </c>
      <c r="Y73" s="40">
        <v>0</v>
      </c>
      <c r="Z73" s="40">
        <v>0</v>
      </c>
      <c r="AA73" s="40">
        <v>0</v>
      </c>
      <c r="AB73" s="40">
        <v>0</v>
      </c>
      <c r="AC73" s="40">
        <v>0</v>
      </c>
      <c r="AD73" s="40">
        <v>0</v>
      </c>
      <c r="AE73" s="40">
        <v>0</v>
      </c>
      <c r="AF73" s="40">
        <v>0</v>
      </c>
      <c r="AG73" s="40">
        <v>0</v>
      </c>
      <c r="AH73" s="40">
        <v>0</v>
      </c>
      <c r="AI73" s="40">
        <v>0</v>
      </c>
      <c r="AJ73" s="40">
        <v>0</v>
      </c>
      <c r="AK73" s="40">
        <v>0</v>
      </c>
      <c r="AL73" s="40">
        <v>0</v>
      </c>
      <c r="AM73" s="40">
        <v>0</v>
      </c>
      <c r="AN73" s="40">
        <v>0</v>
      </c>
      <c r="AO73" s="40">
        <v>0</v>
      </c>
      <c r="AP73" s="40">
        <v>0</v>
      </c>
      <c r="AQ73" s="40">
        <v>0</v>
      </c>
      <c r="AR73" s="40">
        <v>0</v>
      </c>
      <c r="AS73" s="40">
        <v>0</v>
      </c>
      <c r="AT73" s="40">
        <v>0</v>
      </c>
      <c r="AU73" s="40">
        <v>0</v>
      </c>
      <c r="AV73" s="40">
        <v>0</v>
      </c>
      <c r="AW73" s="40">
        <v>0</v>
      </c>
      <c r="AX73" s="40">
        <v>0</v>
      </c>
      <c r="AY73" s="40">
        <v>0</v>
      </c>
      <c r="AZ73" s="40">
        <v>0</v>
      </c>
      <c r="BA73" s="40">
        <v>0</v>
      </c>
      <c r="BB73" s="40">
        <v>0</v>
      </c>
      <c r="BC73" s="40">
        <v>0</v>
      </c>
      <c r="BD73" s="40">
        <v>0</v>
      </c>
      <c r="BE73" s="40">
        <v>0</v>
      </c>
      <c r="BF73" s="40">
        <v>0</v>
      </c>
      <c r="BG73" s="40">
        <v>0</v>
      </c>
      <c r="BH73" s="40">
        <v>0</v>
      </c>
      <c r="BI73" s="40">
        <v>0</v>
      </c>
      <c r="BJ73" s="40">
        <v>0</v>
      </c>
      <c r="BK73" s="40">
        <v>0</v>
      </c>
      <c r="BL73" s="40">
        <v>0</v>
      </c>
      <c r="BM73" s="40">
        <v>0</v>
      </c>
      <c r="BN73" s="40">
        <v>0</v>
      </c>
      <c r="BO73" s="40">
        <v>0</v>
      </c>
      <c r="BP73" s="40">
        <v>0</v>
      </c>
      <c r="BQ73" s="40">
        <v>0</v>
      </c>
      <c r="BR73" s="40">
        <v>0</v>
      </c>
      <c r="BS73" s="40">
        <v>0</v>
      </c>
      <c r="BT73" s="40">
        <v>0</v>
      </c>
      <c r="BU73" s="40">
        <v>0</v>
      </c>
      <c r="BV73" s="40">
        <v>0</v>
      </c>
      <c r="BW73" s="40">
        <v>0</v>
      </c>
      <c r="BX73" s="40">
        <v>0</v>
      </c>
      <c r="BY73" s="40">
        <v>0</v>
      </c>
      <c r="BZ73" s="40">
        <v>0</v>
      </c>
      <c r="CA73" s="40">
        <v>0</v>
      </c>
      <c r="CB73" s="40">
        <v>0</v>
      </c>
      <c r="CC73" s="40">
        <v>0</v>
      </c>
      <c r="CD73" s="40">
        <v>0</v>
      </c>
      <c r="CE73" s="40">
        <v>0</v>
      </c>
      <c r="CF73" s="41"/>
      <c r="CG73" s="41"/>
      <c r="CH73" s="42"/>
    </row>
    <row r="74" spans="1:86" ht="45">
      <c r="A74" s="38">
        <v>68</v>
      </c>
      <c r="B74" s="65" t="s">
        <v>11</v>
      </c>
      <c r="C74" s="39" t="s">
        <v>10</v>
      </c>
      <c r="D74" s="40">
        <v>0</v>
      </c>
      <c r="E74" s="40">
        <v>0</v>
      </c>
      <c r="F74" s="40">
        <v>0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T74" s="40">
        <v>0</v>
      </c>
      <c r="U74" s="40">
        <v>0</v>
      </c>
      <c r="V74" s="40">
        <v>0</v>
      </c>
      <c r="W74" s="40">
        <v>0</v>
      </c>
      <c r="X74" s="40">
        <v>0</v>
      </c>
      <c r="Y74" s="40">
        <v>0</v>
      </c>
      <c r="Z74" s="40">
        <v>0</v>
      </c>
      <c r="AA74" s="40">
        <v>0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  <c r="AI74" s="40">
        <v>0</v>
      </c>
      <c r="AJ74" s="40">
        <v>0</v>
      </c>
      <c r="AK74" s="40">
        <v>0</v>
      </c>
      <c r="AL74" s="40">
        <v>0</v>
      </c>
      <c r="AM74" s="40">
        <v>0</v>
      </c>
      <c r="AN74" s="40">
        <v>0</v>
      </c>
      <c r="AO74" s="40">
        <v>0</v>
      </c>
      <c r="AP74" s="40">
        <v>0</v>
      </c>
      <c r="AQ74" s="40">
        <v>0</v>
      </c>
      <c r="AR74" s="40">
        <v>0</v>
      </c>
      <c r="AS74" s="40">
        <v>0</v>
      </c>
      <c r="AT74" s="40">
        <v>0</v>
      </c>
      <c r="AU74" s="40">
        <v>0</v>
      </c>
      <c r="AV74" s="40">
        <v>0</v>
      </c>
      <c r="AW74" s="40">
        <v>0</v>
      </c>
      <c r="AX74" s="40">
        <v>0</v>
      </c>
      <c r="AY74" s="40">
        <v>0</v>
      </c>
      <c r="AZ74" s="40">
        <v>0</v>
      </c>
      <c r="BA74" s="40">
        <v>0</v>
      </c>
      <c r="BB74" s="40">
        <v>0</v>
      </c>
      <c r="BC74" s="40">
        <v>0</v>
      </c>
      <c r="BD74" s="40">
        <v>0</v>
      </c>
      <c r="BE74" s="40">
        <v>0</v>
      </c>
      <c r="BF74" s="40">
        <v>0</v>
      </c>
      <c r="BG74" s="40">
        <v>0</v>
      </c>
      <c r="BH74" s="40">
        <v>0</v>
      </c>
      <c r="BI74" s="40">
        <v>0</v>
      </c>
      <c r="BJ74" s="40">
        <v>0</v>
      </c>
      <c r="BK74" s="40">
        <v>0</v>
      </c>
      <c r="BL74" s="40">
        <v>0</v>
      </c>
      <c r="BM74" s="40">
        <v>0</v>
      </c>
      <c r="BN74" s="40">
        <v>0</v>
      </c>
      <c r="BO74" s="40">
        <v>0</v>
      </c>
      <c r="BP74" s="40">
        <v>0</v>
      </c>
      <c r="BQ74" s="40">
        <v>0</v>
      </c>
      <c r="BR74" s="40">
        <v>0</v>
      </c>
      <c r="BS74" s="40">
        <v>0</v>
      </c>
      <c r="BT74" s="40">
        <v>0</v>
      </c>
      <c r="BU74" s="40">
        <v>0</v>
      </c>
      <c r="BV74" s="40">
        <v>0</v>
      </c>
      <c r="BW74" s="40">
        <v>0</v>
      </c>
      <c r="BX74" s="40">
        <v>0</v>
      </c>
      <c r="BY74" s="40">
        <v>0</v>
      </c>
      <c r="BZ74" s="40">
        <v>0</v>
      </c>
      <c r="CA74" s="40">
        <v>0</v>
      </c>
      <c r="CB74" s="40">
        <v>0</v>
      </c>
      <c r="CC74" s="40">
        <v>0</v>
      </c>
      <c r="CD74" s="40">
        <v>0</v>
      </c>
      <c r="CE74" s="40">
        <v>0</v>
      </c>
      <c r="CF74" s="41"/>
      <c r="CG74" s="41"/>
      <c r="CH74" s="42"/>
    </row>
    <row r="75" spans="1:86" ht="22.5">
      <c r="A75" s="38">
        <v>69</v>
      </c>
      <c r="B75" s="65"/>
      <c r="C75" s="39" t="s">
        <v>9</v>
      </c>
      <c r="D75" s="40">
        <v>0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40">
        <v>0</v>
      </c>
      <c r="S75" s="40">
        <v>0</v>
      </c>
      <c r="T75" s="40">
        <v>0</v>
      </c>
      <c r="U75" s="40">
        <v>0</v>
      </c>
      <c r="V75" s="40">
        <v>0</v>
      </c>
      <c r="W75" s="40">
        <v>0</v>
      </c>
      <c r="X75" s="40">
        <v>0</v>
      </c>
      <c r="Y75" s="40">
        <v>0</v>
      </c>
      <c r="Z75" s="40">
        <v>0</v>
      </c>
      <c r="AA75" s="40">
        <v>0</v>
      </c>
      <c r="AB75" s="40">
        <v>0</v>
      </c>
      <c r="AC75" s="40">
        <v>0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  <c r="AI75" s="40">
        <v>0</v>
      </c>
      <c r="AJ75" s="40">
        <v>0</v>
      </c>
      <c r="AK75" s="40">
        <v>0</v>
      </c>
      <c r="AL75" s="40">
        <v>0</v>
      </c>
      <c r="AM75" s="40">
        <v>0</v>
      </c>
      <c r="AN75" s="40">
        <v>0</v>
      </c>
      <c r="AO75" s="40">
        <v>0</v>
      </c>
      <c r="AP75" s="40">
        <v>0</v>
      </c>
      <c r="AQ75" s="40">
        <v>0</v>
      </c>
      <c r="AR75" s="40">
        <v>0</v>
      </c>
      <c r="AS75" s="40">
        <v>0</v>
      </c>
      <c r="AT75" s="40">
        <v>0</v>
      </c>
      <c r="AU75" s="40">
        <v>0</v>
      </c>
      <c r="AV75" s="40">
        <v>0</v>
      </c>
      <c r="AW75" s="40">
        <v>0</v>
      </c>
      <c r="AX75" s="40">
        <v>0</v>
      </c>
      <c r="AY75" s="40">
        <v>0</v>
      </c>
      <c r="AZ75" s="40">
        <v>0</v>
      </c>
      <c r="BA75" s="40">
        <v>0</v>
      </c>
      <c r="BB75" s="40">
        <v>0</v>
      </c>
      <c r="BC75" s="40">
        <v>0</v>
      </c>
      <c r="BD75" s="40">
        <v>0</v>
      </c>
      <c r="BE75" s="40">
        <v>0</v>
      </c>
      <c r="BF75" s="40">
        <v>0</v>
      </c>
      <c r="BG75" s="40">
        <v>0</v>
      </c>
      <c r="BH75" s="40">
        <v>0</v>
      </c>
      <c r="BI75" s="40">
        <v>0</v>
      </c>
      <c r="BJ75" s="40">
        <v>0</v>
      </c>
      <c r="BK75" s="40">
        <v>0</v>
      </c>
      <c r="BL75" s="40">
        <v>0</v>
      </c>
      <c r="BM75" s="40">
        <v>0</v>
      </c>
      <c r="BN75" s="40">
        <v>0</v>
      </c>
      <c r="BO75" s="40">
        <v>0</v>
      </c>
      <c r="BP75" s="40">
        <v>0</v>
      </c>
      <c r="BQ75" s="40">
        <v>0</v>
      </c>
      <c r="BR75" s="40">
        <v>0</v>
      </c>
      <c r="BS75" s="40">
        <v>0</v>
      </c>
      <c r="BT75" s="40">
        <v>0</v>
      </c>
      <c r="BU75" s="40">
        <v>0</v>
      </c>
      <c r="BV75" s="40">
        <v>0</v>
      </c>
      <c r="BW75" s="40">
        <v>0</v>
      </c>
      <c r="BX75" s="40">
        <v>0</v>
      </c>
      <c r="BY75" s="40">
        <v>0</v>
      </c>
      <c r="BZ75" s="40">
        <v>0</v>
      </c>
      <c r="CA75" s="40">
        <v>0</v>
      </c>
      <c r="CB75" s="40">
        <v>0</v>
      </c>
      <c r="CC75" s="40">
        <v>0</v>
      </c>
      <c r="CD75" s="40">
        <v>0</v>
      </c>
      <c r="CE75" s="40">
        <v>0</v>
      </c>
      <c r="CF75" s="41"/>
      <c r="CG75" s="41"/>
      <c r="CH75" s="42"/>
    </row>
    <row r="76" spans="1:86" ht="22.5">
      <c r="A76" s="38">
        <v>70</v>
      </c>
      <c r="B76" s="65"/>
      <c r="C76" s="39" t="s">
        <v>8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40">
        <v>0</v>
      </c>
      <c r="AJ76" s="40">
        <v>0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0</v>
      </c>
      <c r="AQ76" s="40">
        <v>0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40">
        <v>0</v>
      </c>
      <c r="BH76" s="40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  <c r="BO76" s="40">
        <v>0</v>
      </c>
      <c r="BP76" s="40">
        <v>0</v>
      </c>
      <c r="BQ76" s="40">
        <v>0</v>
      </c>
      <c r="BR76" s="40">
        <v>0</v>
      </c>
      <c r="BS76" s="40">
        <v>0</v>
      </c>
      <c r="BT76" s="40">
        <v>0</v>
      </c>
      <c r="BU76" s="40">
        <v>0</v>
      </c>
      <c r="BV76" s="40">
        <v>0</v>
      </c>
      <c r="BW76" s="40">
        <v>0</v>
      </c>
      <c r="BX76" s="40">
        <v>0</v>
      </c>
      <c r="BY76" s="40">
        <v>0</v>
      </c>
      <c r="BZ76" s="40">
        <v>0</v>
      </c>
      <c r="CA76" s="40">
        <v>0</v>
      </c>
      <c r="CB76" s="40">
        <v>0</v>
      </c>
      <c r="CC76" s="40">
        <v>0</v>
      </c>
      <c r="CD76" s="40">
        <v>0</v>
      </c>
      <c r="CE76" s="40">
        <v>0</v>
      </c>
      <c r="CF76" s="41"/>
      <c r="CG76" s="41"/>
      <c r="CH76" s="42"/>
    </row>
    <row r="77" spans="1:86">
      <c r="A77" s="43">
        <v>71</v>
      </c>
      <c r="B77" s="66"/>
      <c r="C77" s="59" t="s">
        <v>7</v>
      </c>
      <c r="D77" s="44">
        <v>0</v>
      </c>
      <c r="E77" s="44">
        <v>0</v>
      </c>
      <c r="F77" s="44">
        <v>0</v>
      </c>
      <c r="G77" s="44">
        <v>0</v>
      </c>
      <c r="H77" s="44">
        <v>0</v>
      </c>
      <c r="I77" s="44">
        <v>0</v>
      </c>
      <c r="J77" s="44">
        <v>0</v>
      </c>
      <c r="K77" s="44">
        <v>0</v>
      </c>
      <c r="L77" s="44">
        <v>0</v>
      </c>
      <c r="M77" s="44">
        <v>0</v>
      </c>
      <c r="N77" s="44">
        <v>0</v>
      </c>
      <c r="O77" s="44">
        <v>0</v>
      </c>
      <c r="P77" s="44">
        <v>0</v>
      </c>
      <c r="Q77" s="44">
        <v>0</v>
      </c>
      <c r="R77" s="44">
        <v>0</v>
      </c>
      <c r="S77" s="44">
        <v>0</v>
      </c>
      <c r="T77" s="44">
        <v>0</v>
      </c>
      <c r="U77" s="44">
        <v>0</v>
      </c>
      <c r="V77" s="44">
        <v>0</v>
      </c>
      <c r="W77" s="44">
        <v>0</v>
      </c>
      <c r="X77" s="44">
        <v>0</v>
      </c>
      <c r="Y77" s="44">
        <v>0</v>
      </c>
      <c r="Z77" s="44">
        <v>0</v>
      </c>
      <c r="AA77" s="44">
        <v>0</v>
      </c>
      <c r="AB77" s="44">
        <v>0</v>
      </c>
      <c r="AC77" s="44">
        <v>0</v>
      </c>
      <c r="AD77" s="44">
        <v>0</v>
      </c>
      <c r="AE77" s="44">
        <v>0</v>
      </c>
      <c r="AF77" s="44">
        <v>0</v>
      </c>
      <c r="AG77" s="44">
        <v>0</v>
      </c>
      <c r="AH77" s="44">
        <v>0</v>
      </c>
      <c r="AI77" s="44">
        <v>0</v>
      </c>
      <c r="AJ77" s="44">
        <v>0</v>
      </c>
      <c r="AK77" s="44">
        <v>0</v>
      </c>
      <c r="AL77" s="44">
        <v>0</v>
      </c>
      <c r="AM77" s="44">
        <v>0</v>
      </c>
      <c r="AN77" s="44">
        <v>0</v>
      </c>
      <c r="AO77" s="44">
        <v>0</v>
      </c>
      <c r="AP77" s="44">
        <v>0</v>
      </c>
      <c r="AQ77" s="44">
        <v>0</v>
      </c>
      <c r="AR77" s="44">
        <v>0</v>
      </c>
      <c r="AS77" s="44">
        <v>0</v>
      </c>
      <c r="AT77" s="44">
        <v>0</v>
      </c>
      <c r="AU77" s="44">
        <v>0</v>
      </c>
      <c r="AV77" s="44">
        <v>0</v>
      </c>
      <c r="AW77" s="44">
        <v>0</v>
      </c>
      <c r="AX77" s="44">
        <v>0</v>
      </c>
      <c r="AY77" s="44">
        <v>0</v>
      </c>
      <c r="AZ77" s="44">
        <v>0</v>
      </c>
      <c r="BA77" s="44">
        <v>0</v>
      </c>
      <c r="BB77" s="44">
        <v>0</v>
      </c>
      <c r="BC77" s="44">
        <v>0</v>
      </c>
      <c r="BD77" s="44">
        <v>0</v>
      </c>
      <c r="BE77" s="44">
        <v>0</v>
      </c>
      <c r="BF77" s="44">
        <v>0</v>
      </c>
      <c r="BG77" s="44">
        <v>0</v>
      </c>
      <c r="BH77" s="44">
        <v>0</v>
      </c>
      <c r="BI77" s="44">
        <v>0</v>
      </c>
      <c r="BJ77" s="44">
        <v>0</v>
      </c>
      <c r="BK77" s="44">
        <v>0</v>
      </c>
      <c r="BL77" s="44">
        <v>0</v>
      </c>
      <c r="BM77" s="44">
        <v>0</v>
      </c>
      <c r="BN77" s="44">
        <v>0</v>
      </c>
      <c r="BO77" s="44">
        <v>0</v>
      </c>
      <c r="BP77" s="44">
        <v>0</v>
      </c>
      <c r="BQ77" s="44">
        <v>0</v>
      </c>
      <c r="BR77" s="44">
        <v>0</v>
      </c>
      <c r="BS77" s="44">
        <v>0</v>
      </c>
      <c r="BT77" s="44">
        <v>0</v>
      </c>
      <c r="BU77" s="44">
        <v>0</v>
      </c>
      <c r="BV77" s="44">
        <v>0</v>
      </c>
      <c r="BW77" s="44">
        <v>0</v>
      </c>
      <c r="BX77" s="44">
        <v>0</v>
      </c>
      <c r="BY77" s="44">
        <v>0</v>
      </c>
      <c r="BZ77" s="44">
        <v>0</v>
      </c>
      <c r="CA77" s="44">
        <v>0</v>
      </c>
      <c r="CB77" s="44">
        <v>0</v>
      </c>
      <c r="CC77" s="44">
        <v>0</v>
      </c>
      <c r="CD77" s="44">
        <v>0</v>
      </c>
      <c r="CE77" s="44">
        <v>0</v>
      </c>
      <c r="CF77" s="41"/>
      <c r="CG77" s="41"/>
      <c r="CH77" s="42"/>
    </row>
  </sheetData>
  <mergeCells count="1">
    <mergeCell ref="A2:K2"/>
  </mergeCells>
  <pageMargins left="0.78740157480314965" right="0.39370078740157483" top="0.39370078740157483" bottom="0.39370078740157483" header="0.11811023622047245" footer="0.11811023622047245"/>
  <pageSetup paperSize="9" firstPageNumber="205" orientation="landscape" useFirstPageNumber="1" r:id="rId1"/>
  <headerFooter>
    <oddFooter>&amp;R&amp;P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H78"/>
  <sheetViews>
    <sheetView workbookViewId="0">
      <pane xSplit="4" ySplit="7" topLeftCell="E8" activePane="bottomRight" state="frozen"/>
      <selection pane="topRight" activeCell="E1" sqref="E1"/>
      <selection pane="bottomLeft" activeCell="A9" sqref="A9"/>
      <selection pane="bottomRight" activeCell="B4" sqref="B4:H23"/>
    </sheetView>
  </sheetViews>
  <sheetFormatPr defaultColWidth="8" defaultRowHeight="11.25"/>
  <cols>
    <col min="1" max="1" width="3.28515625" style="24" customWidth="1"/>
    <col min="2" max="2" width="9" style="62" customWidth="1"/>
    <col min="3" max="3" width="33.85546875" style="27" customWidth="1"/>
    <col min="4" max="4" width="13.85546875" style="24" customWidth="1"/>
    <col min="5" max="5" width="12.7109375" style="24" customWidth="1"/>
    <col min="6" max="6" width="14.5703125" style="24" customWidth="1"/>
    <col min="7" max="7" width="12.42578125" style="24" customWidth="1"/>
    <col min="8" max="8" width="12.5703125" style="24" bestFit="1" customWidth="1"/>
    <col min="9" max="9" width="12.5703125" style="24" customWidth="1"/>
    <col min="10" max="10" width="14.140625" style="24" bestFit="1" customWidth="1"/>
    <col min="11" max="11" width="13.28515625" style="24" customWidth="1"/>
    <col min="12" max="13" width="14.42578125" style="24" customWidth="1"/>
    <col min="14" max="14" width="13.28515625" style="24" customWidth="1"/>
    <col min="15" max="15" width="12.28515625" style="24" customWidth="1"/>
    <col min="16" max="16" width="12.140625" style="24" customWidth="1"/>
    <col min="17" max="17" width="12.85546875" style="24" customWidth="1"/>
    <col min="18" max="19" width="14.140625" style="24" customWidth="1"/>
    <col min="20" max="24" width="14.28515625" style="24" customWidth="1"/>
    <col min="25" max="25" width="13.7109375" style="24" customWidth="1"/>
    <col min="26" max="26" width="14.28515625" style="24" customWidth="1"/>
    <col min="27" max="27" width="14" style="24" customWidth="1"/>
    <col min="28" max="28" width="12.5703125" style="24" bestFit="1" customWidth="1"/>
    <col min="29" max="29" width="11.28515625" style="24" bestFit="1" customWidth="1"/>
    <col min="30" max="30" width="12.5703125" style="24" customWidth="1"/>
    <col min="31" max="31" width="12.5703125" style="24" bestFit="1" customWidth="1"/>
    <col min="32" max="32" width="14.5703125" style="24" bestFit="1" customWidth="1"/>
    <col min="33" max="33" width="10.85546875" style="24" bestFit="1" customWidth="1"/>
    <col min="34" max="34" width="11.7109375" style="24" customWidth="1"/>
    <col min="35" max="35" width="14" style="24" customWidth="1"/>
    <col min="36" max="36" width="13.5703125" style="24" customWidth="1"/>
    <col min="37" max="37" width="15.5703125" style="24" bestFit="1" customWidth="1"/>
    <col min="38" max="38" width="14.28515625" style="24" customWidth="1"/>
    <col min="39" max="39" width="13.5703125" style="24" customWidth="1"/>
    <col min="40" max="40" width="14.28515625" style="24" customWidth="1"/>
    <col min="41" max="41" width="13.7109375" style="24" customWidth="1"/>
    <col min="42" max="42" width="12.5703125" style="24" bestFit="1" customWidth="1"/>
    <col min="43" max="43" width="15.28515625" style="24" bestFit="1" customWidth="1"/>
    <col min="44" max="44" width="10" style="24" bestFit="1" customWidth="1"/>
    <col min="45" max="45" width="11" style="24" bestFit="1" customWidth="1"/>
    <col min="46" max="46" width="14.28515625" style="24" bestFit="1" customWidth="1"/>
    <col min="47" max="47" width="11.42578125" style="24" customWidth="1"/>
    <col min="48" max="48" width="11" style="24" bestFit="1" customWidth="1"/>
    <col min="49" max="49" width="13.5703125" style="24" customWidth="1"/>
    <col min="50" max="50" width="12.42578125" style="24" customWidth="1"/>
    <col min="51" max="51" width="11.28515625" style="24" customWidth="1"/>
    <col min="52" max="52" width="11.5703125" style="24" customWidth="1"/>
    <col min="53" max="53" width="15.140625" style="24" customWidth="1"/>
    <col min="54" max="54" width="13.42578125" style="24" customWidth="1"/>
    <col min="55" max="55" width="11.28515625" style="24" bestFit="1" customWidth="1"/>
    <col min="56" max="56" width="12.5703125" style="24" bestFit="1" customWidth="1"/>
    <col min="57" max="57" width="13.28515625" style="24" customWidth="1"/>
    <col min="58" max="58" width="17" style="24" bestFit="1" customWidth="1"/>
    <col min="59" max="64" width="13.7109375" style="24" customWidth="1"/>
    <col min="65" max="65" width="16.42578125" style="24" bestFit="1" customWidth="1"/>
    <col min="66" max="66" width="12.5703125" style="24" customWidth="1"/>
    <col min="67" max="67" width="12.7109375" style="24" customWidth="1"/>
    <col min="68" max="68" width="16.28515625" style="24" customWidth="1"/>
    <col min="69" max="69" width="14" style="24" customWidth="1"/>
    <col min="70" max="70" width="11.85546875" style="24" customWidth="1"/>
    <col min="71" max="71" width="15.28515625" style="24" customWidth="1"/>
    <col min="72" max="72" width="14.28515625" style="24" customWidth="1"/>
    <col min="73" max="73" width="14.5703125" style="24" customWidth="1"/>
    <col min="74" max="74" width="16.28515625" style="24" customWidth="1"/>
    <col min="75" max="75" width="15" style="24" customWidth="1"/>
    <col min="76" max="76" width="13.7109375" style="25" customWidth="1"/>
    <col min="77" max="77" width="13.7109375" style="24" customWidth="1"/>
    <col min="78" max="78" width="13.42578125" style="25" customWidth="1"/>
    <col min="79" max="79" width="13.5703125" style="24" customWidth="1"/>
    <col min="80" max="81" width="14.28515625" style="24" customWidth="1"/>
    <col min="82" max="82" width="13.42578125" style="24" customWidth="1"/>
    <col min="83" max="83" width="13.140625" style="24" customWidth="1"/>
    <col min="84" max="84" width="8" style="24"/>
    <col min="85" max="85" width="9.5703125" style="24" bestFit="1" customWidth="1"/>
    <col min="86" max="16384" width="8" style="24"/>
  </cols>
  <sheetData>
    <row r="2" spans="1:86" ht="12.75">
      <c r="A2" s="122" t="s">
        <v>130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</row>
    <row r="3" spans="1:86">
      <c r="A3" s="26" t="s">
        <v>112</v>
      </c>
      <c r="D3" s="28"/>
      <c r="E3" s="28"/>
      <c r="F3" s="28"/>
      <c r="G3" s="28"/>
      <c r="H3" s="28"/>
      <c r="I3" s="28"/>
      <c r="J3" s="28"/>
      <c r="L3" s="28"/>
      <c r="M3" s="28"/>
      <c r="N3" s="28"/>
      <c r="O3" s="28"/>
      <c r="P3" s="28"/>
      <c r="Q3" s="28"/>
      <c r="R3" s="28"/>
      <c r="S3" s="29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9"/>
      <c r="BN3" s="28"/>
      <c r="BO3" s="28"/>
      <c r="BP3" s="28"/>
      <c r="BQ3" s="28"/>
      <c r="BR3" s="28"/>
      <c r="BS3" s="28"/>
      <c r="BT3" s="28"/>
      <c r="BU3" s="29"/>
      <c r="BV3" s="28"/>
      <c r="BW3" s="28"/>
      <c r="BX3" s="28"/>
      <c r="BY3" s="29"/>
      <c r="BZ3" s="28"/>
      <c r="CA3" s="28"/>
      <c r="CB3" s="28"/>
      <c r="CC3" s="28"/>
      <c r="CD3" s="28"/>
      <c r="CE3" s="28"/>
      <c r="CG3" s="25"/>
    </row>
    <row r="4" spans="1:86" ht="93" customHeight="1">
      <c r="A4" s="30"/>
      <c r="B4" s="63"/>
      <c r="C4" s="31"/>
      <c r="D4" s="32" t="s">
        <v>189</v>
      </c>
      <c r="E4" s="33" t="s">
        <v>134</v>
      </c>
      <c r="F4" s="33" t="s">
        <v>89</v>
      </c>
      <c r="G4" s="33" t="s">
        <v>87</v>
      </c>
      <c r="H4" s="33" t="s">
        <v>187</v>
      </c>
      <c r="I4" s="33" t="s">
        <v>185</v>
      </c>
      <c r="J4" s="33" t="s">
        <v>183</v>
      </c>
      <c r="K4" s="33" t="s">
        <v>181</v>
      </c>
      <c r="L4" s="33" t="s">
        <v>180</v>
      </c>
      <c r="M4" s="33" t="s">
        <v>85</v>
      </c>
      <c r="N4" s="33" t="s">
        <v>178</v>
      </c>
      <c r="O4" s="33" t="s">
        <v>83</v>
      </c>
      <c r="P4" s="33" t="s">
        <v>177</v>
      </c>
      <c r="Q4" s="33" t="s">
        <v>82</v>
      </c>
      <c r="R4" s="33" t="s">
        <v>80</v>
      </c>
      <c r="S4" s="33" t="s">
        <v>78</v>
      </c>
      <c r="T4" s="33" t="s">
        <v>76</v>
      </c>
      <c r="U4" s="33" t="s">
        <v>74</v>
      </c>
      <c r="V4" s="33" t="s">
        <v>72</v>
      </c>
      <c r="W4" s="33" t="s">
        <v>70</v>
      </c>
      <c r="X4" s="33" t="s">
        <v>176</v>
      </c>
      <c r="Y4" s="33" t="s">
        <v>68</v>
      </c>
      <c r="Z4" s="33" t="s">
        <v>175</v>
      </c>
      <c r="AA4" s="33" t="s">
        <v>67</v>
      </c>
      <c r="AB4" s="33" t="s">
        <v>173</v>
      </c>
      <c r="AC4" s="33" t="s">
        <v>171</v>
      </c>
      <c r="AD4" s="33" t="s">
        <v>169</v>
      </c>
      <c r="AE4" s="33" t="s">
        <v>167</v>
      </c>
      <c r="AF4" s="33" t="s">
        <v>165</v>
      </c>
      <c r="AG4" s="33" t="s">
        <v>65</v>
      </c>
      <c r="AH4" s="33" t="s">
        <v>135</v>
      </c>
      <c r="AI4" s="33" t="s">
        <v>164</v>
      </c>
      <c r="AJ4" s="33" t="s">
        <v>163</v>
      </c>
      <c r="AK4" s="33" t="s">
        <v>62</v>
      </c>
      <c r="AL4" s="33" t="s">
        <v>60</v>
      </c>
      <c r="AM4" s="33" t="s">
        <v>58</v>
      </c>
      <c r="AN4" s="33" t="s">
        <v>56</v>
      </c>
      <c r="AO4" s="33" t="s">
        <v>136</v>
      </c>
      <c r="AP4" s="33" t="s">
        <v>53</v>
      </c>
      <c r="AQ4" s="33" t="s">
        <v>51</v>
      </c>
      <c r="AR4" s="33" t="s">
        <v>49</v>
      </c>
      <c r="AS4" s="33" t="s">
        <v>162</v>
      </c>
      <c r="AT4" s="33" t="s">
        <v>47</v>
      </c>
      <c r="AU4" s="33" t="s">
        <v>137</v>
      </c>
      <c r="AV4" s="33" t="s">
        <v>44</v>
      </c>
      <c r="AW4" s="33" t="s">
        <v>42</v>
      </c>
      <c r="AX4" s="33" t="s">
        <v>40</v>
      </c>
      <c r="AY4" s="33" t="s">
        <v>38</v>
      </c>
      <c r="AZ4" s="33" t="s">
        <v>36</v>
      </c>
      <c r="BA4" s="33" t="s">
        <v>34</v>
      </c>
      <c r="BB4" s="33" t="s">
        <v>32</v>
      </c>
      <c r="BC4" s="33" t="s">
        <v>30</v>
      </c>
      <c r="BD4" s="33" t="s">
        <v>28</v>
      </c>
      <c r="BE4" s="33" t="s">
        <v>161</v>
      </c>
      <c r="BF4" s="33" t="s">
        <v>26</v>
      </c>
      <c r="BG4" s="33" t="s">
        <v>24</v>
      </c>
      <c r="BH4" s="33" t="s">
        <v>138</v>
      </c>
      <c r="BI4" s="33" t="s">
        <v>139</v>
      </c>
      <c r="BJ4" s="33" t="s">
        <v>20</v>
      </c>
      <c r="BK4" s="33" t="s">
        <v>159</v>
      </c>
      <c r="BL4" s="33" t="s">
        <v>157</v>
      </c>
      <c r="BM4" s="33" t="s">
        <v>18</v>
      </c>
      <c r="BN4" s="33" t="s">
        <v>16</v>
      </c>
      <c r="BO4" s="33" t="s">
        <v>14</v>
      </c>
      <c r="BP4" s="33" t="s">
        <v>12</v>
      </c>
      <c r="BQ4" s="33" t="s">
        <v>156</v>
      </c>
      <c r="BR4" s="33" t="s">
        <v>155</v>
      </c>
      <c r="BS4" s="33" t="s">
        <v>10</v>
      </c>
      <c r="BT4" s="33" t="s">
        <v>123</v>
      </c>
      <c r="BU4" s="33" t="s">
        <v>122</v>
      </c>
      <c r="BV4" s="33" t="s">
        <v>193</v>
      </c>
      <c r="BW4" s="33" t="s">
        <v>121</v>
      </c>
      <c r="BX4" s="34" t="s">
        <v>120</v>
      </c>
      <c r="BY4" s="33" t="s">
        <v>119</v>
      </c>
      <c r="BZ4" s="35" t="s">
        <v>118</v>
      </c>
      <c r="CA4" s="35" t="s">
        <v>117</v>
      </c>
      <c r="CB4" s="35" t="s">
        <v>116</v>
      </c>
      <c r="CC4" s="35" t="s">
        <v>115</v>
      </c>
      <c r="CD4" s="35" t="s">
        <v>114</v>
      </c>
      <c r="CE4" s="35" t="s">
        <v>113</v>
      </c>
    </row>
    <row r="5" spans="1:86" s="25" customFormat="1" ht="15" customHeight="1">
      <c r="A5" s="36"/>
      <c r="B5" s="64" t="s">
        <v>148</v>
      </c>
      <c r="C5" s="37"/>
      <c r="D5" s="33" t="s">
        <v>103</v>
      </c>
      <c r="E5" s="33" t="s">
        <v>91</v>
      </c>
      <c r="F5" s="33" t="s">
        <v>90</v>
      </c>
      <c r="G5" s="33" t="s">
        <v>88</v>
      </c>
      <c r="H5" s="33" t="s">
        <v>188</v>
      </c>
      <c r="I5" s="33" t="s">
        <v>186</v>
      </c>
      <c r="J5" s="33" t="s">
        <v>184</v>
      </c>
      <c r="K5" s="33" t="s">
        <v>182</v>
      </c>
      <c r="L5" s="33" t="s">
        <v>102</v>
      </c>
      <c r="M5" s="33" t="s">
        <v>86</v>
      </c>
      <c r="N5" s="33" t="s">
        <v>179</v>
      </c>
      <c r="O5" s="33" t="s">
        <v>84</v>
      </c>
      <c r="P5" s="33" t="s">
        <v>101</v>
      </c>
      <c r="Q5" s="33" t="s">
        <v>100</v>
      </c>
      <c r="R5" s="33" t="s">
        <v>81</v>
      </c>
      <c r="S5" s="33" t="s">
        <v>79</v>
      </c>
      <c r="T5" s="33" t="s">
        <v>77</v>
      </c>
      <c r="U5" s="33" t="s">
        <v>75</v>
      </c>
      <c r="V5" s="33" t="s">
        <v>73</v>
      </c>
      <c r="W5" s="33" t="s">
        <v>71</v>
      </c>
      <c r="X5" s="33" t="s">
        <v>99</v>
      </c>
      <c r="Y5" s="33" t="s">
        <v>69</v>
      </c>
      <c r="Z5" s="33" t="s">
        <v>98</v>
      </c>
      <c r="AA5" s="33" t="s">
        <v>97</v>
      </c>
      <c r="AB5" s="33">
        <v>241</v>
      </c>
      <c r="AC5" s="33">
        <v>242</v>
      </c>
      <c r="AD5" s="33">
        <v>243</v>
      </c>
      <c r="AE5" s="33">
        <v>244</v>
      </c>
      <c r="AF5" s="33">
        <v>245</v>
      </c>
      <c r="AG5" s="33" t="s">
        <v>66</v>
      </c>
      <c r="AH5" s="33" t="s">
        <v>64</v>
      </c>
      <c r="AI5" s="33" t="s">
        <v>96</v>
      </c>
      <c r="AJ5" s="33" t="s">
        <v>95</v>
      </c>
      <c r="AK5" s="33" t="s">
        <v>63</v>
      </c>
      <c r="AL5" s="33" t="s">
        <v>61</v>
      </c>
      <c r="AM5" s="33" t="s">
        <v>59</v>
      </c>
      <c r="AN5" s="33" t="s">
        <v>57</v>
      </c>
      <c r="AO5" s="33" t="s">
        <v>55</v>
      </c>
      <c r="AP5" s="33">
        <v>351</v>
      </c>
      <c r="AQ5" s="33">
        <v>352</v>
      </c>
      <c r="AR5" s="33">
        <v>353</v>
      </c>
      <c r="AS5" s="33" t="s">
        <v>94</v>
      </c>
      <c r="AT5" s="33" t="s">
        <v>48</v>
      </c>
      <c r="AU5" s="33" t="s">
        <v>46</v>
      </c>
      <c r="AV5" s="33" t="s">
        <v>45</v>
      </c>
      <c r="AW5" s="33" t="s">
        <v>43</v>
      </c>
      <c r="AX5" s="33" t="s">
        <v>41</v>
      </c>
      <c r="AY5" s="33" t="s">
        <v>39</v>
      </c>
      <c r="AZ5" s="33" t="s">
        <v>37</v>
      </c>
      <c r="BA5" s="33" t="s">
        <v>35</v>
      </c>
      <c r="BB5" s="33" t="s">
        <v>33</v>
      </c>
      <c r="BC5" s="33" t="s">
        <v>31</v>
      </c>
      <c r="BD5" s="33" t="s">
        <v>29</v>
      </c>
      <c r="BE5" s="33" t="s">
        <v>198</v>
      </c>
      <c r="BF5" s="33" t="s">
        <v>27</v>
      </c>
      <c r="BG5" s="33" t="s">
        <v>25</v>
      </c>
      <c r="BH5" s="33" t="s">
        <v>23</v>
      </c>
      <c r="BI5" s="33" t="s">
        <v>22</v>
      </c>
      <c r="BJ5" s="33" t="s">
        <v>21</v>
      </c>
      <c r="BK5" s="33" t="s">
        <v>160</v>
      </c>
      <c r="BL5" s="33" t="s">
        <v>158</v>
      </c>
      <c r="BM5" s="33" t="s">
        <v>19</v>
      </c>
      <c r="BN5" s="33" t="s">
        <v>17</v>
      </c>
      <c r="BO5" s="33" t="s">
        <v>15</v>
      </c>
      <c r="BP5" s="33" t="s">
        <v>13</v>
      </c>
      <c r="BQ5" s="33" t="s">
        <v>93</v>
      </c>
      <c r="BR5" s="33" t="s">
        <v>92</v>
      </c>
      <c r="BS5" s="33" t="s">
        <v>11</v>
      </c>
      <c r="BT5" s="33"/>
      <c r="BU5" s="33"/>
      <c r="BV5" s="33"/>
      <c r="BW5" s="33"/>
      <c r="BX5" s="34"/>
      <c r="BY5" s="33"/>
      <c r="BZ5" s="35"/>
      <c r="CA5" s="35"/>
      <c r="CB5" s="35"/>
      <c r="CC5" s="35"/>
      <c r="CD5" s="35"/>
      <c r="CE5" s="35"/>
    </row>
    <row r="6" spans="1:86" ht="11.25" customHeight="1">
      <c r="A6" s="30" t="s">
        <v>147</v>
      </c>
      <c r="B6" s="63"/>
      <c r="C6" s="30"/>
      <c r="D6" s="35">
        <v>1</v>
      </c>
      <c r="E6" s="35">
        <v>2</v>
      </c>
      <c r="F6" s="35">
        <v>3</v>
      </c>
      <c r="G6" s="35">
        <v>4</v>
      </c>
      <c r="H6" s="35">
        <v>5</v>
      </c>
      <c r="I6" s="35">
        <v>6</v>
      </c>
      <c r="J6" s="35">
        <v>7</v>
      </c>
      <c r="K6" s="35">
        <v>8</v>
      </c>
      <c r="L6" s="35">
        <v>9</v>
      </c>
      <c r="M6" s="35">
        <v>10</v>
      </c>
      <c r="N6" s="35">
        <v>11</v>
      </c>
      <c r="O6" s="35">
        <v>12</v>
      </c>
      <c r="P6" s="35">
        <v>13</v>
      </c>
      <c r="Q6" s="35">
        <v>14</v>
      </c>
      <c r="R6" s="35">
        <v>15</v>
      </c>
      <c r="S6" s="35">
        <v>16</v>
      </c>
      <c r="T6" s="35">
        <v>17</v>
      </c>
      <c r="U6" s="35">
        <v>18</v>
      </c>
      <c r="V6" s="35">
        <v>19</v>
      </c>
      <c r="W6" s="35">
        <v>20</v>
      </c>
      <c r="X6" s="35">
        <v>21</v>
      </c>
      <c r="Y6" s="35">
        <v>22</v>
      </c>
      <c r="Z6" s="35">
        <v>23</v>
      </c>
      <c r="AA6" s="35">
        <v>24</v>
      </c>
      <c r="AB6" s="35">
        <v>25</v>
      </c>
      <c r="AC6" s="35">
        <v>26</v>
      </c>
      <c r="AD6" s="35">
        <v>27</v>
      </c>
      <c r="AE6" s="35">
        <v>28</v>
      </c>
      <c r="AF6" s="35">
        <v>29</v>
      </c>
      <c r="AG6" s="35">
        <v>30</v>
      </c>
      <c r="AH6" s="35">
        <v>31</v>
      </c>
      <c r="AI6" s="35">
        <v>32</v>
      </c>
      <c r="AJ6" s="35">
        <v>33</v>
      </c>
      <c r="AK6" s="35">
        <v>34</v>
      </c>
      <c r="AL6" s="35">
        <v>35</v>
      </c>
      <c r="AM6" s="35">
        <v>36</v>
      </c>
      <c r="AN6" s="35">
        <v>37</v>
      </c>
      <c r="AO6" s="35">
        <v>38</v>
      </c>
      <c r="AP6" s="35">
        <v>39</v>
      </c>
      <c r="AQ6" s="35">
        <v>40</v>
      </c>
      <c r="AR6" s="35">
        <v>41</v>
      </c>
      <c r="AS6" s="35">
        <v>42</v>
      </c>
      <c r="AT6" s="35">
        <v>43</v>
      </c>
      <c r="AU6" s="35">
        <v>44</v>
      </c>
      <c r="AV6" s="35">
        <v>45</v>
      </c>
      <c r="AW6" s="35">
        <v>46</v>
      </c>
      <c r="AX6" s="35">
        <v>47</v>
      </c>
      <c r="AY6" s="35">
        <v>48</v>
      </c>
      <c r="AZ6" s="35">
        <v>49</v>
      </c>
      <c r="BA6" s="35">
        <v>50</v>
      </c>
      <c r="BB6" s="35">
        <v>51</v>
      </c>
      <c r="BC6" s="35">
        <v>52</v>
      </c>
      <c r="BD6" s="35">
        <v>53</v>
      </c>
      <c r="BE6" s="35">
        <v>54</v>
      </c>
      <c r="BF6" s="35">
        <v>55</v>
      </c>
      <c r="BG6" s="35">
        <v>56</v>
      </c>
      <c r="BH6" s="35">
        <v>57</v>
      </c>
      <c r="BI6" s="35">
        <v>58</v>
      </c>
      <c r="BJ6" s="35">
        <v>59</v>
      </c>
      <c r="BK6" s="35">
        <v>60</v>
      </c>
      <c r="BL6" s="35">
        <v>61</v>
      </c>
      <c r="BM6" s="35">
        <v>62</v>
      </c>
      <c r="BN6" s="35">
        <v>63</v>
      </c>
      <c r="BO6" s="35">
        <v>64</v>
      </c>
      <c r="BP6" s="35">
        <v>65</v>
      </c>
      <c r="BQ6" s="35">
        <v>66</v>
      </c>
      <c r="BR6" s="35">
        <v>67</v>
      </c>
      <c r="BS6" s="35">
        <v>68</v>
      </c>
      <c r="BT6" s="35">
        <v>69</v>
      </c>
      <c r="BU6" s="35">
        <v>70</v>
      </c>
      <c r="BV6" s="35">
        <v>71</v>
      </c>
      <c r="BW6" s="35">
        <v>72</v>
      </c>
      <c r="BX6" s="35">
        <v>73</v>
      </c>
      <c r="BY6" s="35">
        <v>74</v>
      </c>
      <c r="BZ6" s="35">
        <v>75</v>
      </c>
      <c r="CA6" s="35">
        <v>76</v>
      </c>
      <c r="CB6" s="35">
        <v>77</v>
      </c>
      <c r="CC6" s="35">
        <v>78</v>
      </c>
      <c r="CD6" s="35">
        <v>79</v>
      </c>
      <c r="CE6" s="35">
        <v>80</v>
      </c>
    </row>
    <row r="7" spans="1:86" ht="11.25" customHeight="1">
      <c r="A7" s="38">
        <v>1</v>
      </c>
      <c r="B7" s="65" t="s">
        <v>103</v>
      </c>
      <c r="C7" s="39" t="s">
        <v>189</v>
      </c>
      <c r="D7" s="40">
        <v>40350473</v>
      </c>
      <c r="E7" s="40">
        <v>2843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26500065</v>
      </c>
      <c r="O7" s="40">
        <v>652048</v>
      </c>
      <c r="P7" s="40">
        <v>199886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-45458</v>
      </c>
      <c r="Y7" s="40">
        <v>71337</v>
      </c>
      <c r="Z7" s="40">
        <v>47131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0</v>
      </c>
      <c r="AP7" s="40">
        <v>0</v>
      </c>
      <c r="AQ7" s="40">
        <v>0</v>
      </c>
      <c r="AR7" s="40">
        <v>0</v>
      </c>
      <c r="AS7" s="40">
        <v>1255</v>
      </c>
      <c r="AT7" s="40">
        <v>0</v>
      </c>
      <c r="AU7" s="40">
        <v>0</v>
      </c>
      <c r="AV7" s="40">
        <v>67771</v>
      </c>
      <c r="AW7" s="40">
        <v>0</v>
      </c>
      <c r="AX7" s="40">
        <v>0</v>
      </c>
      <c r="AY7" s="40">
        <v>0</v>
      </c>
      <c r="AZ7" s="40">
        <v>0</v>
      </c>
      <c r="BA7" s="40">
        <v>0</v>
      </c>
      <c r="BB7" s="40">
        <v>0</v>
      </c>
      <c r="BC7" s="40">
        <v>221805</v>
      </c>
      <c r="BD7" s="40">
        <v>11773955</v>
      </c>
      <c r="BE7" s="40">
        <v>0</v>
      </c>
      <c r="BF7" s="40">
        <v>0</v>
      </c>
      <c r="BG7" s="40">
        <v>0</v>
      </c>
      <c r="BH7" s="40">
        <v>0</v>
      </c>
      <c r="BI7" s="40">
        <v>0</v>
      </c>
      <c r="BJ7" s="40">
        <v>0</v>
      </c>
      <c r="BK7" s="40">
        <v>45</v>
      </c>
      <c r="BL7" s="40">
        <v>354020</v>
      </c>
      <c r="BM7" s="40">
        <v>224220</v>
      </c>
      <c r="BN7" s="40">
        <v>4547167</v>
      </c>
      <c r="BO7" s="40">
        <v>2877337</v>
      </c>
      <c r="BP7" s="40">
        <v>59719</v>
      </c>
      <c r="BQ7" s="40">
        <v>70324</v>
      </c>
      <c r="BR7" s="40">
        <v>0</v>
      </c>
      <c r="BS7" s="40">
        <v>0</v>
      </c>
      <c r="BT7" s="40">
        <v>87975943</v>
      </c>
      <c r="BU7" s="40">
        <v>196562628</v>
      </c>
      <c r="BV7" s="40">
        <v>0</v>
      </c>
      <c r="BW7" s="40">
        <v>0</v>
      </c>
      <c r="BX7" s="40">
        <v>196562628</v>
      </c>
      <c r="BY7" s="40">
        <v>4579023</v>
      </c>
      <c r="BZ7" s="40">
        <v>0</v>
      </c>
      <c r="CA7" s="40">
        <v>0</v>
      </c>
      <c r="CB7" s="40">
        <v>4579023</v>
      </c>
      <c r="CC7" s="40">
        <v>277508</v>
      </c>
      <c r="CD7" s="40">
        <v>201419159</v>
      </c>
      <c r="CE7" s="40">
        <v>289395102</v>
      </c>
      <c r="CF7" s="41"/>
      <c r="CG7" s="41"/>
      <c r="CH7" s="42"/>
    </row>
    <row r="8" spans="1:86" ht="22.5">
      <c r="A8" s="38">
        <v>2</v>
      </c>
      <c r="B8" s="65" t="s">
        <v>91</v>
      </c>
      <c r="C8" s="39" t="s">
        <v>134</v>
      </c>
      <c r="D8" s="40">
        <v>2058</v>
      </c>
      <c r="E8" s="40">
        <v>89479</v>
      </c>
      <c r="F8" s="40">
        <v>0</v>
      </c>
      <c r="G8" s="40">
        <v>0</v>
      </c>
      <c r="H8" s="40">
        <v>12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85854</v>
      </c>
      <c r="T8" s="40">
        <v>0</v>
      </c>
      <c r="U8" s="40">
        <v>0</v>
      </c>
      <c r="V8" s="40">
        <v>0</v>
      </c>
      <c r="W8" s="40">
        <v>0</v>
      </c>
      <c r="X8" s="40">
        <v>4003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0</v>
      </c>
      <c r="AP8" s="40">
        <v>0</v>
      </c>
      <c r="AQ8" s="40">
        <v>0</v>
      </c>
      <c r="AR8" s="40">
        <v>0</v>
      </c>
      <c r="AS8" s="40">
        <v>0</v>
      </c>
      <c r="AT8" s="40">
        <v>1972</v>
      </c>
      <c r="AU8" s="40">
        <v>0</v>
      </c>
      <c r="AV8" s="40">
        <v>0</v>
      </c>
      <c r="AW8" s="40">
        <v>0</v>
      </c>
      <c r="AX8" s="40">
        <v>0</v>
      </c>
      <c r="AY8" s="40">
        <v>0</v>
      </c>
      <c r="AZ8" s="40">
        <v>0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40">
        <v>0</v>
      </c>
      <c r="BG8" s="40">
        <v>0</v>
      </c>
      <c r="BH8" s="40">
        <v>0</v>
      </c>
      <c r="BI8" s="40">
        <v>0</v>
      </c>
      <c r="BJ8" s="40">
        <v>0</v>
      </c>
      <c r="BK8" s="40">
        <v>21</v>
      </c>
      <c r="BL8" s="40">
        <v>12678</v>
      </c>
      <c r="BM8" s="40">
        <v>45557</v>
      </c>
      <c r="BN8" s="40">
        <v>6759</v>
      </c>
      <c r="BO8" s="40">
        <v>0</v>
      </c>
      <c r="BP8" s="40">
        <v>2</v>
      </c>
      <c r="BQ8" s="40">
        <v>0</v>
      </c>
      <c r="BR8" s="40">
        <v>0</v>
      </c>
      <c r="BS8" s="40">
        <v>0</v>
      </c>
      <c r="BT8" s="40">
        <v>248395</v>
      </c>
      <c r="BU8" s="40">
        <v>118873</v>
      </c>
      <c r="BV8" s="40">
        <v>0</v>
      </c>
      <c r="BW8" s="40">
        <v>0</v>
      </c>
      <c r="BX8" s="40">
        <v>118873</v>
      </c>
      <c r="BY8" s="40">
        <v>0</v>
      </c>
      <c r="BZ8" s="40">
        <v>0</v>
      </c>
      <c r="CA8" s="40">
        <v>0</v>
      </c>
      <c r="CB8" s="40">
        <v>0</v>
      </c>
      <c r="CC8" s="40">
        <v>847</v>
      </c>
      <c r="CD8" s="40">
        <v>119720</v>
      </c>
      <c r="CE8" s="40">
        <v>368115</v>
      </c>
      <c r="CF8" s="41"/>
      <c r="CG8" s="41"/>
      <c r="CH8" s="42"/>
    </row>
    <row r="9" spans="1:86" ht="33.75">
      <c r="A9" s="38">
        <v>3</v>
      </c>
      <c r="B9" s="65" t="s">
        <v>90</v>
      </c>
      <c r="C9" s="39" t="s">
        <v>89</v>
      </c>
      <c r="D9" s="40">
        <v>0</v>
      </c>
      <c r="E9" s="40">
        <v>0</v>
      </c>
      <c r="F9" s="40">
        <v>2288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3</v>
      </c>
      <c r="O9" s="40">
        <v>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0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0</v>
      </c>
      <c r="AV9" s="40">
        <v>0</v>
      </c>
      <c r="AW9" s="40">
        <v>0</v>
      </c>
      <c r="AX9" s="40">
        <v>0</v>
      </c>
      <c r="AY9" s="40">
        <v>0</v>
      </c>
      <c r="AZ9" s="40">
        <v>0</v>
      </c>
      <c r="BA9" s="40">
        <v>0</v>
      </c>
      <c r="BB9" s="40">
        <v>0</v>
      </c>
      <c r="BC9" s="40">
        <v>2413</v>
      </c>
      <c r="BD9" s="40">
        <v>541707</v>
      </c>
      <c r="BE9" s="40">
        <v>0</v>
      </c>
      <c r="BF9" s="40">
        <v>0</v>
      </c>
      <c r="BG9" s="40">
        <v>0</v>
      </c>
      <c r="BH9" s="40">
        <v>0</v>
      </c>
      <c r="BI9" s="40">
        <v>0</v>
      </c>
      <c r="BJ9" s="40">
        <v>0</v>
      </c>
      <c r="BK9" s="40">
        <v>0</v>
      </c>
      <c r="BL9" s="40">
        <v>0</v>
      </c>
      <c r="BM9" s="40">
        <v>54409</v>
      </c>
      <c r="BN9" s="40">
        <v>268262</v>
      </c>
      <c r="BO9" s="40">
        <v>200277</v>
      </c>
      <c r="BP9" s="40">
        <v>3746</v>
      </c>
      <c r="BQ9" s="40">
        <v>0</v>
      </c>
      <c r="BR9" s="40">
        <v>0</v>
      </c>
      <c r="BS9" s="40">
        <v>0</v>
      </c>
      <c r="BT9" s="40">
        <v>1073105</v>
      </c>
      <c r="BU9" s="40">
        <v>448236</v>
      </c>
      <c r="BV9" s="40">
        <v>0</v>
      </c>
      <c r="BW9" s="40">
        <v>0</v>
      </c>
      <c r="BX9" s="40">
        <v>448236</v>
      </c>
      <c r="BY9" s="40">
        <v>0</v>
      </c>
      <c r="BZ9" s="40">
        <v>0</v>
      </c>
      <c r="CA9" s="40">
        <v>0</v>
      </c>
      <c r="CB9" s="40">
        <v>0</v>
      </c>
      <c r="CC9" s="40">
        <v>459</v>
      </c>
      <c r="CD9" s="40">
        <v>448695</v>
      </c>
      <c r="CE9" s="40">
        <v>1521800</v>
      </c>
      <c r="CF9" s="41"/>
      <c r="CG9" s="41"/>
      <c r="CH9" s="42"/>
    </row>
    <row r="10" spans="1:86">
      <c r="A10" s="38">
        <v>4</v>
      </c>
      <c r="B10" s="65" t="s">
        <v>88</v>
      </c>
      <c r="C10" s="39" t="s">
        <v>87</v>
      </c>
      <c r="D10" s="40">
        <v>42326</v>
      </c>
      <c r="E10" s="40">
        <v>0</v>
      </c>
      <c r="F10" s="40">
        <v>0</v>
      </c>
      <c r="G10" s="40">
        <v>58754</v>
      </c>
      <c r="H10" s="40">
        <v>22</v>
      </c>
      <c r="I10" s="40">
        <v>1</v>
      </c>
      <c r="J10" s="40">
        <v>7216</v>
      </c>
      <c r="K10" s="40">
        <v>5009</v>
      </c>
      <c r="L10" s="40">
        <v>11</v>
      </c>
      <c r="M10" s="40">
        <v>28</v>
      </c>
      <c r="N10" s="40">
        <v>386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9</v>
      </c>
      <c r="U10" s="40">
        <v>0</v>
      </c>
      <c r="V10" s="40">
        <v>377578</v>
      </c>
      <c r="W10" s="40">
        <v>0</v>
      </c>
      <c r="X10" s="40">
        <v>15</v>
      </c>
      <c r="Y10" s="40">
        <v>0</v>
      </c>
      <c r="Z10" s="40">
        <v>0</v>
      </c>
      <c r="AA10" s="40">
        <v>110907</v>
      </c>
      <c r="AB10" s="40">
        <v>22784</v>
      </c>
      <c r="AC10" s="40">
        <v>0</v>
      </c>
      <c r="AD10" s="40">
        <v>0</v>
      </c>
      <c r="AE10" s="40">
        <v>1630</v>
      </c>
      <c r="AF10" s="40">
        <v>0</v>
      </c>
      <c r="AG10" s="40">
        <v>4</v>
      </c>
      <c r="AH10" s="40">
        <v>0</v>
      </c>
      <c r="AI10" s="40">
        <v>0</v>
      </c>
      <c r="AJ10" s="40">
        <v>50</v>
      </c>
      <c r="AK10" s="40">
        <v>0</v>
      </c>
      <c r="AL10" s="40">
        <v>21</v>
      </c>
      <c r="AM10" s="40">
        <v>0</v>
      </c>
      <c r="AN10" s="40">
        <v>11</v>
      </c>
      <c r="AO10" s="40">
        <v>64</v>
      </c>
      <c r="AP10" s="40">
        <v>1043538</v>
      </c>
      <c r="AQ10" s="40">
        <v>0</v>
      </c>
      <c r="AR10" s="40">
        <v>167538</v>
      </c>
      <c r="AS10" s="40">
        <v>30377</v>
      </c>
      <c r="AT10" s="40">
        <v>3786</v>
      </c>
      <c r="AU10" s="40">
        <v>0</v>
      </c>
      <c r="AV10" s="40">
        <v>430</v>
      </c>
      <c r="AW10" s="40">
        <v>411</v>
      </c>
      <c r="AX10" s="40">
        <v>302985</v>
      </c>
      <c r="AY10" s="40">
        <v>0</v>
      </c>
      <c r="AZ10" s="40">
        <v>0</v>
      </c>
      <c r="BA10" s="40">
        <v>1892</v>
      </c>
      <c r="BB10" s="40">
        <v>0</v>
      </c>
      <c r="BC10" s="40">
        <v>0</v>
      </c>
      <c r="BD10" s="40">
        <v>0</v>
      </c>
      <c r="BE10" s="40">
        <v>0</v>
      </c>
      <c r="BF10" s="40">
        <v>0</v>
      </c>
      <c r="BG10" s="40">
        <v>0</v>
      </c>
      <c r="BH10" s="40">
        <v>0</v>
      </c>
      <c r="BI10" s="40">
        <v>0</v>
      </c>
      <c r="BJ10" s="40">
        <v>1853</v>
      </c>
      <c r="BK10" s="40">
        <v>21753</v>
      </c>
      <c r="BL10" s="40">
        <v>2468</v>
      </c>
      <c r="BM10" s="40">
        <v>272712</v>
      </c>
      <c r="BN10" s="40">
        <v>7073011</v>
      </c>
      <c r="BO10" s="40">
        <v>5424616</v>
      </c>
      <c r="BP10" s="40">
        <v>35459</v>
      </c>
      <c r="BQ10" s="40">
        <v>5762</v>
      </c>
      <c r="BR10" s="40">
        <v>0</v>
      </c>
      <c r="BS10" s="40">
        <v>0</v>
      </c>
      <c r="BT10" s="40">
        <v>15015417</v>
      </c>
      <c r="BU10" s="40">
        <v>18826477</v>
      </c>
      <c r="BV10" s="40">
        <v>0</v>
      </c>
      <c r="BW10" s="40">
        <v>0</v>
      </c>
      <c r="BX10" s="40">
        <v>18826477</v>
      </c>
      <c r="BY10" s="40">
        <v>0</v>
      </c>
      <c r="BZ10" s="40">
        <v>0</v>
      </c>
      <c r="CA10" s="40">
        <v>0</v>
      </c>
      <c r="CB10" s="40">
        <v>0</v>
      </c>
      <c r="CC10" s="40">
        <v>47452099</v>
      </c>
      <c r="CD10" s="40">
        <v>66278576</v>
      </c>
      <c r="CE10" s="40">
        <v>81293993</v>
      </c>
      <c r="CF10" s="41"/>
      <c r="CG10" s="41"/>
      <c r="CH10" s="42"/>
    </row>
    <row r="11" spans="1:86">
      <c r="A11" s="38">
        <v>5</v>
      </c>
      <c r="B11" s="65" t="s">
        <v>188</v>
      </c>
      <c r="C11" s="39" t="s">
        <v>187</v>
      </c>
      <c r="D11" s="40">
        <v>0</v>
      </c>
      <c r="E11" s="40">
        <v>0</v>
      </c>
      <c r="F11" s="40">
        <v>0</v>
      </c>
      <c r="G11" s="40">
        <v>0</v>
      </c>
      <c r="H11" s="40">
        <v>14831646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61226082</v>
      </c>
      <c r="X11" s="40">
        <v>16458</v>
      </c>
      <c r="Y11" s="40">
        <v>0</v>
      </c>
      <c r="Z11" s="40">
        <v>22122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40">
        <v>0</v>
      </c>
      <c r="AN11" s="40">
        <v>0</v>
      </c>
      <c r="AO11" s="40">
        <v>0</v>
      </c>
      <c r="AP11" s="40">
        <v>0</v>
      </c>
      <c r="AQ11" s="40">
        <v>0</v>
      </c>
      <c r="AR11" s="40">
        <v>0</v>
      </c>
      <c r="AS11" s="40">
        <v>0</v>
      </c>
      <c r="AT11" s="40">
        <v>0</v>
      </c>
      <c r="AU11" s="40">
        <v>0</v>
      </c>
      <c r="AV11" s="40">
        <v>0</v>
      </c>
      <c r="AW11" s="40">
        <v>0</v>
      </c>
      <c r="AX11" s="40">
        <v>0</v>
      </c>
      <c r="AY11" s="40">
        <v>0</v>
      </c>
      <c r="AZ11" s="40">
        <v>0</v>
      </c>
      <c r="BA11" s="40">
        <v>0</v>
      </c>
      <c r="BB11" s="40">
        <v>0</v>
      </c>
      <c r="BC11" s="40">
        <v>0</v>
      </c>
      <c r="BD11" s="40">
        <v>0</v>
      </c>
      <c r="BE11" s="40">
        <v>0</v>
      </c>
      <c r="BF11" s="40">
        <v>0</v>
      </c>
      <c r="BG11" s="40">
        <v>0</v>
      </c>
      <c r="BH11" s="40">
        <v>0</v>
      </c>
      <c r="BI11" s="40">
        <v>0</v>
      </c>
      <c r="BJ11" s="40">
        <v>0</v>
      </c>
      <c r="BK11" s="40">
        <v>0</v>
      </c>
      <c r="BL11" s="40">
        <v>0</v>
      </c>
      <c r="BM11" s="40">
        <v>0</v>
      </c>
      <c r="BN11" s="40">
        <v>0</v>
      </c>
      <c r="BO11" s="40">
        <v>0</v>
      </c>
      <c r="BP11" s="40">
        <v>0</v>
      </c>
      <c r="BQ11" s="40">
        <v>0</v>
      </c>
      <c r="BR11" s="40">
        <v>0</v>
      </c>
      <c r="BS11" s="40">
        <v>0</v>
      </c>
      <c r="BT11" s="40">
        <v>76096308</v>
      </c>
      <c r="BU11" s="40">
        <v>0</v>
      </c>
      <c r="BV11" s="40">
        <v>0</v>
      </c>
      <c r="BW11" s="40">
        <v>0</v>
      </c>
      <c r="BX11" s="40">
        <v>0</v>
      </c>
      <c r="BY11" s="40">
        <v>0</v>
      </c>
      <c r="BZ11" s="40">
        <v>0</v>
      </c>
      <c r="CA11" s="40">
        <v>0</v>
      </c>
      <c r="CB11" s="40">
        <v>0</v>
      </c>
      <c r="CC11" s="40">
        <v>2097370870</v>
      </c>
      <c r="CD11" s="40">
        <v>2097370870</v>
      </c>
      <c r="CE11" s="40">
        <v>2173467178</v>
      </c>
      <c r="CF11" s="41"/>
      <c r="CG11" s="41"/>
      <c r="CH11" s="42"/>
    </row>
    <row r="12" spans="1:86" ht="22.5">
      <c r="A12" s="38">
        <v>6</v>
      </c>
      <c r="B12" s="65" t="s">
        <v>186</v>
      </c>
      <c r="C12" s="39" t="s">
        <v>185</v>
      </c>
      <c r="D12" s="40">
        <v>43804</v>
      </c>
      <c r="E12" s="40">
        <v>0</v>
      </c>
      <c r="F12" s="40">
        <v>0</v>
      </c>
      <c r="G12" s="40">
        <v>0</v>
      </c>
      <c r="H12" s="40">
        <v>651359</v>
      </c>
      <c r="I12" s="40">
        <v>30634</v>
      </c>
      <c r="J12" s="40">
        <v>14644</v>
      </c>
      <c r="K12" s="40">
        <v>31</v>
      </c>
      <c r="L12" s="40">
        <v>519</v>
      </c>
      <c r="M12" s="40">
        <v>25462</v>
      </c>
      <c r="N12" s="40">
        <v>96048</v>
      </c>
      <c r="O12" s="40">
        <v>0</v>
      </c>
      <c r="P12" s="40">
        <v>49</v>
      </c>
      <c r="Q12" s="40">
        <v>31</v>
      </c>
      <c r="R12" s="40">
        <v>55</v>
      </c>
      <c r="S12" s="40">
        <v>0</v>
      </c>
      <c r="T12" s="40">
        <v>2124</v>
      </c>
      <c r="U12" s="40">
        <v>0</v>
      </c>
      <c r="V12" s="40">
        <v>0</v>
      </c>
      <c r="W12" s="40">
        <v>151124</v>
      </c>
      <c r="X12" s="40">
        <v>10463</v>
      </c>
      <c r="Y12" s="40">
        <v>17240</v>
      </c>
      <c r="Z12" s="40">
        <v>0</v>
      </c>
      <c r="AA12" s="40">
        <v>9492</v>
      </c>
      <c r="AB12" s="40">
        <v>165</v>
      </c>
      <c r="AC12" s="40">
        <v>0</v>
      </c>
      <c r="AD12" s="40">
        <v>5</v>
      </c>
      <c r="AE12" s="40">
        <v>0</v>
      </c>
      <c r="AF12" s="40">
        <v>0</v>
      </c>
      <c r="AG12" s="40">
        <v>92</v>
      </c>
      <c r="AH12" s="40">
        <v>0</v>
      </c>
      <c r="AI12" s="40">
        <v>0</v>
      </c>
      <c r="AJ12" s="40">
        <v>0</v>
      </c>
      <c r="AK12" s="40">
        <v>89</v>
      </c>
      <c r="AL12" s="40">
        <v>0</v>
      </c>
      <c r="AM12" s="40">
        <v>0</v>
      </c>
      <c r="AN12" s="40">
        <v>0</v>
      </c>
      <c r="AO12" s="40">
        <v>129</v>
      </c>
      <c r="AP12" s="40">
        <v>1237312</v>
      </c>
      <c r="AQ12" s="40">
        <v>3899307</v>
      </c>
      <c r="AR12" s="40">
        <v>201554</v>
      </c>
      <c r="AS12" s="40">
        <v>2163</v>
      </c>
      <c r="AT12" s="40">
        <v>4553</v>
      </c>
      <c r="AU12" s="40">
        <v>0</v>
      </c>
      <c r="AV12" s="40">
        <v>1052</v>
      </c>
      <c r="AW12" s="40">
        <v>680</v>
      </c>
      <c r="AX12" s="40">
        <v>1494981</v>
      </c>
      <c r="AY12" s="40">
        <v>0</v>
      </c>
      <c r="AZ12" s="40">
        <v>0</v>
      </c>
      <c r="BA12" s="40">
        <v>1314</v>
      </c>
      <c r="BB12" s="40">
        <v>0</v>
      </c>
      <c r="BC12" s="40">
        <v>23409</v>
      </c>
      <c r="BD12" s="40">
        <v>793</v>
      </c>
      <c r="BE12" s="40">
        <v>0</v>
      </c>
      <c r="BF12" s="40">
        <v>0</v>
      </c>
      <c r="BG12" s="40">
        <v>0</v>
      </c>
      <c r="BH12" s="40">
        <v>0</v>
      </c>
      <c r="BI12" s="40">
        <v>0</v>
      </c>
      <c r="BJ12" s="40">
        <v>718883</v>
      </c>
      <c r="BK12" s="40">
        <v>98</v>
      </c>
      <c r="BL12" s="40">
        <v>11263</v>
      </c>
      <c r="BM12" s="40">
        <v>0</v>
      </c>
      <c r="BN12" s="40">
        <v>0</v>
      </c>
      <c r="BO12" s="40">
        <v>0</v>
      </c>
      <c r="BP12" s="40">
        <v>0</v>
      </c>
      <c r="BQ12" s="40">
        <v>0</v>
      </c>
      <c r="BR12" s="40">
        <v>0</v>
      </c>
      <c r="BS12" s="40">
        <v>0</v>
      </c>
      <c r="BT12" s="40">
        <v>8650921</v>
      </c>
      <c r="BU12" s="40">
        <v>0</v>
      </c>
      <c r="BV12" s="40">
        <v>0</v>
      </c>
      <c r="BW12" s="40">
        <v>0</v>
      </c>
      <c r="BX12" s="40">
        <v>0</v>
      </c>
      <c r="BY12" s="40">
        <v>0</v>
      </c>
      <c r="BZ12" s="40">
        <v>0</v>
      </c>
      <c r="CA12" s="40">
        <v>0</v>
      </c>
      <c r="CB12" s="40">
        <v>0</v>
      </c>
      <c r="CC12" s="40">
        <v>171484</v>
      </c>
      <c r="CD12" s="40">
        <v>171484</v>
      </c>
      <c r="CE12" s="40">
        <v>8822405</v>
      </c>
      <c r="CF12" s="41"/>
      <c r="CG12" s="41"/>
      <c r="CH12" s="42"/>
    </row>
    <row r="13" spans="1:86">
      <c r="A13" s="38">
        <v>7</v>
      </c>
      <c r="B13" s="65" t="s">
        <v>184</v>
      </c>
      <c r="C13" s="39" t="s">
        <v>183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2348777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>
        <v>0</v>
      </c>
      <c r="AL13" s="40">
        <v>0</v>
      </c>
      <c r="AM13" s="40">
        <v>0</v>
      </c>
      <c r="AN13" s="40">
        <v>0</v>
      </c>
      <c r="AO13" s="40">
        <v>0</v>
      </c>
      <c r="AP13" s="40">
        <v>0</v>
      </c>
      <c r="AQ13" s="40">
        <v>0</v>
      </c>
      <c r="AR13" s="40">
        <v>0</v>
      </c>
      <c r="AS13" s="40">
        <v>0</v>
      </c>
      <c r="AT13" s="40">
        <v>0</v>
      </c>
      <c r="AU13" s="40">
        <v>0</v>
      </c>
      <c r="AV13" s="40">
        <v>0</v>
      </c>
      <c r="AW13" s="40">
        <v>0</v>
      </c>
      <c r="AX13" s="40">
        <v>0</v>
      </c>
      <c r="AY13" s="40">
        <v>0</v>
      </c>
      <c r="AZ13" s="40">
        <v>0</v>
      </c>
      <c r="BA13" s="40">
        <v>0</v>
      </c>
      <c r="BB13" s="40">
        <v>0</v>
      </c>
      <c r="BC13" s="40">
        <v>0</v>
      </c>
      <c r="BD13" s="40">
        <v>0</v>
      </c>
      <c r="BE13" s="40">
        <v>0</v>
      </c>
      <c r="BF13" s="40">
        <v>0</v>
      </c>
      <c r="BG13" s="40">
        <v>0</v>
      </c>
      <c r="BH13" s="40">
        <v>0</v>
      </c>
      <c r="BI13" s="40">
        <v>0</v>
      </c>
      <c r="BJ13" s="40">
        <v>0</v>
      </c>
      <c r="BK13" s="40">
        <v>0</v>
      </c>
      <c r="BL13" s="40">
        <v>0</v>
      </c>
      <c r="BM13" s="40">
        <v>0</v>
      </c>
      <c r="BN13" s="40">
        <v>0</v>
      </c>
      <c r="BO13" s="40">
        <v>0</v>
      </c>
      <c r="BP13" s="40">
        <v>0</v>
      </c>
      <c r="BQ13" s="40">
        <v>0</v>
      </c>
      <c r="BR13" s="40">
        <v>0</v>
      </c>
      <c r="BS13" s="40">
        <v>0</v>
      </c>
      <c r="BT13" s="40">
        <v>2348777</v>
      </c>
      <c r="BU13" s="40">
        <v>0</v>
      </c>
      <c r="BV13" s="40">
        <v>0</v>
      </c>
      <c r="BW13" s="40">
        <v>0</v>
      </c>
      <c r="BX13" s="40">
        <v>0</v>
      </c>
      <c r="BY13" s="40">
        <v>0</v>
      </c>
      <c r="BZ13" s="40">
        <v>0</v>
      </c>
      <c r="CA13" s="40">
        <v>0</v>
      </c>
      <c r="CB13" s="40">
        <v>0</v>
      </c>
      <c r="CC13" s="40">
        <v>89803</v>
      </c>
      <c r="CD13" s="40">
        <v>89803</v>
      </c>
      <c r="CE13" s="40">
        <v>2438580</v>
      </c>
      <c r="CF13" s="41"/>
      <c r="CG13" s="41"/>
      <c r="CH13" s="42"/>
    </row>
    <row r="14" spans="1:86">
      <c r="A14" s="38">
        <v>8</v>
      </c>
      <c r="B14" s="65" t="s">
        <v>182</v>
      </c>
      <c r="C14" s="39" t="s">
        <v>181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255696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818341</v>
      </c>
      <c r="Y14" s="40">
        <v>0</v>
      </c>
      <c r="Z14" s="40">
        <v>0</v>
      </c>
      <c r="AA14" s="40">
        <v>0</v>
      </c>
      <c r="AB14" s="40">
        <v>614486</v>
      </c>
      <c r="AC14" s="40">
        <v>0</v>
      </c>
      <c r="AD14" s="40">
        <v>0</v>
      </c>
      <c r="AE14" s="40">
        <v>13840681</v>
      </c>
      <c r="AF14" s="40">
        <v>0</v>
      </c>
      <c r="AG14" s="40">
        <v>0</v>
      </c>
      <c r="AH14" s="40">
        <v>0</v>
      </c>
      <c r="AI14" s="40">
        <v>0</v>
      </c>
      <c r="AJ14" s="40">
        <v>0</v>
      </c>
      <c r="AK14" s="40">
        <v>0</v>
      </c>
      <c r="AL14" s="40">
        <v>0</v>
      </c>
      <c r="AM14" s="40">
        <v>0</v>
      </c>
      <c r="AN14" s="40">
        <v>0</v>
      </c>
      <c r="AO14" s="40">
        <v>0</v>
      </c>
      <c r="AP14" s="40">
        <v>0</v>
      </c>
      <c r="AQ14" s="40">
        <v>0</v>
      </c>
      <c r="AR14" s="40">
        <v>0</v>
      </c>
      <c r="AS14" s="40">
        <v>0</v>
      </c>
      <c r="AT14" s="40">
        <v>0</v>
      </c>
      <c r="AU14" s="40">
        <v>0</v>
      </c>
      <c r="AV14" s="40">
        <v>0</v>
      </c>
      <c r="AW14" s="40">
        <v>0</v>
      </c>
      <c r="AX14" s="40">
        <v>0</v>
      </c>
      <c r="AY14" s="40">
        <v>0</v>
      </c>
      <c r="AZ14" s="40">
        <v>0</v>
      </c>
      <c r="BA14" s="40">
        <v>0</v>
      </c>
      <c r="BB14" s="40">
        <v>0</v>
      </c>
      <c r="BC14" s="40">
        <v>0</v>
      </c>
      <c r="BD14" s="40">
        <v>0</v>
      </c>
      <c r="BE14" s="40">
        <v>0</v>
      </c>
      <c r="BF14" s="40">
        <v>0</v>
      </c>
      <c r="BG14" s="40">
        <v>0</v>
      </c>
      <c r="BH14" s="40">
        <v>0</v>
      </c>
      <c r="BI14" s="40">
        <v>0</v>
      </c>
      <c r="BJ14" s="40">
        <v>0</v>
      </c>
      <c r="BK14" s="40">
        <v>0</v>
      </c>
      <c r="BL14" s="40">
        <v>0</v>
      </c>
      <c r="BM14" s="40">
        <v>0</v>
      </c>
      <c r="BN14" s="40">
        <v>0</v>
      </c>
      <c r="BO14" s="40">
        <v>0</v>
      </c>
      <c r="BP14" s="40">
        <v>0</v>
      </c>
      <c r="BQ14" s="40">
        <v>0</v>
      </c>
      <c r="BR14" s="40">
        <v>0</v>
      </c>
      <c r="BS14" s="40">
        <v>0</v>
      </c>
      <c r="BT14" s="40">
        <v>15529204</v>
      </c>
      <c r="BU14" s="40">
        <v>0</v>
      </c>
      <c r="BV14" s="40">
        <v>0</v>
      </c>
      <c r="BW14" s="40">
        <v>0</v>
      </c>
      <c r="BX14" s="40">
        <v>0</v>
      </c>
      <c r="BY14" s="40">
        <v>0</v>
      </c>
      <c r="BZ14" s="40">
        <v>0</v>
      </c>
      <c r="CA14" s="40">
        <v>0</v>
      </c>
      <c r="CB14" s="40">
        <v>0</v>
      </c>
      <c r="CC14" s="40">
        <v>476885</v>
      </c>
      <c r="CD14" s="40">
        <v>476885</v>
      </c>
      <c r="CE14" s="40">
        <v>16006089</v>
      </c>
      <c r="CF14" s="41"/>
      <c r="CG14" s="41"/>
      <c r="CH14" s="42"/>
    </row>
    <row r="15" spans="1:86" ht="22.5">
      <c r="A15" s="38">
        <v>9</v>
      </c>
      <c r="B15" s="65" t="s">
        <v>102</v>
      </c>
      <c r="C15" s="39" t="s">
        <v>180</v>
      </c>
      <c r="D15" s="40">
        <v>113920</v>
      </c>
      <c r="E15" s="40">
        <v>2</v>
      </c>
      <c r="F15" s="40">
        <v>2212</v>
      </c>
      <c r="G15" s="40">
        <v>0</v>
      </c>
      <c r="H15" s="40">
        <v>593422</v>
      </c>
      <c r="I15" s="40">
        <v>27926</v>
      </c>
      <c r="J15" s="40">
        <v>0</v>
      </c>
      <c r="K15" s="40">
        <v>5</v>
      </c>
      <c r="L15" s="40">
        <v>102656</v>
      </c>
      <c r="M15" s="40">
        <v>5339</v>
      </c>
      <c r="N15" s="40">
        <v>4202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10700</v>
      </c>
      <c r="U15" s="40">
        <v>0</v>
      </c>
      <c r="V15" s="40">
        <v>0</v>
      </c>
      <c r="W15" s="40">
        <v>9</v>
      </c>
      <c r="X15" s="40">
        <v>240758</v>
      </c>
      <c r="Y15" s="40">
        <v>8291</v>
      </c>
      <c r="Z15" s="40">
        <v>3577</v>
      </c>
      <c r="AA15" s="40">
        <v>1097126</v>
      </c>
      <c r="AB15" s="40">
        <v>2539</v>
      </c>
      <c r="AC15" s="40">
        <v>18</v>
      </c>
      <c r="AD15" s="40">
        <v>43</v>
      </c>
      <c r="AE15" s="40">
        <v>136</v>
      </c>
      <c r="AF15" s="40">
        <v>0</v>
      </c>
      <c r="AG15" s="40">
        <v>0</v>
      </c>
      <c r="AH15" s="40">
        <v>0</v>
      </c>
      <c r="AI15" s="40">
        <v>2</v>
      </c>
      <c r="AJ15" s="40">
        <v>34</v>
      </c>
      <c r="AK15" s="40">
        <v>1411</v>
      </c>
      <c r="AL15" s="40">
        <v>635</v>
      </c>
      <c r="AM15" s="40">
        <v>0</v>
      </c>
      <c r="AN15" s="40">
        <v>60205</v>
      </c>
      <c r="AO15" s="40">
        <v>0</v>
      </c>
      <c r="AP15" s="40">
        <v>21552</v>
      </c>
      <c r="AQ15" s="40">
        <v>0</v>
      </c>
      <c r="AR15" s="40">
        <v>9759</v>
      </c>
      <c r="AS15" s="40">
        <v>19522</v>
      </c>
      <c r="AT15" s="40">
        <v>3577505</v>
      </c>
      <c r="AU15" s="40">
        <v>0</v>
      </c>
      <c r="AV15" s="40">
        <v>0</v>
      </c>
      <c r="AW15" s="40">
        <v>0</v>
      </c>
      <c r="AX15" s="40">
        <v>0</v>
      </c>
      <c r="AY15" s="40">
        <v>0</v>
      </c>
      <c r="AZ15" s="40">
        <v>0</v>
      </c>
      <c r="BA15" s="40">
        <v>0</v>
      </c>
      <c r="BB15" s="40">
        <v>0</v>
      </c>
      <c r="BC15" s="40">
        <v>0</v>
      </c>
      <c r="BD15" s="40">
        <v>0</v>
      </c>
      <c r="BE15" s="40">
        <v>0</v>
      </c>
      <c r="BF15" s="40">
        <v>0</v>
      </c>
      <c r="BG15" s="40">
        <v>0</v>
      </c>
      <c r="BH15" s="40">
        <v>0</v>
      </c>
      <c r="BI15" s="40">
        <v>0</v>
      </c>
      <c r="BJ15" s="40">
        <v>0</v>
      </c>
      <c r="BK15" s="40">
        <v>157518</v>
      </c>
      <c r="BL15" s="40">
        <v>26639</v>
      </c>
      <c r="BM15" s="40">
        <v>868</v>
      </c>
      <c r="BN15" s="40">
        <v>224469</v>
      </c>
      <c r="BO15" s="40">
        <v>712218</v>
      </c>
      <c r="BP15" s="40">
        <v>489</v>
      </c>
      <c r="BQ15" s="40">
        <v>595081</v>
      </c>
      <c r="BR15" s="40">
        <v>0</v>
      </c>
      <c r="BS15" s="40">
        <v>0</v>
      </c>
      <c r="BT15" s="40">
        <v>7620788</v>
      </c>
      <c r="BU15" s="40">
        <v>1500927</v>
      </c>
      <c r="BV15" s="40">
        <v>0</v>
      </c>
      <c r="BW15" s="40">
        <v>0</v>
      </c>
      <c r="BX15" s="40">
        <v>1500927</v>
      </c>
      <c r="BY15" s="40">
        <v>0</v>
      </c>
      <c r="BZ15" s="40">
        <v>0</v>
      </c>
      <c r="CA15" s="40">
        <v>0</v>
      </c>
      <c r="CB15" s="40">
        <v>0</v>
      </c>
      <c r="CC15" s="40">
        <v>49507</v>
      </c>
      <c r="CD15" s="40">
        <v>1550434</v>
      </c>
      <c r="CE15" s="40">
        <v>9171222</v>
      </c>
      <c r="CF15" s="41"/>
      <c r="CG15" s="41"/>
      <c r="CH15" s="42"/>
    </row>
    <row r="16" spans="1:86" ht="22.5">
      <c r="A16" s="38">
        <v>10</v>
      </c>
      <c r="B16" s="65" t="s">
        <v>86</v>
      </c>
      <c r="C16" s="39" t="s">
        <v>85</v>
      </c>
      <c r="D16" s="40">
        <v>0</v>
      </c>
      <c r="E16" s="40">
        <v>0</v>
      </c>
      <c r="F16" s="40">
        <v>0</v>
      </c>
      <c r="G16" s="40">
        <v>117068</v>
      </c>
      <c r="H16" s="40">
        <v>745474</v>
      </c>
      <c r="I16" s="40">
        <v>34786</v>
      </c>
      <c r="J16" s="40">
        <v>26116</v>
      </c>
      <c r="K16" s="40">
        <v>94414</v>
      </c>
      <c r="L16" s="40">
        <v>72703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40">
        <v>0</v>
      </c>
      <c r="AR16" s="40">
        <v>0</v>
      </c>
      <c r="AS16" s="40">
        <v>0</v>
      </c>
      <c r="AT16" s="40">
        <v>0</v>
      </c>
      <c r="AU16" s="40">
        <v>0</v>
      </c>
      <c r="AV16" s="40">
        <v>0</v>
      </c>
      <c r="AW16" s="40">
        <v>0</v>
      </c>
      <c r="AX16" s="40">
        <v>0</v>
      </c>
      <c r="AY16" s="40">
        <v>0</v>
      </c>
      <c r="AZ16" s="40">
        <v>0</v>
      </c>
      <c r="BA16" s="40">
        <v>0</v>
      </c>
      <c r="BB16" s="40">
        <v>0</v>
      </c>
      <c r="BC16" s="40">
        <v>0</v>
      </c>
      <c r="BD16" s="40">
        <v>0</v>
      </c>
      <c r="BE16" s="40">
        <v>0</v>
      </c>
      <c r="BF16" s="40">
        <v>0</v>
      </c>
      <c r="BG16" s="40">
        <v>0</v>
      </c>
      <c r="BH16" s="40">
        <v>0</v>
      </c>
      <c r="BI16" s="40">
        <v>0</v>
      </c>
      <c r="BJ16" s="40">
        <v>0</v>
      </c>
      <c r="BK16" s="40">
        <v>0</v>
      </c>
      <c r="BL16" s="40">
        <v>0</v>
      </c>
      <c r="BM16" s="40">
        <v>0</v>
      </c>
      <c r="BN16" s="40">
        <v>0</v>
      </c>
      <c r="BO16" s="40">
        <v>0</v>
      </c>
      <c r="BP16" s="40">
        <v>0</v>
      </c>
      <c r="BQ16" s="40">
        <v>0</v>
      </c>
      <c r="BR16" s="40">
        <v>0</v>
      </c>
      <c r="BS16" s="40">
        <v>0</v>
      </c>
      <c r="BT16" s="40">
        <v>1090561</v>
      </c>
      <c r="BU16" s="40">
        <v>0</v>
      </c>
      <c r="BV16" s="40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0</v>
      </c>
      <c r="CC16" s="40">
        <v>0</v>
      </c>
      <c r="CD16" s="40">
        <v>0</v>
      </c>
      <c r="CE16" s="40">
        <v>1090561</v>
      </c>
      <c r="CF16" s="41"/>
      <c r="CG16" s="41"/>
      <c r="CH16" s="42"/>
    </row>
    <row r="17" spans="1:86">
      <c r="A17" s="38">
        <v>11</v>
      </c>
      <c r="B17" s="65" t="s">
        <v>179</v>
      </c>
      <c r="C17" s="39" t="s">
        <v>178</v>
      </c>
      <c r="D17" s="40">
        <v>14173237</v>
      </c>
      <c r="E17" s="40">
        <v>0</v>
      </c>
      <c r="F17" s="40">
        <v>401100</v>
      </c>
      <c r="G17" s="40">
        <v>0</v>
      </c>
      <c r="H17" s="40">
        <v>2631</v>
      </c>
      <c r="I17" s="40">
        <v>76</v>
      </c>
      <c r="J17" s="40">
        <v>14</v>
      </c>
      <c r="K17" s="40">
        <v>24</v>
      </c>
      <c r="L17" s="40">
        <v>2</v>
      </c>
      <c r="M17" s="40">
        <v>5</v>
      </c>
      <c r="N17" s="40">
        <v>11655469</v>
      </c>
      <c r="O17" s="40">
        <v>0</v>
      </c>
      <c r="P17" s="40">
        <v>6327</v>
      </c>
      <c r="Q17" s="40">
        <v>0</v>
      </c>
      <c r="R17" s="40">
        <v>5405</v>
      </c>
      <c r="S17" s="40">
        <v>0</v>
      </c>
      <c r="T17" s="40">
        <v>3464</v>
      </c>
      <c r="U17" s="40">
        <v>0</v>
      </c>
      <c r="V17" s="40">
        <v>0</v>
      </c>
      <c r="W17" s="40">
        <v>0</v>
      </c>
      <c r="X17" s="40">
        <v>382556</v>
      </c>
      <c r="Y17" s="40">
        <v>6238020</v>
      </c>
      <c r="Z17" s="40">
        <v>0</v>
      </c>
      <c r="AA17" s="40">
        <v>0</v>
      </c>
      <c r="AB17" s="40">
        <v>8</v>
      </c>
      <c r="AC17" s="40">
        <v>10</v>
      </c>
      <c r="AD17" s="40">
        <v>2</v>
      </c>
      <c r="AE17" s="40">
        <v>0</v>
      </c>
      <c r="AF17" s="40">
        <v>1</v>
      </c>
      <c r="AG17" s="40">
        <v>8</v>
      </c>
      <c r="AH17" s="40">
        <v>0</v>
      </c>
      <c r="AI17" s="40">
        <v>0</v>
      </c>
      <c r="AJ17" s="40">
        <v>0</v>
      </c>
      <c r="AK17" s="40">
        <v>0</v>
      </c>
      <c r="AL17" s="40">
        <v>2</v>
      </c>
      <c r="AM17" s="40">
        <v>15</v>
      </c>
      <c r="AN17" s="40">
        <v>0</v>
      </c>
      <c r="AO17" s="40">
        <v>0</v>
      </c>
      <c r="AP17" s="40">
        <v>0</v>
      </c>
      <c r="AQ17" s="40">
        <v>0</v>
      </c>
      <c r="AR17" s="40">
        <v>5</v>
      </c>
      <c r="AS17" s="40">
        <v>1245</v>
      </c>
      <c r="AT17" s="40">
        <v>1770</v>
      </c>
      <c r="AU17" s="40">
        <v>597</v>
      </c>
      <c r="AV17" s="40">
        <v>314</v>
      </c>
      <c r="AW17" s="40">
        <v>398</v>
      </c>
      <c r="AX17" s="40">
        <v>3</v>
      </c>
      <c r="AY17" s="40">
        <v>1152</v>
      </c>
      <c r="AZ17" s="40">
        <v>2</v>
      </c>
      <c r="BA17" s="40">
        <v>78</v>
      </c>
      <c r="BB17" s="40">
        <v>0</v>
      </c>
      <c r="BC17" s="40">
        <v>1476717</v>
      </c>
      <c r="BD17" s="40">
        <v>19486440</v>
      </c>
      <c r="BE17" s="40">
        <v>44813</v>
      </c>
      <c r="BF17" s="40">
        <v>0</v>
      </c>
      <c r="BG17" s="40">
        <v>4006802</v>
      </c>
      <c r="BH17" s="40">
        <v>0</v>
      </c>
      <c r="BI17" s="40">
        <v>66</v>
      </c>
      <c r="BJ17" s="40">
        <v>464162</v>
      </c>
      <c r="BK17" s="40">
        <v>2045335</v>
      </c>
      <c r="BL17" s="40">
        <v>100065</v>
      </c>
      <c r="BM17" s="40">
        <v>182276</v>
      </c>
      <c r="BN17" s="40">
        <v>19351831</v>
      </c>
      <c r="BO17" s="40">
        <v>11366265</v>
      </c>
      <c r="BP17" s="40">
        <v>345064</v>
      </c>
      <c r="BQ17" s="40">
        <v>5020754</v>
      </c>
      <c r="BR17" s="40">
        <v>15827</v>
      </c>
      <c r="BS17" s="40">
        <v>0</v>
      </c>
      <c r="BT17" s="40">
        <v>96780357</v>
      </c>
      <c r="BU17" s="40">
        <v>920777027</v>
      </c>
      <c r="BV17" s="40">
        <v>0</v>
      </c>
      <c r="BW17" s="40">
        <v>0</v>
      </c>
      <c r="BX17" s="40">
        <v>920777027</v>
      </c>
      <c r="BY17" s="40">
        <v>0</v>
      </c>
      <c r="BZ17" s="40">
        <v>0</v>
      </c>
      <c r="CA17" s="40">
        <v>0</v>
      </c>
      <c r="CB17" s="40">
        <v>0</v>
      </c>
      <c r="CC17" s="40">
        <v>1177248</v>
      </c>
      <c r="CD17" s="40">
        <v>921954275</v>
      </c>
      <c r="CE17" s="40">
        <v>1018734632</v>
      </c>
      <c r="CF17" s="41"/>
      <c r="CG17" s="41"/>
      <c r="CH17" s="42"/>
    </row>
    <row r="18" spans="1:86">
      <c r="A18" s="38">
        <v>12</v>
      </c>
      <c r="B18" s="65" t="s">
        <v>84</v>
      </c>
      <c r="C18" s="39" t="s">
        <v>83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1014777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0</v>
      </c>
      <c r="AP18" s="40">
        <v>0</v>
      </c>
      <c r="AQ18" s="40">
        <v>0</v>
      </c>
      <c r="AR18" s="40">
        <v>0</v>
      </c>
      <c r="AS18" s="40">
        <v>0</v>
      </c>
      <c r="AT18" s="40">
        <v>0</v>
      </c>
      <c r="AU18" s="40">
        <v>0</v>
      </c>
      <c r="AV18" s="40">
        <v>0</v>
      </c>
      <c r="AW18" s="40">
        <v>0</v>
      </c>
      <c r="AX18" s="40">
        <v>0</v>
      </c>
      <c r="AY18" s="40">
        <v>0</v>
      </c>
      <c r="AZ18" s="40">
        <v>0</v>
      </c>
      <c r="BA18" s="40">
        <v>0</v>
      </c>
      <c r="BB18" s="40">
        <v>0</v>
      </c>
      <c r="BC18" s="40">
        <v>0</v>
      </c>
      <c r="BD18" s="40">
        <v>0</v>
      </c>
      <c r="BE18" s="40">
        <v>0</v>
      </c>
      <c r="BF18" s="40">
        <v>0</v>
      </c>
      <c r="BG18" s="40">
        <v>0</v>
      </c>
      <c r="BH18" s="40">
        <v>0</v>
      </c>
      <c r="BI18" s="40">
        <v>0</v>
      </c>
      <c r="BJ18" s="40">
        <v>0</v>
      </c>
      <c r="BK18" s="40">
        <v>0</v>
      </c>
      <c r="BL18" s="40">
        <v>0</v>
      </c>
      <c r="BM18" s="40">
        <v>0</v>
      </c>
      <c r="BN18" s="40">
        <v>0</v>
      </c>
      <c r="BO18" s="40">
        <v>0</v>
      </c>
      <c r="BP18" s="40">
        <v>0</v>
      </c>
      <c r="BQ18" s="40">
        <v>0</v>
      </c>
      <c r="BR18" s="40">
        <v>0</v>
      </c>
      <c r="BS18" s="40">
        <v>0</v>
      </c>
      <c r="BT18" s="40">
        <v>1014777</v>
      </c>
      <c r="BU18" s="40">
        <v>342391580</v>
      </c>
      <c r="BV18" s="40">
        <v>0</v>
      </c>
      <c r="BW18" s="40">
        <v>0</v>
      </c>
      <c r="BX18" s="40">
        <v>342391580</v>
      </c>
      <c r="BY18" s="40">
        <v>0</v>
      </c>
      <c r="BZ18" s="40">
        <v>0</v>
      </c>
      <c r="CA18" s="40">
        <v>0</v>
      </c>
      <c r="CB18" s="40">
        <v>0</v>
      </c>
      <c r="CC18" s="40">
        <v>24880305</v>
      </c>
      <c r="CD18" s="40">
        <v>367271885</v>
      </c>
      <c r="CE18" s="40">
        <v>368286662</v>
      </c>
      <c r="CF18" s="41"/>
      <c r="CG18" s="41"/>
      <c r="CH18" s="42"/>
    </row>
    <row r="19" spans="1:86">
      <c r="A19" s="38">
        <v>13</v>
      </c>
      <c r="B19" s="65" t="s">
        <v>101</v>
      </c>
      <c r="C19" s="39" t="s">
        <v>177</v>
      </c>
      <c r="D19" s="40">
        <v>182085</v>
      </c>
      <c r="E19" s="40">
        <v>376</v>
      </c>
      <c r="F19" s="40">
        <v>231993</v>
      </c>
      <c r="G19" s="40">
        <v>1557</v>
      </c>
      <c r="H19" s="40">
        <v>43179</v>
      </c>
      <c r="I19" s="40">
        <v>2014</v>
      </c>
      <c r="J19" s="40">
        <v>362</v>
      </c>
      <c r="K19" s="40">
        <v>927</v>
      </c>
      <c r="L19" s="40">
        <v>0</v>
      </c>
      <c r="M19" s="40">
        <v>207</v>
      </c>
      <c r="N19" s="40">
        <v>25315</v>
      </c>
      <c r="O19" s="40">
        <v>0</v>
      </c>
      <c r="P19" s="40">
        <v>294701</v>
      </c>
      <c r="Q19" s="40">
        <v>579508</v>
      </c>
      <c r="R19" s="40">
        <v>8837</v>
      </c>
      <c r="S19" s="40">
        <v>0</v>
      </c>
      <c r="T19" s="40">
        <v>0</v>
      </c>
      <c r="U19" s="40">
        <v>0</v>
      </c>
      <c r="V19" s="40">
        <v>0</v>
      </c>
      <c r="W19" s="40">
        <v>6473</v>
      </c>
      <c r="X19" s="40">
        <v>103602</v>
      </c>
      <c r="Y19" s="40">
        <v>31981</v>
      </c>
      <c r="Z19" s="40">
        <v>5232</v>
      </c>
      <c r="AA19" s="40">
        <v>3207</v>
      </c>
      <c r="AB19" s="40">
        <v>104</v>
      </c>
      <c r="AC19" s="40">
        <v>0</v>
      </c>
      <c r="AD19" s="40">
        <v>0</v>
      </c>
      <c r="AE19" s="40">
        <v>56</v>
      </c>
      <c r="AF19" s="40">
        <v>0</v>
      </c>
      <c r="AG19" s="40">
        <v>0</v>
      </c>
      <c r="AH19" s="40">
        <v>0</v>
      </c>
      <c r="AI19" s="40">
        <v>0</v>
      </c>
      <c r="AJ19" s="40">
        <v>79</v>
      </c>
      <c r="AK19" s="40">
        <v>109896</v>
      </c>
      <c r="AL19" s="40">
        <v>828</v>
      </c>
      <c r="AM19" s="40">
        <v>76131</v>
      </c>
      <c r="AN19" s="40">
        <v>805</v>
      </c>
      <c r="AO19" s="40">
        <v>749</v>
      </c>
      <c r="AP19" s="40">
        <v>256</v>
      </c>
      <c r="AQ19" s="40">
        <v>0</v>
      </c>
      <c r="AR19" s="40">
        <v>29</v>
      </c>
      <c r="AS19" s="40">
        <v>0</v>
      </c>
      <c r="AT19" s="40">
        <v>188784</v>
      </c>
      <c r="AU19" s="40">
        <v>0</v>
      </c>
      <c r="AV19" s="40">
        <v>139654</v>
      </c>
      <c r="AW19" s="40">
        <v>126777</v>
      </c>
      <c r="AX19" s="40">
        <v>1413</v>
      </c>
      <c r="AY19" s="40">
        <v>36829</v>
      </c>
      <c r="AZ19" s="40">
        <v>0</v>
      </c>
      <c r="BA19" s="40">
        <v>14340</v>
      </c>
      <c r="BB19" s="40">
        <v>11886</v>
      </c>
      <c r="BC19" s="40">
        <v>1311823</v>
      </c>
      <c r="BD19" s="40">
        <v>2746</v>
      </c>
      <c r="BE19" s="40">
        <v>12</v>
      </c>
      <c r="BF19" s="40">
        <v>0</v>
      </c>
      <c r="BG19" s="40">
        <v>2134</v>
      </c>
      <c r="BH19" s="40">
        <v>0</v>
      </c>
      <c r="BI19" s="40">
        <v>0</v>
      </c>
      <c r="BJ19" s="40">
        <v>120031</v>
      </c>
      <c r="BK19" s="40">
        <v>11088</v>
      </c>
      <c r="BL19" s="40">
        <v>19456</v>
      </c>
      <c r="BM19" s="40">
        <v>319478</v>
      </c>
      <c r="BN19" s="40">
        <v>2368320</v>
      </c>
      <c r="BO19" s="40">
        <v>4510720</v>
      </c>
      <c r="BP19" s="40">
        <v>312443</v>
      </c>
      <c r="BQ19" s="40">
        <v>2735107</v>
      </c>
      <c r="BR19" s="40">
        <v>88287</v>
      </c>
      <c r="BS19" s="40">
        <v>0</v>
      </c>
      <c r="BT19" s="40">
        <v>14031817</v>
      </c>
      <c r="BU19" s="40">
        <v>63448011</v>
      </c>
      <c r="BV19" s="40">
        <v>0</v>
      </c>
      <c r="BW19" s="40">
        <v>0</v>
      </c>
      <c r="BX19" s="40">
        <v>63448011</v>
      </c>
      <c r="BY19" s="40">
        <v>1482211</v>
      </c>
      <c r="BZ19" s="40">
        <v>0</v>
      </c>
      <c r="CA19" s="40">
        <v>0</v>
      </c>
      <c r="CB19" s="40">
        <v>1482211</v>
      </c>
      <c r="CC19" s="40">
        <v>8248</v>
      </c>
      <c r="CD19" s="40">
        <v>64938470</v>
      </c>
      <c r="CE19" s="40">
        <v>78970287</v>
      </c>
      <c r="CF19" s="41"/>
      <c r="CG19" s="41"/>
      <c r="CH19" s="42"/>
    </row>
    <row r="20" spans="1:86">
      <c r="A20" s="38">
        <v>14</v>
      </c>
      <c r="B20" s="65" t="s">
        <v>100</v>
      </c>
      <c r="C20" s="39" t="s">
        <v>82</v>
      </c>
      <c r="D20" s="40">
        <v>9637</v>
      </c>
      <c r="E20" s="40">
        <v>62</v>
      </c>
      <c r="F20" s="40">
        <v>0</v>
      </c>
      <c r="G20" s="40">
        <v>391</v>
      </c>
      <c r="H20" s="40">
        <v>14963</v>
      </c>
      <c r="I20" s="40">
        <v>702</v>
      </c>
      <c r="J20" s="40">
        <v>79</v>
      </c>
      <c r="K20" s="40">
        <v>517</v>
      </c>
      <c r="L20" s="40">
        <v>11</v>
      </c>
      <c r="M20" s="40">
        <v>378</v>
      </c>
      <c r="N20" s="40">
        <v>3416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40">
        <v>2</v>
      </c>
      <c r="U20" s="40">
        <v>0</v>
      </c>
      <c r="V20" s="40">
        <v>10</v>
      </c>
      <c r="W20" s="40">
        <v>1539</v>
      </c>
      <c r="X20" s="40">
        <v>214</v>
      </c>
      <c r="Y20" s="40">
        <v>83022</v>
      </c>
      <c r="Z20" s="40">
        <v>91</v>
      </c>
      <c r="AA20" s="40">
        <v>260</v>
      </c>
      <c r="AB20" s="40">
        <v>0</v>
      </c>
      <c r="AC20" s="40">
        <v>1</v>
      </c>
      <c r="AD20" s="40">
        <v>0</v>
      </c>
      <c r="AE20" s="40">
        <v>7</v>
      </c>
      <c r="AF20" s="40">
        <v>0</v>
      </c>
      <c r="AG20" s="40">
        <v>10</v>
      </c>
      <c r="AH20" s="40">
        <v>0</v>
      </c>
      <c r="AI20" s="40">
        <v>0</v>
      </c>
      <c r="AJ20" s="40">
        <v>7</v>
      </c>
      <c r="AK20" s="40">
        <v>0</v>
      </c>
      <c r="AL20" s="40">
        <v>59</v>
      </c>
      <c r="AM20" s="40">
        <v>0</v>
      </c>
      <c r="AN20" s="40">
        <v>0</v>
      </c>
      <c r="AO20" s="40">
        <v>1547</v>
      </c>
      <c r="AP20" s="40">
        <v>1524</v>
      </c>
      <c r="AQ20" s="40">
        <v>30</v>
      </c>
      <c r="AR20" s="40">
        <v>211</v>
      </c>
      <c r="AS20" s="40">
        <v>928</v>
      </c>
      <c r="AT20" s="40">
        <v>111824</v>
      </c>
      <c r="AU20" s="40">
        <v>273</v>
      </c>
      <c r="AV20" s="40">
        <v>212</v>
      </c>
      <c r="AW20" s="40">
        <v>10064</v>
      </c>
      <c r="AX20" s="40">
        <v>2672</v>
      </c>
      <c r="AY20" s="40">
        <v>149</v>
      </c>
      <c r="AZ20" s="40">
        <v>1818</v>
      </c>
      <c r="BA20" s="40">
        <v>16025</v>
      </c>
      <c r="BB20" s="40">
        <v>468</v>
      </c>
      <c r="BC20" s="40">
        <v>43596</v>
      </c>
      <c r="BD20" s="40">
        <v>287</v>
      </c>
      <c r="BE20" s="40">
        <v>1999</v>
      </c>
      <c r="BF20" s="40">
        <v>1151</v>
      </c>
      <c r="BG20" s="40">
        <v>21801</v>
      </c>
      <c r="BH20" s="40">
        <v>21983</v>
      </c>
      <c r="BI20" s="40">
        <v>30073</v>
      </c>
      <c r="BJ20" s="40">
        <v>26037</v>
      </c>
      <c r="BK20" s="40">
        <v>23534</v>
      </c>
      <c r="BL20" s="40">
        <v>175663</v>
      </c>
      <c r="BM20" s="40">
        <v>405498</v>
      </c>
      <c r="BN20" s="40">
        <v>1878453</v>
      </c>
      <c r="BO20" s="40">
        <v>1181665</v>
      </c>
      <c r="BP20" s="40">
        <v>16429</v>
      </c>
      <c r="BQ20" s="40">
        <v>2098971</v>
      </c>
      <c r="BR20" s="40">
        <v>19259</v>
      </c>
      <c r="BS20" s="40">
        <v>0</v>
      </c>
      <c r="BT20" s="40">
        <v>6209522</v>
      </c>
      <c r="BU20" s="40">
        <v>271278727</v>
      </c>
      <c r="BV20" s="40">
        <v>0</v>
      </c>
      <c r="BW20" s="40">
        <v>0</v>
      </c>
      <c r="BX20" s="40">
        <v>271278727</v>
      </c>
      <c r="BY20" s="40">
        <v>0</v>
      </c>
      <c r="BZ20" s="40">
        <v>0</v>
      </c>
      <c r="CA20" s="40">
        <v>0</v>
      </c>
      <c r="CB20" s="40">
        <v>0</v>
      </c>
      <c r="CC20" s="40">
        <v>14929</v>
      </c>
      <c r="CD20" s="40">
        <v>271293656</v>
      </c>
      <c r="CE20" s="40">
        <v>277503178</v>
      </c>
      <c r="CF20" s="41"/>
      <c r="CG20" s="41"/>
      <c r="CH20" s="42"/>
    </row>
    <row r="21" spans="1:86">
      <c r="A21" s="38">
        <v>15</v>
      </c>
      <c r="B21" s="65" t="s">
        <v>81</v>
      </c>
      <c r="C21" s="39" t="s">
        <v>80</v>
      </c>
      <c r="D21" s="40">
        <v>107</v>
      </c>
      <c r="E21" s="40">
        <v>2</v>
      </c>
      <c r="F21" s="40">
        <v>0</v>
      </c>
      <c r="G21" s="40">
        <v>0</v>
      </c>
      <c r="H21" s="40">
        <v>107</v>
      </c>
      <c r="I21" s="40">
        <v>5</v>
      </c>
      <c r="J21" s="40">
        <v>0</v>
      </c>
      <c r="K21" s="40">
        <v>25</v>
      </c>
      <c r="L21" s="40">
        <v>0</v>
      </c>
      <c r="M21" s="40">
        <v>17</v>
      </c>
      <c r="N21" s="40">
        <v>0</v>
      </c>
      <c r="O21" s="40">
        <v>0</v>
      </c>
      <c r="P21" s="40">
        <v>0</v>
      </c>
      <c r="Q21" s="40">
        <v>0</v>
      </c>
      <c r="R21" s="40">
        <v>30487</v>
      </c>
      <c r="S21" s="40">
        <v>0</v>
      </c>
      <c r="T21" s="40">
        <v>0</v>
      </c>
      <c r="U21" s="40">
        <v>0</v>
      </c>
      <c r="V21" s="40">
        <v>0</v>
      </c>
      <c r="W21" s="40">
        <v>1</v>
      </c>
      <c r="X21" s="40">
        <v>48</v>
      </c>
      <c r="Y21" s="40">
        <v>0</v>
      </c>
      <c r="Z21" s="40">
        <v>3</v>
      </c>
      <c r="AA21" s="40">
        <v>8</v>
      </c>
      <c r="AB21" s="40">
        <v>1</v>
      </c>
      <c r="AC21" s="40">
        <v>0</v>
      </c>
      <c r="AD21" s="40">
        <v>0</v>
      </c>
      <c r="AE21" s="40">
        <v>3</v>
      </c>
      <c r="AF21" s="40">
        <v>0</v>
      </c>
      <c r="AG21" s="40">
        <v>0</v>
      </c>
      <c r="AH21" s="40">
        <v>0</v>
      </c>
      <c r="AI21" s="40">
        <v>0</v>
      </c>
      <c r="AJ21" s="40">
        <v>1</v>
      </c>
      <c r="AK21" s="40">
        <v>0</v>
      </c>
      <c r="AL21" s="40">
        <v>0</v>
      </c>
      <c r="AM21" s="40">
        <v>0</v>
      </c>
      <c r="AN21" s="40">
        <v>0</v>
      </c>
      <c r="AO21" s="40">
        <v>51</v>
      </c>
      <c r="AP21" s="40">
        <v>99</v>
      </c>
      <c r="AQ21" s="40">
        <v>0</v>
      </c>
      <c r="AR21" s="40">
        <v>14</v>
      </c>
      <c r="AS21" s="40">
        <v>18</v>
      </c>
      <c r="AT21" s="40">
        <v>10393</v>
      </c>
      <c r="AU21" s="40">
        <v>0</v>
      </c>
      <c r="AV21" s="40">
        <v>0</v>
      </c>
      <c r="AW21" s="40">
        <v>0</v>
      </c>
      <c r="AX21" s="40">
        <v>68</v>
      </c>
      <c r="AY21" s="40">
        <v>0</v>
      </c>
      <c r="AZ21" s="40">
        <v>0</v>
      </c>
      <c r="BA21" s="40">
        <v>0</v>
      </c>
      <c r="BB21" s="40">
        <v>0</v>
      </c>
      <c r="BC21" s="40">
        <v>1010</v>
      </c>
      <c r="BD21" s="40">
        <v>0</v>
      </c>
      <c r="BE21" s="40">
        <v>3353</v>
      </c>
      <c r="BF21" s="40">
        <v>0</v>
      </c>
      <c r="BG21" s="40">
        <v>0</v>
      </c>
      <c r="BH21" s="40">
        <v>0</v>
      </c>
      <c r="BI21" s="40">
        <v>0</v>
      </c>
      <c r="BJ21" s="40">
        <v>0</v>
      </c>
      <c r="BK21" s="40">
        <v>4577</v>
      </c>
      <c r="BL21" s="40">
        <v>3283</v>
      </c>
      <c r="BM21" s="40">
        <v>25201</v>
      </c>
      <c r="BN21" s="40">
        <v>240304</v>
      </c>
      <c r="BO21" s="40">
        <v>45174</v>
      </c>
      <c r="BP21" s="40">
        <v>3739</v>
      </c>
      <c r="BQ21" s="40">
        <v>683</v>
      </c>
      <c r="BR21" s="40">
        <v>0</v>
      </c>
      <c r="BS21" s="40">
        <v>0</v>
      </c>
      <c r="BT21" s="40">
        <v>368782</v>
      </c>
      <c r="BU21" s="40">
        <v>76382445</v>
      </c>
      <c r="BV21" s="40">
        <v>0</v>
      </c>
      <c r="BW21" s="40">
        <v>0</v>
      </c>
      <c r="BX21" s="40">
        <v>76382445</v>
      </c>
      <c r="BY21" s="40">
        <v>0</v>
      </c>
      <c r="BZ21" s="40">
        <v>0</v>
      </c>
      <c r="CA21" s="40">
        <v>0</v>
      </c>
      <c r="CB21" s="40">
        <v>0</v>
      </c>
      <c r="CC21" s="40">
        <v>5680</v>
      </c>
      <c r="CD21" s="40">
        <v>76388125</v>
      </c>
      <c r="CE21" s="40">
        <v>76756907</v>
      </c>
      <c r="CF21" s="41"/>
      <c r="CG21" s="41"/>
      <c r="CH21" s="42"/>
    </row>
    <row r="22" spans="1:86" ht="33.75">
      <c r="A22" s="38">
        <v>16</v>
      </c>
      <c r="B22" s="65" t="s">
        <v>79</v>
      </c>
      <c r="C22" s="39" t="s">
        <v>78</v>
      </c>
      <c r="D22" s="40">
        <v>68072</v>
      </c>
      <c r="E22" s="40">
        <v>0</v>
      </c>
      <c r="F22" s="40">
        <v>471</v>
      </c>
      <c r="G22" s="40">
        <v>9777</v>
      </c>
      <c r="H22" s="40">
        <v>1748</v>
      </c>
      <c r="I22" s="40">
        <v>82</v>
      </c>
      <c r="J22" s="40">
        <v>0</v>
      </c>
      <c r="K22" s="40">
        <v>4606</v>
      </c>
      <c r="L22" s="40">
        <v>203</v>
      </c>
      <c r="M22" s="40">
        <v>11692</v>
      </c>
      <c r="N22" s="40">
        <v>17146</v>
      </c>
      <c r="O22" s="40">
        <v>0</v>
      </c>
      <c r="P22" s="40">
        <v>0</v>
      </c>
      <c r="Q22" s="40">
        <v>0</v>
      </c>
      <c r="R22" s="40">
        <v>0</v>
      </c>
      <c r="S22" s="40">
        <v>132776</v>
      </c>
      <c r="T22" s="40">
        <v>125358</v>
      </c>
      <c r="U22" s="40">
        <v>13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7854</v>
      </c>
      <c r="AB22" s="40">
        <v>327</v>
      </c>
      <c r="AC22" s="40">
        <v>0</v>
      </c>
      <c r="AD22" s="40">
        <v>13</v>
      </c>
      <c r="AE22" s="40">
        <v>180</v>
      </c>
      <c r="AF22" s="40">
        <v>0</v>
      </c>
      <c r="AG22" s="40">
        <v>0</v>
      </c>
      <c r="AH22" s="40">
        <v>0</v>
      </c>
      <c r="AI22" s="40">
        <v>0</v>
      </c>
      <c r="AJ22" s="40">
        <v>0</v>
      </c>
      <c r="AK22" s="40">
        <v>238</v>
      </c>
      <c r="AL22" s="40">
        <v>39</v>
      </c>
      <c r="AM22" s="40">
        <v>695889</v>
      </c>
      <c r="AN22" s="40">
        <v>4911</v>
      </c>
      <c r="AO22" s="40">
        <v>1390</v>
      </c>
      <c r="AP22" s="40">
        <v>6507</v>
      </c>
      <c r="AQ22" s="40">
        <v>0</v>
      </c>
      <c r="AR22" s="40">
        <v>216</v>
      </c>
      <c r="AS22" s="40">
        <v>0</v>
      </c>
      <c r="AT22" s="40">
        <v>12623038</v>
      </c>
      <c r="AU22" s="40">
        <v>0</v>
      </c>
      <c r="AV22" s="40">
        <v>47572</v>
      </c>
      <c r="AW22" s="40">
        <v>32833</v>
      </c>
      <c r="AX22" s="40">
        <v>971</v>
      </c>
      <c r="AY22" s="40">
        <v>0</v>
      </c>
      <c r="AZ22" s="40">
        <v>0</v>
      </c>
      <c r="BA22" s="40">
        <v>51726</v>
      </c>
      <c r="BB22" s="40">
        <v>4315</v>
      </c>
      <c r="BC22" s="40">
        <v>0</v>
      </c>
      <c r="BD22" s="40">
        <v>74602</v>
      </c>
      <c r="BE22" s="40">
        <v>0</v>
      </c>
      <c r="BF22" s="40">
        <v>0</v>
      </c>
      <c r="BG22" s="40">
        <v>634</v>
      </c>
      <c r="BH22" s="40">
        <v>0</v>
      </c>
      <c r="BI22" s="40">
        <v>0</v>
      </c>
      <c r="BJ22" s="40">
        <v>255403</v>
      </c>
      <c r="BK22" s="40">
        <v>303</v>
      </c>
      <c r="BL22" s="40">
        <v>1897</v>
      </c>
      <c r="BM22" s="40">
        <v>6097</v>
      </c>
      <c r="BN22" s="40">
        <v>39727</v>
      </c>
      <c r="BO22" s="40">
        <v>17329</v>
      </c>
      <c r="BP22" s="40">
        <v>651</v>
      </c>
      <c r="BQ22" s="40">
        <v>93299</v>
      </c>
      <c r="BR22" s="40">
        <v>0</v>
      </c>
      <c r="BS22" s="40">
        <v>0</v>
      </c>
      <c r="BT22" s="40">
        <v>14339905</v>
      </c>
      <c r="BU22" s="40">
        <v>2150853</v>
      </c>
      <c r="BV22" s="40">
        <v>0</v>
      </c>
      <c r="BW22" s="40">
        <v>0</v>
      </c>
      <c r="BX22" s="40">
        <v>2150853</v>
      </c>
      <c r="BY22" s="40">
        <v>117515</v>
      </c>
      <c r="BZ22" s="40">
        <v>0</v>
      </c>
      <c r="CA22" s="40">
        <v>0</v>
      </c>
      <c r="CB22" s="40">
        <v>117515</v>
      </c>
      <c r="CC22" s="40">
        <v>12164</v>
      </c>
      <c r="CD22" s="40">
        <v>2280532</v>
      </c>
      <c r="CE22" s="40">
        <v>16620437</v>
      </c>
      <c r="CF22" s="41"/>
      <c r="CG22" s="41"/>
      <c r="CH22" s="42"/>
    </row>
    <row r="23" spans="1:86">
      <c r="A23" s="38">
        <v>17</v>
      </c>
      <c r="B23" s="65" t="s">
        <v>77</v>
      </c>
      <c r="C23" s="39" t="s">
        <v>76</v>
      </c>
      <c r="D23" s="40">
        <v>156829</v>
      </c>
      <c r="E23" s="40">
        <v>9</v>
      </c>
      <c r="F23" s="40">
        <v>299</v>
      </c>
      <c r="G23" s="40">
        <v>0</v>
      </c>
      <c r="H23" s="40">
        <v>162</v>
      </c>
      <c r="I23" s="40">
        <v>7</v>
      </c>
      <c r="J23" s="40">
        <v>1</v>
      </c>
      <c r="K23" s="40">
        <v>27</v>
      </c>
      <c r="L23" s="40">
        <v>90</v>
      </c>
      <c r="M23" s="40">
        <v>8</v>
      </c>
      <c r="N23" s="40">
        <v>547519</v>
      </c>
      <c r="O23" s="40">
        <v>250195</v>
      </c>
      <c r="P23" s="40">
        <v>6</v>
      </c>
      <c r="Q23" s="40">
        <v>149</v>
      </c>
      <c r="R23" s="40">
        <v>739</v>
      </c>
      <c r="S23" s="40">
        <v>0</v>
      </c>
      <c r="T23" s="40">
        <v>382719</v>
      </c>
      <c r="U23" s="40">
        <v>291513</v>
      </c>
      <c r="V23" s="40">
        <v>0</v>
      </c>
      <c r="W23" s="40">
        <v>964</v>
      </c>
      <c r="X23" s="40">
        <v>899</v>
      </c>
      <c r="Y23" s="40">
        <v>144768</v>
      </c>
      <c r="Z23" s="40">
        <v>1009</v>
      </c>
      <c r="AA23" s="40">
        <v>5294</v>
      </c>
      <c r="AB23" s="40">
        <v>2100</v>
      </c>
      <c r="AC23" s="40">
        <v>0</v>
      </c>
      <c r="AD23" s="40">
        <v>0</v>
      </c>
      <c r="AE23" s="40">
        <v>0</v>
      </c>
      <c r="AF23" s="40">
        <v>0</v>
      </c>
      <c r="AG23" s="40">
        <v>751</v>
      </c>
      <c r="AH23" s="40">
        <v>4231</v>
      </c>
      <c r="AI23" s="40">
        <v>362</v>
      </c>
      <c r="AJ23" s="40">
        <v>2787</v>
      </c>
      <c r="AK23" s="40">
        <v>0</v>
      </c>
      <c r="AL23" s="40">
        <v>1</v>
      </c>
      <c r="AM23" s="40">
        <v>3</v>
      </c>
      <c r="AN23" s="40">
        <v>80</v>
      </c>
      <c r="AO23" s="40">
        <v>1063</v>
      </c>
      <c r="AP23" s="40">
        <v>1475</v>
      </c>
      <c r="AQ23" s="40">
        <v>0</v>
      </c>
      <c r="AR23" s="40">
        <v>37</v>
      </c>
      <c r="AS23" s="40">
        <v>399</v>
      </c>
      <c r="AT23" s="40">
        <v>1745054</v>
      </c>
      <c r="AU23" s="40">
        <v>1746</v>
      </c>
      <c r="AV23" s="40">
        <v>1501315</v>
      </c>
      <c r="AW23" s="40">
        <v>763704</v>
      </c>
      <c r="AX23" s="40">
        <v>1003</v>
      </c>
      <c r="AY23" s="40">
        <v>0</v>
      </c>
      <c r="AZ23" s="40">
        <v>616</v>
      </c>
      <c r="BA23" s="40">
        <v>101934</v>
      </c>
      <c r="BB23" s="40">
        <v>130624</v>
      </c>
      <c r="BC23" s="40">
        <v>529751</v>
      </c>
      <c r="BD23" s="40">
        <v>84009</v>
      </c>
      <c r="BE23" s="40">
        <v>506519</v>
      </c>
      <c r="BF23" s="40">
        <v>14406</v>
      </c>
      <c r="BG23" s="40">
        <v>2088828</v>
      </c>
      <c r="BH23" s="40">
        <v>501448</v>
      </c>
      <c r="BI23" s="40">
        <v>192846</v>
      </c>
      <c r="BJ23" s="40">
        <v>194528</v>
      </c>
      <c r="BK23" s="40">
        <v>2502894</v>
      </c>
      <c r="BL23" s="40">
        <v>198680</v>
      </c>
      <c r="BM23" s="40">
        <v>342901</v>
      </c>
      <c r="BN23" s="40">
        <v>2032399</v>
      </c>
      <c r="BO23" s="40">
        <v>3100666</v>
      </c>
      <c r="BP23" s="40">
        <v>1104132</v>
      </c>
      <c r="BQ23" s="40">
        <v>255695</v>
      </c>
      <c r="BR23" s="40">
        <v>822913</v>
      </c>
      <c r="BS23" s="40">
        <v>0</v>
      </c>
      <c r="BT23" s="40">
        <v>20515106</v>
      </c>
      <c r="BU23" s="40">
        <v>23113120</v>
      </c>
      <c r="BV23" s="40">
        <v>0</v>
      </c>
      <c r="BW23" s="40">
        <v>0</v>
      </c>
      <c r="BX23" s="40">
        <v>23113120</v>
      </c>
      <c r="BY23" s="40">
        <v>0</v>
      </c>
      <c r="BZ23" s="40">
        <v>0</v>
      </c>
      <c r="CA23" s="40">
        <v>0</v>
      </c>
      <c r="CB23" s="40">
        <v>0</v>
      </c>
      <c r="CC23" s="40">
        <v>14487</v>
      </c>
      <c r="CD23" s="40">
        <v>23127607</v>
      </c>
      <c r="CE23" s="40">
        <v>43642713</v>
      </c>
      <c r="CF23" s="41"/>
      <c r="CG23" s="41"/>
      <c r="CH23" s="42"/>
    </row>
    <row r="24" spans="1:86">
      <c r="A24" s="38">
        <v>18</v>
      </c>
      <c r="B24" s="65" t="s">
        <v>75</v>
      </c>
      <c r="C24" s="39" t="s">
        <v>74</v>
      </c>
      <c r="D24" s="40">
        <v>0</v>
      </c>
      <c r="E24" s="40">
        <v>2</v>
      </c>
      <c r="F24" s="40">
        <v>0</v>
      </c>
      <c r="G24" s="40">
        <v>0</v>
      </c>
      <c r="H24" s="40">
        <v>4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3390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17745</v>
      </c>
      <c r="V24" s="40">
        <v>0</v>
      </c>
      <c r="W24" s="40">
        <v>0</v>
      </c>
      <c r="X24" s="40">
        <v>2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0</v>
      </c>
      <c r="AP24" s="40">
        <v>3</v>
      </c>
      <c r="AQ24" s="40">
        <v>0</v>
      </c>
      <c r="AR24" s="40">
        <v>0</v>
      </c>
      <c r="AS24" s="40">
        <v>0</v>
      </c>
      <c r="AT24" s="40">
        <v>15321</v>
      </c>
      <c r="AU24" s="40">
        <v>254</v>
      </c>
      <c r="AV24" s="40">
        <v>3803</v>
      </c>
      <c r="AW24" s="40">
        <v>4987</v>
      </c>
      <c r="AX24" s="40">
        <v>0</v>
      </c>
      <c r="AY24" s="40">
        <v>0</v>
      </c>
      <c r="AZ24" s="40">
        <v>0</v>
      </c>
      <c r="BA24" s="40">
        <v>1166</v>
      </c>
      <c r="BB24" s="40">
        <v>0</v>
      </c>
      <c r="BC24" s="40">
        <v>1282</v>
      </c>
      <c r="BD24" s="40">
        <v>211</v>
      </c>
      <c r="BE24" s="40">
        <v>29309</v>
      </c>
      <c r="BF24" s="40">
        <v>3318</v>
      </c>
      <c r="BG24" s="40">
        <v>65799</v>
      </c>
      <c r="BH24" s="40">
        <v>56749</v>
      </c>
      <c r="BI24" s="40">
        <v>163176</v>
      </c>
      <c r="BJ24" s="40">
        <v>66016</v>
      </c>
      <c r="BK24" s="40">
        <v>4413</v>
      </c>
      <c r="BL24" s="40">
        <v>4039</v>
      </c>
      <c r="BM24" s="40">
        <v>284306</v>
      </c>
      <c r="BN24" s="40">
        <v>2302906</v>
      </c>
      <c r="BO24" s="40">
        <v>705784</v>
      </c>
      <c r="BP24" s="40">
        <v>8133</v>
      </c>
      <c r="BQ24" s="40">
        <v>1701</v>
      </c>
      <c r="BR24" s="40">
        <v>286649</v>
      </c>
      <c r="BS24" s="40">
        <v>0</v>
      </c>
      <c r="BT24" s="40">
        <v>4030468</v>
      </c>
      <c r="BU24" s="40">
        <v>0</v>
      </c>
      <c r="BV24" s="40">
        <v>0</v>
      </c>
      <c r="BW24" s="40">
        <v>0</v>
      </c>
      <c r="BX24" s="40">
        <v>0</v>
      </c>
      <c r="BY24" s="40">
        <v>0</v>
      </c>
      <c r="BZ24" s="40">
        <v>0</v>
      </c>
      <c r="CA24" s="40">
        <v>0</v>
      </c>
      <c r="CB24" s="40">
        <v>0</v>
      </c>
      <c r="CC24" s="40">
        <v>14</v>
      </c>
      <c r="CD24" s="40">
        <v>14</v>
      </c>
      <c r="CE24" s="40">
        <v>4030482</v>
      </c>
      <c r="CF24" s="41"/>
      <c r="CG24" s="41"/>
      <c r="CH24" s="42"/>
    </row>
    <row r="25" spans="1:86">
      <c r="A25" s="38">
        <v>19</v>
      </c>
      <c r="B25" s="65" t="s">
        <v>73</v>
      </c>
      <c r="C25" s="39" t="s">
        <v>72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2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8490</v>
      </c>
      <c r="Y25" s="40">
        <v>0</v>
      </c>
      <c r="Z25" s="40">
        <v>0</v>
      </c>
      <c r="AA25" s="40">
        <v>877795</v>
      </c>
      <c r="AB25" s="40">
        <v>269360</v>
      </c>
      <c r="AC25" s="40">
        <v>0</v>
      </c>
      <c r="AD25" s="40">
        <v>0</v>
      </c>
      <c r="AE25" s="40">
        <v>13598</v>
      </c>
      <c r="AF25" s="40">
        <v>0</v>
      </c>
      <c r="AG25" s="40">
        <v>19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0</v>
      </c>
      <c r="AP25" s="40">
        <v>78779</v>
      </c>
      <c r="AQ25" s="40">
        <v>0</v>
      </c>
      <c r="AR25" s="40">
        <v>42884</v>
      </c>
      <c r="AS25" s="40">
        <v>0</v>
      </c>
      <c r="AT25" s="40">
        <v>0</v>
      </c>
      <c r="AU25" s="40">
        <v>0</v>
      </c>
      <c r="AV25" s="40">
        <v>0</v>
      </c>
      <c r="AW25" s="40">
        <v>0</v>
      </c>
      <c r="AX25" s="40">
        <v>0</v>
      </c>
      <c r="AY25" s="40">
        <v>0</v>
      </c>
      <c r="AZ25" s="40">
        <v>0</v>
      </c>
      <c r="BA25" s="40">
        <v>0</v>
      </c>
      <c r="BB25" s="40">
        <v>0</v>
      </c>
      <c r="BC25" s="40">
        <v>0</v>
      </c>
      <c r="BD25" s="40">
        <v>0</v>
      </c>
      <c r="BE25" s="40">
        <v>0</v>
      </c>
      <c r="BF25" s="40">
        <v>0</v>
      </c>
      <c r="BG25" s="40">
        <v>0</v>
      </c>
      <c r="BH25" s="40">
        <v>0</v>
      </c>
      <c r="BI25" s="40">
        <v>0</v>
      </c>
      <c r="BJ25" s="40">
        <v>0</v>
      </c>
      <c r="BK25" s="40">
        <v>0</v>
      </c>
      <c r="BL25" s="40">
        <v>0</v>
      </c>
      <c r="BM25" s="40">
        <v>5</v>
      </c>
      <c r="BN25" s="40">
        <v>5898</v>
      </c>
      <c r="BO25" s="40">
        <v>0</v>
      </c>
      <c r="BP25" s="40">
        <v>0</v>
      </c>
      <c r="BQ25" s="40">
        <v>0</v>
      </c>
      <c r="BR25" s="40">
        <v>0</v>
      </c>
      <c r="BS25" s="40">
        <v>0</v>
      </c>
      <c r="BT25" s="40">
        <v>1296830</v>
      </c>
      <c r="BU25" s="40">
        <v>0</v>
      </c>
      <c r="BV25" s="40">
        <v>0</v>
      </c>
      <c r="BW25" s="40">
        <v>0</v>
      </c>
      <c r="BX25" s="40">
        <v>0</v>
      </c>
      <c r="BY25" s="40">
        <v>0</v>
      </c>
      <c r="BZ25" s="40">
        <v>0</v>
      </c>
      <c r="CA25" s="40">
        <v>0</v>
      </c>
      <c r="CB25" s="40">
        <v>0</v>
      </c>
      <c r="CC25" s="40">
        <v>2458</v>
      </c>
      <c r="CD25" s="40">
        <v>2458</v>
      </c>
      <c r="CE25" s="40">
        <v>1299288</v>
      </c>
      <c r="CF25" s="41"/>
      <c r="CG25" s="41"/>
      <c r="CH25" s="42"/>
    </row>
    <row r="26" spans="1:86">
      <c r="A26" s="38">
        <v>20</v>
      </c>
      <c r="B26" s="65" t="s">
        <v>71</v>
      </c>
      <c r="C26" s="39" t="s">
        <v>70</v>
      </c>
      <c r="D26" s="40">
        <v>20731955</v>
      </c>
      <c r="E26" s="40">
        <v>22993</v>
      </c>
      <c r="F26" s="40">
        <v>18381</v>
      </c>
      <c r="G26" s="40">
        <v>2720667</v>
      </c>
      <c r="H26" s="40">
        <v>4075490</v>
      </c>
      <c r="I26" s="40">
        <v>191987</v>
      </c>
      <c r="J26" s="40">
        <v>377878</v>
      </c>
      <c r="K26" s="40">
        <v>551739</v>
      </c>
      <c r="L26" s="40">
        <v>674700</v>
      </c>
      <c r="M26" s="40">
        <v>231647</v>
      </c>
      <c r="N26" s="40">
        <v>971845</v>
      </c>
      <c r="O26" s="40">
        <v>0</v>
      </c>
      <c r="P26" s="40">
        <v>2727</v>
      </c>
      <c r="Q26" s="40">
        <v>1593</v>
      </c>
      <c r="R26" s="40">
        <v>317</v>
      </c>
      <c r="S26" s="40">
        <v>2092</v>
      </c>
      <c r="T26" s="40">
        <v>51303</v>
      </c>
      <c r="U26" s="40">
        <v>191</v>
      </c>
      <c r="V26" s="40">
        <v>110606</v>
      </c>
      <c r="W26" s="40">
        <v>1941226</v>
      </c>
      <c r="X26" s="40">
        <v>41079</v>
      </c>
      <c r="Y26" s="40">
        <v>6231</v>
      </c>
      <c r="Z26" s="40">
        <v>8674</v>
      </c>
      <c r="AA26" s="40">
        <v>221381</v>
      </c>
      <c r="AB26" s="40">
        <v>155608</v>
      </c>
      <c r="AC26" s="40">
        <v>67</v>
      </c>
      <c r="AD26" s="40">
        <v>219</v>
      </c>
      <c r="AE26" s="40">
        <v>75016</v>
      </c>
      <c r="AF26" s="40">
        <v>150</v>
      </c>
      <c r="AG26" s="40">
        <v>1400</v>
      </c>
      <c r="AH26" s="40">
        <v>218</v>
      </c>
      <c r="AI26" s="40">
        <v>419</v>
      </c>
      <c r="AJ26" s="40">
        <v>2932</v>
      </c>
      <c r="AK26" s="40">
        <v>20189</v>
      </c>
      <c r="AL26" s="40">
        <v>34920</v>
      </c>
      <c r="AM26" s="40">
        <v>1482</v>
      </c>
      <c r="AN26" s="40">
        <v>2238</v>
      </c>
      <c r="AO26" s="40">
        <v>119855</v>
      </c>
      <c r="AP26" s="40">
        <v>1780251</v>
      </c>
      <c r="AQ26" s="40">
        <v>758422</v>
      </c>
      <c r="AR26" s="40">
        <v>842868</v>
      </c>
      <c r="AS26" s="40">
        <v>621284</v>
      </c>
      <c r="AT26" s="40">
        <v>8454840</v>
      </c>
      <c r="AU26" s="40">
        <v>611036</v>
      </c>
      <c r="AV26" s="40">
        <v>21160590</v>
      </c>
      <c r="AW26" s="40">
        <v>9827924</v>
      </c>
      <c r="AX26" s="40">
        <v>74248087</v>
      </c>
      <c r="AY26" s="40">
        <v>122306</v>
      </c>
      <c r="AZ26" s="40">
        <v>35172105</v>
      </c>
      <c r="BA26" s="40">
        <v>51514645</v>
      </c>
      <c r="BB26" s="40">
        <v>286401</v>
      </c>
      <c r="BC26" s="40">
        <v>456947</v>
      </c>
      <c r="BD26" s="40">
        <v>70368</v>
      </c>
      <c r="BE26" s="40">
        <v>947083</v>
      </c>
      <c r="BF26" s="40">
        <v>1720784</v>
      </c>
      <c r="BG26" s="40">
        <v>357662</v>
      </c>
      <c r="BH26" s="40">
        <v>167802</v>
      </c>
      <c r="BI26" s="40">
        <v>63460</v>
      </c>
      <c r="BJ26" s="40">
        <v>1119118</v>
      </c>
      <c r="BK26" s="40">
        <v>3231430</v>
      </c>
      <c r="BL26" s="40">
        <v>4843752</v>
      </c>
      <c r="BM26" s="40">
        <v>27053720</v>
      </c>
      <c r="BN26" s="40">
        <v>7776146</v>
      </c>
      <c r="BO26" s="40">
        <v>12589784</v>
      </c>
      <c r="BP26" s="40">
        <v>310374</v>
      </c>
      <c r="BQ26" s="40">
        <v>995185</v>
      </c>
      <c r="BR26" s="40">
        <v>1306615</v>
      </c>
      <c r="BS26" s="40">
        <v>0</v>
      </c>
      <c r="BT26" s="40">
        <v>301782404</v>
      </c>
      <c r="BU26" s="40">
        <v>68225882</v>
      </c>
      <c r="BV26" s="40">
        <v>0</v>
      </c>
      <c r="BW26" s="40">
        <v>0</v>
      </c>
      <c r="BX26" s="40">
        <v>68225882</v>
      </c>
      <c r="BY26" s="40">
        <v>0</v>
      </c>
      <c r="BZ26" s="40">
        <v>0</v>
      </c>
      <c r="CA26" s="40">
        <v>0</v>
      </c>
      <c r="CB26" s="40">
        <v>0</v>
      </c>
      <c r="CC26" s="40">
        <v>142489272</v>
      </c>
      <c r="CD26" s="40">
        <v>210715154</v>
      </c>
      <c r="CE26" s="40">
        <v>512497558</v>
      </c>
      <c r="CF26" s="41"/>
      <c r="CG26" s="41"/>
      <c r="CH26" s="42"/>
    </row>
    <row r="27" spans="1:86" ht="22.5">
      <c r="A27" s="38">
        <v>21</v>
      </c>
      <c r="B27" s="65" t="s">
        <v>99</v>
      </c>
      <c r="C27" s="39" t="s">
        <v>176</v>
      </c>
      <c r="D27" s="40">
        <v>25517484</v>
      </c>
      <c r="E27" s="40">
        <v>1</v>
      </c>
      <c r="F27" s="40">
        <v>54078</v>
      </c>
      <c r="G27" s="40">
        <v>51757</v>
      </c>
      <c r="H27" s="40">
        <v>1263710</v>
      </c>
      <c r="I27" s="40">
        <v>59537</v>
      </c>
      <c r="J27" s="40">
        <v>941679</v>
      </c>
      <c r="K27" s="40">
        <v>3157864</v>
      </c>
      <c r="L27" s="40">
        <v>4118</v>
      </c>
      <c r="M27" s="40">
        <v>64234</v>
      </c>
      <c r="N27" s="40">
        <v>597543</v>
      </c>
      <c r="O27" s="40">
        <v>0</v>
      </c>
      <c r="P27" s="40">
        <v>6507</v>
      </c>
      <c r="Q27" s="40">
        <v>3595</v>
      </c>
      <c r="R27" s="40">
        <v>24345</v>
      </c>
      <c r="S27" s="40">
        <v>34428</v>
      </c>
      <c r="T27" s="40">
        <v>131075</v>
      </c>
      <c r="U27" s="40">
        <v>72709</v>
      </c>
      <c r="V27" s="40">
        <v>26</v>
      </c>
      <c r="W27" s="40">
        <v>2431493</v>
      </c>
      <c r="X27" s="40">
        <v>1431990</v>
      </c>
      <c r="Y27" s="40">
        <v>2452759</v>
      </c>
      <c r="Z27" s="40">
        <v>2622388</v>
      </c>
      <c r="AA27" s="40">
        <v>461372</v>
      </c>
      <c r="AB27" s="40">
        <v>3397</v>
      </c>
      <c r="AC27" s="40">
        <v>154</v>
      </c>
      <c r="AD27" s="40">
        <v>363</v>
      </c>
      <c r="AE27" s="40">
        <v>68360</v>
      </c>
      <c r="AF27" s="40">
        <v>0</v>
      </c>
      <c r="AG27" s="40">
        <v>476</v>
      </c>
      <c r="AH27" s="40">
        <v>512</v>
      </c>
      <c r="AI27" s="40">
        <v>9617</v>
      </c>
      <c r="AJ27" s="40">
        <v>25129</v>
      </c>
      <c r="AK27" s="40">
        <v>427103</v>
      </c>
      <c r="AL27" s="40">
        <v>420290</v>
      </c>
      <c r="AM27" s="40">
        <v>30049</v>
      </c>
      <c r="AN27" s="40">
        <v>880</v>
      </c>
      <c r="AO27" s="40">
        <v>28536</v>
      </c>
      <c r="AP27" s="40">
        <v>151575</v>
      </c>
      <c r="AQ27" s="40">
        <v>14064</v>
      </c>
      <c r="AR27" s="40">
        <v>105606</v>
      </c>
      <c r="AS27" s="40">
        <v>15502</v>
      </c>
      <c r="AT27" s="40">
        <v>3566488</v>
      </c>
      <c r="AU27" s="40">
        <v>27160</v>
      </c>
      <c r="AV27" s="40">
        <v>624373</v>
      </c>
      <c r="AW27" s="40">
        <v>171783</v>
      </c>
      <c r="AX27" s="40">
        <v>1205603</v>
      </c>
      <c r="AY27" s="40">
        <v>0</v>
      </c>
      <c r="AZ27" s="40">
        <v>66414</v>
      </c>
      <c r="BA27" s="40">
        <v>61597</v>
      </c>
      <c r="BB27" s="40">
        <v>2037</v>
      </c>
      <c r="BC27" s="40">
        <v>322389</v>
      </c>
      <c r="BD27" s="40">
        <v>225908</v>
      </c>
      <c r="BE27" s="40">
        <v>254630</v>
      </c>
      <c r="BF27" s="40">
        <v>0</v>
      </c>
      <c r="BG27" s="40">
        <v>232439</v>
      </c>
      <c r="BH27" s="40">
        <v>20692</v>
      </c>
      <c r="BI27" s="40">
        <v>8266</v>
      </c>
      <c r="BJ27" s="40">
        <v>2872901</v>
      </c>
      <c r="BK27" s="40">
        <v>645520</v>
      </c>
      <c r="BL27" s="40">
        <v>1844263</v>
      </c>
      <c r="BM27" s="40">
        <v>440455</v>
      </c>
      <c r="BN27" s="40">
        <v>10278858</v>
      </c>
      <c r="BO27" s="40">
        <v>29756589</v>
      </c>
      <c r="BP27" s="40">
        <v>97831</v>
      </c>
      <c r="BQ27" s="40">
        <v>3103990</v>
      </c>
      <c r="BR27" s="40">
        <v>276944</v>
      </c>
      <c r="BS27" s="40">
        <v>0</v>
      </c>
      <c r="BT27" s="40">
        <v>98793435</v>
      </c>
      <c r="BU27" s="40">
        <v>107962601</v>
      </c>
      <c r="BV27" s="40">
        <v>0</v>
      </c>
      <c r="BW27" s="40">
        <v>0</v>
      </c>
      <c r="BX27" s="40">
        <v>107962601</v>
      </c>
      <c r="BY27" s="40">
        <v>0</v>
      </c>
      <c r="BZ27" s="40">
        <v>0</v>
      </c>
      <c r="CA27" s="40">
        <v>0</v>
      </c>
      <c r="CB27" s="40">
        <v>0</v>
      </c>
      <c r="CC27" s="40">
        <v>251075</v>
      </c>
      <c r="CD27" s="40">
        <v>108213676</v>
      </c>
      <c r="CE27" s="40">
        <v>207007111</v>
      </c>
      <c r="CF27" s="41"/>
      <c r="CG27" s="41"/>
      <c r="CH27" s="42"/>
    </row>
    <row r="28" spans="1:86" ht="22.5">
      <c r="A28" s="38">
        <v>22</v>
      </c>
      <c r="B28" s="65" t="s">
        <v>69</v>
      </c>
      <c r="C28" s="39" t="s">
        <v>68</v>
      </c>
      <c r="D28" s="40">
        <v>23133</v>
      </c>
      <c r="E28" s="40">
        <v>0</v>
      </c>
      <c r="F28" s="40">
        <v>0</v>
      </c>
      <c r="G28" s="40">
        <v>0</v>
      </c>
      <c r="H28" s="40">
        <v>972</v>
      </c>
      <c r="I28" s="40">
        <v>46</v>
      </c>
      <c r="J28" s="40">
        <v>0</v>
      </c>
      <c r="K28" s="40">
        <v>747</v>
      </c>
      <c r="L28" s="40">
        <v>0</v>
      </c>
      <c r="M28" s="40">
        <v>98</v>
      </c>
      <c r="N28" s="40">
        <v>13373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1652</v>
      </c>
      <c r="X28" s="40">
        <v>0</v>
      </c>
      <c r="Y28" s="40">
        <v>0</v>
      </c>
      <c r="Z28" s="40">
        <v>0</v>
      </c>
      <c r="AA28" s="40">
        <v>1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40">
        <v>0</v>
      </c>
      <c r="AJ28" s="40">
        <v>1</v>
      </c>
      <c r="AK28" s="40">
        <v>0</v>
      </c>
      <c r="AL28" s="40">
        <v>0</v>
      </c>
      <c r="AM28" s="40">
        <v>0</v>
      </c>
      <c r="AN28" s="40">
        <v>0</v>
      </c>
      <c r="AO28" s="40">
        <v>1178</v>
      </c>
      <c r="AP28" s="40">
        <v>217</v>
      </c>
      <c r="AQ28" s="40">
        <v>2</v>
      </c>
      <c r="AR28" s="40">
        <v>29</v>
      </c>
      <c r="AS28" s="40">
        <v>999</v>
      </c>
      <c r="AT28" s="40">
        <v>87</v>
      </c>
      <c r="AU28" s="40">
        <v>65</v>
      </c>
      <c r="AV28" s="40">
        <v>5452</v>
      </c>
      <c r="AW28" s="40">
        <v>20804</v>
      </c>
      <c r="AX28" s="40">
        <v>19</v>
      </c>
      <c r="AY28" s="40">
        <v>0</v>
      </c>
      <c r="AZ28" s="40">
        <v>99</v>
      </c>
      <c r="BA28" s="40">
        <v>0</v>
      </c>
      <c r="BB28" s="40">
        <v>0</v>
      </c>
      <c r="BC28" s="40">
        <v>5</v>
      </c>
      <c r="BD28" s="40">
        <v>3</v>
      </c>
      <c r="BE28" s="40">
        <v>0</v>
      </c>
      <c r="BF28" s="40">
        <v>0</v>
      </c>
      <c r="BG28" s="40">
        <v>15</v>
      </c>
      <c r="BH28" s="40">
        <v>0</v>
      </c>
      <c r="BI28" s="40">
        <v>0</v>
      </c>
      <c r="BJ28" s="40">
        <v>0</v>
      </c>
      <c r="BK28" s="40">
        <v>409154</v>
      </c>
      <c r="BL28" s="40">
        <v>61</v>
      </c>
      <c r="BM28" s="40">
        <v>131193</v>
      </c>
      <c r="BN28" s="40">
        <v>69741</v>
      </c>
      <c r="BO28" s="40">
        <v>7967004</v>
      </c>
      <c r="BP28" s="40">
        <v>12646</v>
      </c>
      <c r="BQ28" s="40">
        <v>2637</v>
      </c>
      <c r="BR28" s="40">
        <v>901</v>
      </c>
      <c r="BS28" s="40">
        <v>0</v>
      </c>
      <c r="BT28" s="40">
        <v>8662334</v>
      </c>
      <c r="BU28" s="40">
        <v>3054960</v>
      </c>
      <c r="BV28" s="40">
        <v>0</v>
      </c>
      <c r="BW28" s="40">
        <v>0</v>
      </c>
      <c r="BX28" s="40">
        <v>3054960</v>
      </c>
      <c r="BY28" s="40">
        <v>0</v>
      </c>
      <c r="BZ28" s="40">
        <v>0</v>
      </c>
      <c r="CA28" s="40">
        <v>0</v>
      </c>
      <c r="CB28" s="40">
        <v>0</v>
      </c>
      <c r="CC28" s="40">
        <v>10936</v>
      </c>
      <c r="CD28" s="40">
        <v>3065896</v>
      </c>
      <c r="CE28" s="40">
        <v>11728230</v>
      </c>
      <c r="CF28" s="41"/>
      <c r="CG28" s="41"/>
      <c r="CH28" s="42"/>
    </row>
    <row r="29" spans="1:86">
      <c r="A29" s="38">
        <v>23</v>
      </c>
      <c r="B29" s="65" t="s">
        <v>98</v>
      </c>
      <c r="C29" s="39" t="s">
        <v>175</v>
      </c>
      <c r="D29" s="40">
        <v>103690</v>
      </c>
      <c r="E29" s="40">
        <v>16</v>
      </c>
      <c r="F29" s="40">
        <v>132</v>
      </c>
      <c r="G29" s="40">
        <v>51976</v>
      </c>
      <c r="H29" s="40">
        <v>312050</v>
      </c>
      <c r="I29" s="40">
        <v>14696</v>
      </c>
      <c r="J29" s="40">
        <v>9242</v>
      </c>
      <c r="K29" s="40">
        <v>58556</v>
      </c>
      <c r="L29" s="40">
        <v>6592</v>
      </c>
      <c r="M29" s="40">
        <v>21287</v>
      </c>
      <c r="N29" s="40">
        <v>964348</v>
      </c>
      <c r="O29" s="40">
        <v>0</v>
      </c>
      <c r="P29" s="40">
        <v>10</v>
      </c>
      <c r="Q29" s="40">
        <v>36</v>
      </c>
      <c r="R29" s="40">
        <v>1912</v>
      </c>
      <c r="S29" s="40">
        <v>6</v>
      </c>
      <c r="T29" s="40">
        <v>79713</v>
      </c>
      <c r="U29" s="40">
        <v>73</v>
      </c>
      <c r="V29" s="40">
        <v>251</v>
      </c>
      <c r="W29" s="40">
        <v>17477</v>
      </c>
      <c r="X29" s="40">
        <v>1217</v>
      </c>
      <c r="Y29" s="40">
        <v>23493</v>
      </c>
      <c r="Z29" s="40">
        <v>425167</v>
      </c>
      <c r="AA29" s="40">
        <v>162514</v>
      </c>
      <c r="AB29" s="40">
        <v>428</v>
      </c>
      <c r="AC29" s="40">
        <v>134</v>
      </c>
      <c r="AD29" s="40">
        <v>0</v>
      </c>
      <c r="AE29" s="40">
        <v>295</v>
      </c>
      <c r="AF29" s="40">
        <v>20</v>
      </c>
      <c r="AG29" s="40">
        <v>490</v>
      </c>
      <c r="AH29" s="40">
        <v>4317</v>
      </c>
      <c r="AI29" s="40">
        <v>351</v>
      </c>
      <c r="AJ29" s="40">
        <v>27273</v>
      </c>
      <c r="AK29" s="40">
        <v>1540597</v>
      </c>
      <c r="AL29" s="40">
        <v>81514</v>
      </c>
      <c r="AM29" s="40">
        <v>8765</v>
      </c>
      <c r="AN29" s="40">
        <v>21802</v>
      </c>
      <c r="AO29" s="40">
        <v>5375</v>
      </c>
      <c r="AP29" s="40">
        <v>21701</v>
      </c>
      <c r="AQ29" s="40">
        <v>22</v>
      </c>
      <c r="AR29" s="40">
        <v>5224</v>
      </c>
      <c r="AS29" s="40">
        <v>275336</v>
      </c>
      <c r="AT29" s="40">
        <v>16916806</v>
      </c>
      <c r="AU29" s="40">
        <v>41088</v>
      </c>
      <c r="AV29" s="40">
        <v>5729259</v>
      </c>
      <c r="AW29" s="40">
        <v>1329086</v>
      </c>
      <c r="AX29" s="40">
        <v>1459393</v>
      </c>
      <c r="AY29" s="40">
        <v>1873683</v>
      </c>
      <c r="AZ29" s="40">
        <v>120829</v>
      </c>
      <c r="BA29" s="40">
        <v>81687</v>
      </c>
      <c r="BB29" s="40">
        <v>4434</v>
      </c>
      <c r="BC29" s="40">
        <v>6036</v>
      </c>
      <c r="BD29" s="40">
        <v>443182</v>
      </c>
      <c r="BE29" s="40">
        <v>27226</v>
      </c>
      <c r="BF29" s="40">
        <v>315359</v>
      </c>
      <c r="BG29" s="40">
        <v>114698</v>
      </c>
      <c r="BH29" s="40">
        <v>80066</v>
      </c>
      <c r="BI29" s="40">
        <v>36400</v>
      </c>
      <c r="BJ29" s="40">
        <v>445774</v>
      </c>
      <c r="BK29" s="40">
        <v>103793</v>
      </c>
      <c r="BL29" s="40">
        <v>1819595</v>
      </c>
      <c r="BM29" s="40">
        <v>452719</v>
      </c>
      <c r="BN29" s="40">
        <v>4863505</v>
      </c>
      <c r="BO29" s="40">
        <v>11555745</v>
      </c>
      <c r="BP29" s="40">
        <v>57350</v>
      </c>
      <c r="BQ29" s="40">
        <v>102794</v>
      </c>
      <c r="BR29" s="40">
        <v>312129</v>
      </c>
      <c r="BS29" s="40">
        <v>0</v>
      </c>
      <c r="BT29" s="40">
        <v>52540734</v>
      </c>
      <c r="BU29" s="40">
        <v>41206226</v>
      </c>
      <c r="BV29" s="40">
        <v>0</v>
      </c>
      <c r="BW29" s="40">
        <v>0</v>
      </c>
      <c r="BX29" s="40">
        <v>41206226</v>
      </c>
      <c r="BY29" s="40">
        <v>0</v>
      </c>
      <c r="BZ29" s="40">
        <v>0</v>
      </c>
      <c r="CA29" s="40">
        <v>0</v>
      </c>
      <c r="CB29" s="40">
        <v>0</v>
      </c>
      <c r="CC29" s="40">
        <v>31361</v>
      </c>
      <c r="CD29" s="40">
        <v>41237587</v>
      </c>
      <c r="CE29" s="40">
        <v>93778321</v>
      </c>
      <c r="CF29" s="41"/>
      <c r="CG29" s="41"/>
      <c r="CH29" s="42"/>
    </row>
    <row r="30" spans="1:86" ht="22.5">
      <c r="A30" s="38">
        <v>24</v>
      </c>
      <c r="B30" s="65" t="s">
        <v>97</v>
      </c>
      <c r="C30" s="39" t="s">
        <v>67</v>
      </c>
      <c r="D30" s="40">
        <v>103603</v>
      </c>
      <c r="E30" s="40">
        <v>0</v>
      </c>
      <c r="F30" s="40">
        <v>3152</v>
      </c>
      <c r="G30" s="40">
        <v>95</v>
      </c>
      <c r="H30" s="40">
        <v>54764</v>
      </c>
      <c r="I30" s="40">
        <v>2583</v>
      </c>
      <c r="J30" s="40">
        <v>4156</v>
      </c>
      <c r="K30" s="40">
        <v>55948</v>
      </c>
      <c r="L30" s="40">
        <v>10030</v>
      </c>
      <c r="M30" s="40">
        <v>16089</v>
      </c>
      <c r="N30" s="40">
        <v>725673</v>
      </c>
      <c r="O30" s="40">
        <v>0</v>
      </c>
      <c r="P30" s="40">
        <v>0</v>
      </c>
      <c r="Q30" s="40">
        <v>0</v>
      </c>
      <c r="R30" s="40">
        <v>6</v>
      </c>
      <c r="S30" s="40">
        <v>0</v>
      </c>
      <c r="T30" s="40">
        <v>0</v>
      </c>
      <c r="U30" s="40">
        <v>0</v>
      </c>
      <c r="V30" s="40">
        <v>3607</v>
      </c>
      <c r="W30" s="40">
        <v>13136</v>
      </c>
      <c r="X30" s="40">
        <v>703</v>
      </c>
      <c r="Y30" s="40">
        <v>334649</v>
      </c>
      <c r="Z30" s="40">
        <v>507</v>
      </c>
      <c r="AA30" s="40">
        <v>1009314</v>
      </c>
      <c r="AB30" s="40">
        <v>30580</v>
      </c>
      <c r="AC30" s="40">
        <v>0</v>
      </c>
      <c r="AD30" s="40">
        <v>803</v>
      </c>
      <c r="AE30" s="40">
        <v>3146</v>
      </c>
      <c r="AF30" s="40">
        <v>129</v>
      </c>
      <c r="AG30" s="40">
        <v>569</v>
      </c>
      <c r="AH30" s="40">
        <v>2</v>
      </c>
      <c r="AI30" s="40">
        <v>1095</v>
      </c>
      <c r="AJ30" s="40">
        <v>1254</v>
      </c>
      <c r="AK30" s="40">
        <v>149456</v>
      </c>
      <c r="AL30" s="40">
        <v>18175</v>
      </c>
      <c r="AM30" s="40">
        <v>960</v>
      </c>
      <c r="AN30" s="40">
        <v>530</v>
      </c>
      <c r="AO30" s="40">
        <v>21841</v>
      </c>
      <c r="AP30" s="40">
        <v>184209</v>
      </c>
      <c r="AQ30" s="40">
        <v>0</v>
      </c>
      <c r="AR30" s="40">
        <v>8134</v>
      </c>
      <c r="AS30" s="40">
        <v>2631</v>
      </c>
      <c r="AT30" s="40">
        <v>61667105</v>
      </c>
      <c r="AU30" s="40">
        <v>0</v>
      </c>
      <c r="AV30" s="40">
        <v>992172</v>
      </c>
      <c r="AW30" s="40">
        <v>104451</v>
      </c>
      <c r="AX30" s="40">
        <v>133379</v>
      </c>
      <c r="AY30" s="40">
        <v>0</v>
      </c>
      <c r="AZ30" s="40">
        <v>19067</v>
      </c>
      <c r="BA30" s="40">
        <v>113954</v>
      </c>
      <c r="BB30" s="40">
        <v>0</v>
      </c>
      <c r="BC30" s="40">
        <v>1049810</v>
      </c>
      <c r="BD30" s="40">
        <v>757959</v>
      </c>
      <c r="BE30" s="40">
        <v>21</v>
      </c>
      <c r="BF30" s="40">
        <v>1062</v>
      </c>
      <c r="BG30" s="40">
        <v>1131</v>
      </c>
      <c r="BH30" s="40">
        <v>0</v>
      </c>
      <c r="BI30" s="40">
        <v>207</v>
      </c>
      <c r="BJ30" s="40">
        <v>232740</v>
      </c>
      <c r="BK30" s="40">
        <v>83982</v>
      </c>
      <c r="BL30" s="40">
        <v>253931</v>
      </c>
      <c r="BM30" s="40">
        <v>41410</v>
      </c>
      <c r="BN30" s="40">
        <v>1321330</v>
      </c>
      <c r="BO30" s="40">
        <v>4097675</v>
      </c>
      <c r="BP30" s="40">
        <v>14710</v>
      </c>
      <c r="BQ30" s="40">
        <v>2907896</v>
      </c>
      <c r="BR30" s="40">
        <v>2024603</v>
      </c>
      <c r="BS30" s="40">
        <v>0</v>
      </c>
      <c r="BT30" s="40">
        <v>78580124</v>
      </c>
      <c r="BU30" s="40">
        <v>15878105</v>
      </c>
      <c r="BV30" s="40">
        <v>0</v>
      </c>
      <c r="BW30" s="40">
        <v>0</v>
      </c>
      <c r="BX30" s="40">
        <v>15878105</v>
      </c>
      <c r="BY30" s="40">
        <v>231213</v>
      </c>
      <c r="BZ30" s="40">
        <v>0</v>
      </c>
      <c r="CA30" s="40">
        <v>0</v>
      </c>
      <c r="CB30" s="40">
        <v>231213</v>
      </c>
      <c r="CC30" s="40">
        <v>31982</v>
      </c>
      <c r="CD30" s="40">
        <v>16141300</v>
      </c>
      <c r="CE30" s="40">
        <v>94721424</v>
      </c>
      <c r="CF30" s="41"/>
      <c r="CG30" s="41"/>
      <c r="CH30" s="42"/>
    </row>
    <row r="31" spans="1:86" ht="22.5">
      <c r="A31" s="38">
        <v>25</v>
      </c>
      <c r="B31" s="65" t="s">
        <v>174</v>
      </c>
      <c r="C31" s="39" t="s">
        <v>173</v>
      </c>
      <c r="D31" s="40">
        <v>66295</v>
      </c>
      <c r="E31" s="40">
        <v>0</v>
      </c>
      <c r="F31" s="40">
        <v>0</v>
      </c>
      <c r="G31" s="40">
        <v>102559</v>
      </c>
      <c r="H31" s="40">
        <v>54617</v>
      </c>
      <c r="I31" s="40">
        <v>0</v>
      </c>
      <c r="J31" s="40">
        <v>904565</v>
      </c>
      <c r="K31" s="40">
        <v>424685</v>
      </c>
      <c r="L31" s="40">
        <v>130442</v>
      </c>
      <c r="M31" s="40">
        <v>1046214</v>
      </c>
      <c r="N31" s="40">
        <v>5661263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344744</v>
      </c>
      <c r="W31" s="40">
        <v>638354</v>
      </c>
      <c r="X31" s="40">
        <v>116337</v>
      </c>
      <c r="Y31" s="40">
        <v>0</v>
      </c>
      <c r="Z31" s="40">
        <v>8608</v>
      </c>
      <c r="AA31" s="40">
        <v>1202365</v>
      </c>
      <c r="AB31" s="40">
        <v>3096510</v>
      </c>
      <c r="AC31" s="40">
        <v>354160</v>
      </c>
      <c r="AD31" s="40">
        <v>456114</v>
      </c>
      <c r="AE31" s="40">
        <v>14339</v>
      </c>
      <c r="AF31" s="40">
        <v>11191</v>
      </c>
      <c r="AG31" s="40">
        <v>553695</v>
      </c>
      <c r="AH31" s="40">
        <v>203</v>
      </c>
      <c r="AI31" s="40">
        <v>67970</v>
      </c>
      <c r="AJ31" s="40">
        <v>860522</v>
      </c>
      <c r="AK31" s="40">
        <v>1179187</v>
      </c>
      <c r="AL31" s="40">
        <v>396949</v>
      </c>
      <c r="AM31" s="40">
        <v>0</v>
      </c>
      <c r="AN31" s="40">
        <v>89765</v>
      </c>
      <c r="AO31" s="40">
        <v>2949364</v>
      </c>
      <c r="AP31" s="40">
        <v>1902806</v>
      </c>
      <c r="AQ31" s="40">
        <v>0</v>
      </c>
      <c r="AR31" s="40">
        <v>565777</v>
      </c>
      <c r="AS31" s="40">
        <v>589762</v>
      </c>
      <c r="AT31" s="40">
        <v>23858784</v>
      </c>
      <c r="AU31" s="40">
        <v>0</v>
      </c>
      <c r="AV31" s="40">
        <v>1764178</v>
      </c>
      <c r="AW31" s="40">
        <v>721509</v>
      </c>
      <c r="AX31" s="40">
        <v>2039141</v>
      </c>
      <c r="AY31" s="40">
        <v>0</v>
      </c>
      <c r="AZ31" s="40">
        <v>0</v>
      </c>
      <c r="BA31" s="40">
        <v>1547972</v>
      </c>
      <c r="BB31" s="40">
        <v>0</v>
      </c>
      <c r="BC31" s="40">
        <v>0</v>
      </c>
      <c r="BD31" s="40">
        <v>0</v>
      </c>
      <c r="BE31" s="40">
        <v>17</v>
      </c>
      <c r="BF31" s="40">
        <v>0</v>
      </c>
      <c r="BG31" s="40">
        <v>0</v>
      </c>
      <c r="BH31" s="40">
        <v>0</v>
      </c>
      <c r="BI31" s="40">
        <v>0</v>
      </c>
      <c r="BJ31" s="40">
        <v>19217</v>
      </c>
      <c r="BK31" s="40">
        <v>2995188</v>
      </c>
      <c r="BL31" s="40">
        <v>71039</v>
      </c>
      <c r="BM31" s="40">
        <v>0</v>
      </c>
      <c r="BN31" s="40">
        <v>0</v>
      </c>
      <c r="BO31" s="40">
        <v>0</v>
      </c>
      <c r="BP31" s="40">
        <v>0</v>
      </c>
      <c r="BQ31" s="40">
        <v>0</v>
      </c>
      <c r="BR31" s="40">
        <v>0</v>
      </c>
      <c r="BS31" s="40">
        <v>0</v>
      </c>
      <c r="BT31" s="40">
        <v>56806407</v>
      </c>
      <c r="BU31" s="40">
        <v>0</v>
      </c>
      <c r="BV31" s="40">
        <v>0</v>
      </c>
      <c r="BW31" s="40">
        <v>0</v>
      </c>
      <c r="BX31" s="40">
        <v>0</v>
      </c>
      <c r="BY31" s="40">
        <v>0</v>
      </c>
      <c r="BZ31" s="40">
        <v>0</v>
      </c>
      <c r="CA31" s="40">
        <v>0</v>
      </c>
      <c r="CB31" s="40">
        <v>0</v>
      </c>
      <c r="CC31" s="40">
        <v>512688</v>
      </c>
      <c r="CD31" s="40">
        <v>512688</v>
      </c>
      <c r="CE31" s="40">
        <v>57319095</v>
      </c>
      <c r="CF31" s="41"/>
      <c r="CG31" s="41"/>
      <c r="CH31" s="42"/>
    </row>
    <row r="32" spans="1:86" ht="33.75">
      <c r="A32" s="38">
        <v>26</v>
      </c>
      <c r="B32" s="65" t="s">
        <v>172</v>
      </c>
      <c r="C32" s="39" t="s">
        <v>171</v>
      </c>
      <c r="D32" s="40">
        <v>45752</v>
      </c>
      <c r="E32" s="40">
        <v>0</v>
      </c>
      <c r="F32" s="40">
        <v>0</v>
      </c>
      <c r="G32" s="40">
        <v>3563</v>
      </c>
      <c r="H32" s="40">
        <v>2604570</v>
      </c>
      <c r="I32" s="40">
        <v>0</v>
      </c>
      <c r="J32" s="40">
        <v>55399</v>
      </c>
      <c r="K32" s="40">
        <v>9003</v>
      </c>
      <c r="L32" s="40">
        <v>6466</v>
      </c>
      <c r="M32" s="40">
        <v>382534</v>
      </c>
      <c r="N32" s="40">
        <v>726</v>
      </c>
      <c r="O32" s="40">
        <v>0</v>
      </c>
      <c r="P32" s="40">
        <v>0</v>
      </c>
      <c r="Q32" s="40">
        <v>0</v>
      </c>
      <c r="R32" s="40">
        <v>146</v>
      </c>
      <c r="S32" s="40">
        <v>0</v>
      </c>
      <c r="T32" s="40">
        <v>0</v>
      </c>
      <c r="U32" s="40">
        <v>0</v>
      </c>
      <c r="V32" s="40">
        <v>51259</v>
      </c>
      <c r="W32" s="40">
        <v>218479</v>
      </c>
      <c r="X32" s="40">
        <v>1879</v>
      </c>
      <c r="Y32" s="40">
        <v>0</v>
      </c>
      <c r="Z32" s="40">
        <v>0</v>
      </c>
      <c r="AA32" s="40">
        <v>4114</v>
      </c>
      <c r="AB32" s="40">
        <v>246</v>
      </c>
      <c r="AC32" s="40">
        <v>34633</v>
      </c>
      <c r="AD32" s="40">
        <v>6559</v>
      </c>
      <c r="AE32" s="40">
        <v>3683</v>
      </c>
      <c r="AF32" s="40">
        <v>0</v>
      </c>
      <c r="AG32" s="40">
        <v>11810</v>
      </c>
      <c r="AH32" s="40">
        <v>0</v>
      </c>
      <c r="AI32" s="40">
        <v>0</v>
      </c>
      <c r="AJ32" s="40">
        <v>65425</v>
      </c>
      <c r="AK32" s="40">
        <v>11106</v>
      </c>
      <c r="AL32" s="40">
        <v>592</v>
      </c>
      <c r="AM32" s="40">
        <v>0</v>
      </c>
      <c r="AN32" s="40">
        <v>11042</v>
      </c>
      <c r="AO32" s="40">
        <v>210238</v>
      </c>
      <c r="AP32" s="40">
        <v>325805</v>
      </c>
      <c r="AQ32" s="40">
        <v>2258</v>
      </c>
      <c r="AR32" s="40">
        <v>125583</v>
      </c>
      <c r="AS32" s="40">
        <v>31622</v>
      </c>
      <c r="AT32" s="40">
        <v>2650575</v>
      </c>
      <c r="AU32" s="40">
        <v>0</v>
      </c>
      <c r="AV32" s="40">
        <v>51633</v>
      </c>
      <c r="AW32" s="40">
        <v>11233</v>
      </c>
      <c r="AX32" s="40">
        <v>890441</v>
      </c>
      <c r="AY32" s="40">
        <v>0</v>
      </c>
      <c r="AZ32" s="40">
        <v>0</v>
      </c>
      <c r="BA32" s="40">
        <v>7042</v>
      </c>
      <c r="BB32" s="40">
        <v>0</v>
      </c>
      <c r="BC32" s="40">
        <v>0</v>
      </c>
      <c r="BD32" s="40">
        <v>0</v>
      </c>
      <c r="BE32" s="40">
        <v>0</v>
      </c>
      <c r="BF32" s="40">
        <v>0</v>
      </c>
      <c r="BG32" s="40">
        <v>0</v>
      </c>
      <c r="BH32" s="40">
        <v>0</v>
      </c>
      <c r="BI32" s="40">
        <v>0</v>
      </c>
      <c r="BJ32" s="40">
        <v>80223</v>
      </c>
      <c r="BK32" s="40">
        <v>1680220</v>
      </c>
      <c r="BL32" s="40">
        <v>48133</v>
      </c>
      <c r="BM32" s="40">
        <v>0</v>
      </c>
      <c r="BN32" s="40">
        <v>0</v>
      </c>
      <c r="BO32" s="40">
        <v>0</v>
      </c>
      <c r="BP32" s="40">
        <v>0</v>
      </c>
      <c r="BQ32" s="40">
        <v>57579</v>
      </c>
      <c r="BR32" s="40">
        <v>0</v>
      </c>
      <c r="BS32" s="40">
        <v>0</v>
      </c>
      <c r="BT32" s="40">
        <v>9701571</v>
      </c>
      <c r="BU32" s="40">
        <v>168416</v>
      </c>
      <c r="BV32" s="40">
        <v>0</v>
      </c>
      <c r="BW32" s="40">
        <v>0</v>
      </c>
      <c r="BX32" s="40">
        <v>168416</v>
      </c>
      <c r="BY32" s="40">
        <v>0</v>
      </c>
      <c r="BZ32" s="40">
        <v>0</v>
      </c>
      <c r="CA32" s="40">
        <v>0</v>
      </c>
      <c r="CB32" s="40">
        <v>0</v>
      </c>
      <c r="CC32" s="40">
        <v>15810</v>
      </c>
      <c r="CD32" s="40">
        <v>184226</v>
      </c>
      <c r="CE32" s="40">
        <v>9885797</v>
      </c>
      <c r="CF32" s="41"/>
      <c r="CG32" s="41"/>
      <c r="CH32" s="42"/>
    </row>
    <row r="33" spans="1:86" ht="22.5">
      <c r="A33" s="38">
        <v>27</v>
      </c>
      <c r="B33" s="65" t="s">
        <v>170</v>
      </c>
      <c r="C33" s="39" t="s">
        <v>169</v>
      </c>
      <c r="D33" s="40">
        <v>75142</v>
      </c>
      <c r="E33" s="40">
        <v>0</v>
      </c>
      <c r="F33" s="40">
        <v>109699</v>
      </c>
      <c r="G33" s="40">
        <v>0</v>
      </c>
      <c r="H33" s="40">
        <v>68345</v>
      </c>
      <c r="I33" s="40">
        <v>0</v>
      </c>
      <c r="J33" s="40">
        <v>0</v>
      </c>
      <c r="K33" s="40">
        <v>18652</v>
      </c>
      <c r="L33" s="40">
        <v>22903</v>
      </c>
      <c r="M33" s="40">
        <v>0</v>
      </c>
      <c r="N33" s="40">
        <v>4317</v>
      </c>
      <c r="O33" s="40">
        <v>0</v>
      </c>
      <c r="P33" s="40">
        <v>810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2287</v>
      </c>
      <c r="Y33" s="40">
        <v>0</v>
      </c>
      <c r="Z33" s="40">
        <v>0</v>
      </c>
      <c r="AA33" s="40">
        <v>145378</v>
      </c>
      <c r="AB33" s="40">
        <v>2922</v>
      </c>
      <c r="AC33" s="40">
        <v>0</v>
      </c>
      <c r="AD33" s="40">
        <v>63067</v>
      </c>
      <c r="AE33" s="40">
        <v>0</v>
      </c>
      <c r="AF33" s="40">
        <v>928</v>
      </c>
      <c r="AG33" s="40">
        <v>41326</v>
      </c>
      <c r="AH33" s="40">
        <v>14</v>
      </c>
      <c r="AI33" s="40">
        <v>2449</v>
      </c>
      <c r="AJ33" s="40">
        <v>35949</v>
      </c>
      <c r="AK33" s="40">
        <v>0</v>
      </c>
      <c r="AL33" s="40">
        <v>2</v>
      </c>
      <c r="AM33" s="40">
        <v>0</v>
      </c>
      <c r="AN33" s="40">
        <v>0</v>
      </c>
      <c r="AO33" s="40">
        <v>141356</v>
      </c>
      <c r="AP33" s="40">
        <v>41242</v>
      </c>
      <c r="AQ33" s="40">
        <v>0</v>
      </c>
      <c r="AR33" s="40">
        <v>19703</v>
      </c>
      <c r="AS33" s="40">
        <v>35454</v>
      </c>
      <c r="AT33" s="40">
        <v>4688509</v>
      </c>
      <c r="AU33" s="40">
        <v>0</v>
      </c>
      <c r="AV33" s="40">
        <v>42927</v>
      </c>
      <c r="AW33" s="40">
        <v>28352</v>
      </c>
      <c r="AX33" s="40">
        <v>10403</v>
      </c>
      <c r="AY33" s="40">
        <v>0</v>
      </c>
      <c r="AZ33" s="40">
        <v>0</v>
      </c>
      <c r="BA33" s="40">
        <v>676</v>
      </c>
      <c r="BB33" s="40">
        <v>0</v>
      </c>
      <c r="BC33" s="40">
        <v>0</v>
      </c>
      <c r="BD33" s="40">
        <v>0</v>
      </c>
      <c r="BE33" s="40">
        <v>1876</v>
      </c>
      <c r="BF33" s="40">
        <v>0</v>
      </c>
      <c r="BG33" s="40">
        <v>0</v>
      </c>
      <c r="BH33" s="40">
        <v>0</v>
      </c>
      <c r="BI33" s="40">
        <v>0</v>
      </c>
      <c r="BJ33" s="40">
        <v>14623</v>
      </c>
      <c r="BK33" s="40">
        <v>204283</v>
      </c>
      <c r="BL33" s="40">
        <v>7664</v>
      </c>
      <c r="BM33" s="40">
        <v>0</v>
      </c>
      <c r="BN33" s="40">
        <v>0</v>
      </c>
      <c r="BO33" s="40">
        <v>0</v>
      </c>
      <c r="BP33" s="40">
        <v>0</v>
      </c>
      <c r="BQ33" s="40">
        <v>0</v>
      </c>
      <c r="BR33" s="40">
        <v>0</v>
      </c>
      <c r="BS33" s="40">
        <v>0</v>
      </c>
      <c r="BT33" s="40">
        <v>5831258</v>
      </c>
      <c r="BU33" s="40">
        <v>0</v>
      </c>
      <c r="BV33" s="40">
        <v>0</v>
      </c>
      <c r="BW33" s="40">
        <v>0</v>
      </c>
      <c r="BX33" s="40">
        <v>0</v>
      </c>
      <c r="BY33" s="40">
        <v>0</v>
      </c>
      <c r="BZ33" s="40">
        <v>0</v>
      </c>
      <c r="CA33" s="40">
        <v>0</v>
      </c>
      <c r="CB33" s="40">
        <v>0</v>
      </c>
      <c r="CC33" s="40">
        <v>2588</v>
      </c>
      <c r="CD33" s="40">
        <v>2588</v>
      </c>
      <c r="CE33" s="40">
        <v>5833846</v>
      </c>
      <c r="CF33" s="41"/>
      <c r="CG33" s="41"/>
      <c r="CH33" s="42"/>
    </row>
    <row r="34" spans="1:86" ht="22.5">
      <c r="A34" s="38">
        <v>28</v>
      </c>
      <c r="B34" s="65" t="s">
        <v>168</v>
      </c>
      <c r="C34" s="39" t="s">
        <v>167</v>
      </c>
      <c r="D34" s="40">
        <v>10402</v>
      </c>
      <c r="E34" s="40">
        <v>12</v>
      </c>
      <c r="F34" s="40">
        <v>0</v>
      </c>
      <c r="G34" s="40">
        <v>0</v>
      </c>
      <c r="H34" s="40">
        <v>26425</v>
      </c>
      <c r="I34" s="40">
        <v>0</v>
      </c>
      <c r="J34" s="40">
        <v>0</v>
      </c>
      <c r="K34" s="40">
        <v>12211120</v>
      </c>
      <c r="L34" s="40">
        <v>0</v>
      </c>
      <c r="M34" s="40">
        <v>14283</v>
      </c>
      <c r="N34" s="40">
        <v>41993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1244</v>
      </c>
      <c r="U34" s="40">
        <v>0</v>
      </c>
      <c r="V34" s="40">
        <v>0</v>
      </c>
      <c r="W34" s="40">
        <v>68324</v>
      </c>
      <c r="X34" s="40">
        <v>30731</v>
      </c>
      <c r="Y34" s="40">
        <v>206359</v>
      </c>
      <c r="Z34" s="40">
        <v>23760</v>
      </c>
      <c r="AA34" s="40">
        <v>251362</v>
      </c>
      <c r="AB34" s="40">
        <v>2570637</v>
      </c>
      <c r="AC34" s="40">
        <v>0</v>
      </c>
      <c r="AD34" s="40">
        <v>12239</v>
      </c>
      <c r="AE34" s="40">
        <v>2616759</v>
      </c>
      <c r="AF34" s="40">
        <v>70249</v>
      </c>
      <c r="AG34" s="40">
        <v>792614</v>
      </c>
      <c r="AH34" s="40">
        <v>279098</v>
      </c>
      <c r="AI34" s="40">
        <v>675903</v>
      </c>
      <c r="AJ34" s="40">
        <v>258689</v>
      </c>
      <c r="AK34" s="40">
        <v>347485</v>
      </c>
      <c r="AL34" s="40">
        <v>160590</v>
      </c>
      <c r="AM34" s="40">
        <v>39918</v>
      </c>
      <c r="AN34" s="40">
        <v>1346045</v>
      </c>
      <c r="AO34" s="40">
        <v>70609</v>
      </c>
      <c r="AP34" s="40">
        <v>6260753</v>
      </c>
      <c r="AQ34" s="40">
        <v>0</v>
      </c>
      <c r="AR34" s="40">
        <v>3224</v>
      </c>
      <c r="AS34" s="40">
        <v>735558</v>
      </c>
      <c r="AT34" s="40">
        <v>81319919</v>
      </c>
      <c r="AU34" s="40">
        <v>341422</v>
      </c>
      <c r="AV34" s="40">
        <v>0</v>
      </c>
      <c r="AW34" s="40">
        <v>0</v>
      </c>
      <c r="AX34" s="40">
        <v>17070</v>
      </c>
      <c r="AY34" s="40">
        <v>0</v>
      </c>
      <c r="AZ34" s="40">
        <v>0</v>
      </c>
      <c r="BA34" s="40">
        <v>0</v>
      </c>
      <c r="BB34" s="40">
        <v>0</v>
      </c>
      <c r="BC34" s="40">
        <v>0</v>
      </c>
      <c r="BD34" s="40">
        <v>0</v>
      </c>
      <c r="BE34" s="40">
        <v>713</v>
      </c>
      <c r="BF34" s="40">
        <v>110191</v>
      </c>
      <c r="BG34" s="40">
        <v>3808290</v>
      </c>
      <c r="BH34" s="40">
        <v>0</v>
      </c>
      <c r="BI34" s="40">
        <v>0</v>
      </c>
      <c r="BJ34" s="40">
        <v>57093</v>
      </c>
      <c r="BK34" s="40">
        <v>1272269</v>
      </c>
      <c r="BL34" s="40">
        <v>7411</v>
      </c>
      <c r="BM34" s="40">
        <v>0</v>
      </c>
      <c r="BN34" s="40">
        <v>734</v>
      </c>
      <c r="BO34" s="40">
        <v>1194</v>
      </c>
      <c r="BP34" s="40">
        <v>2</v>
      </c>
      <c r="BQ34" s="40">
        <v>3408</v>
      </c>
      <c r="BR34" s="40">
        <v>0</v>
      </c>
      <c r="BS34" s="40">
        <v>0</v>
      </c>
      <c r="BT34" s="40">
        <v>116066101</v>
      </c>
      <c r="BU34" s="40">
        <v>0</v>
      </c>
      <c r="BV34" s="40">
        <v>0</v>
      </c>
      <c r="BW34" s="40">
        <v>0</v>
      </c>
      <c r="BX34" s="40">
        <v>0</v>
      </c>
      <c r="BY34" s="40">
        <v>0</v>
      </c>
      <c r="BZ34" s="40">
        <v>0</v>
      </c>
      <c r="CA34" s="40">
        <v>0</v>
      </c>
      <c r="CB34" s="40">
        <v>0</v>
      </c>
      <c r="CC34" s="40">
        <v>12238663</v>
      </c>
      <c r="CD34" s="40">
        <v>12238663</v>
      </c>
      <c r="CE34" s="40">
        <v>128304764</v>
      </c>
      <c r="CF34" s="41"/>
      <c r="CG34" s="41"/>
      <c r="CH34" s="42"/>
    </row>
    <row r="35" spans="1:86">
      <c r="A35" s="38">
        <v>29</v>
      </c>
      <c r="B35" s="65" t="s">
        <v>166</v>
      </c>
      <c r="C35" s="39" t="s">
        <v>165</v>
      </c>
      <c r="D35" s="40">
        <v>1946</v>
      </c>
      <c r="E35" s="40">
        <v>0</v>
      </c>
      <c r="F35" s="40">
        <v>9</v>
      </c>
      <c r="G35" s="40">
        <v>0</v>
      </c>
      <c r="H35" s="40">
        <v>84655</v>
      </c>
      <c r="I35" s="40">
        <v>3976</v>
      </c>
      <c r="J35" s="40">
        <v>0</v>
      </c>
      <c r="K35" s="40">
        <v>66</v>
      </c>
      <c r="L35" s="40">
        <v>0</v>
      </c>
      <c r="M35" s="40">
        <v>1477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39516</v>
      </c>
      <c r="X35" s="40">
        <v>0</v>
      </c>
      <c r="Y35" s="40">
        <v>0</v>
      </c>
      <c r="Z35" s="40">
        <v>20</v>
      </c>
      <c r="AA35" s="40">
        <v>279</v>
      </c>
      <c r="AB35" s="40">
        <v>0</v>
      </c>
      <c r="AC35" s="40">
        <v>0</v>
      </c>
      <c r="AD35" s="40">
        <v>0</v>
      </c>
      <c r="AE35" s="40">
        <v>3</v>
      </c>
      <c r="AF35" s="40">
        <v>0</v>
      </c>
      <c r="AG35" s="40">
        <v>359</v>
      </c>
      <c r="AH35" s="40">
        <v>0</v>
      </c>
      <c r="AI35" s="40">
        <v>0</v>
      </c>
      <c r="AJ35" s="40">
        <v>12</v>
      </c>
      <c r="AK35" s="40">
        <v>0</v>
      </c>
      <c r="AL35" s="40">
        <v>12</v>
      </c>
      <c r="AM35" s="40">
        <v>0</v>
      </c>
      <c r="AN35" s="40">
        <v>0</v>
      </c>
      <c r="AO35" s="40">
        <v>165</v>
      </c>
      <c r="AP35" s="40">
        <v>816</v>
      </c>
      <c r="AQ35" s="40">
        <v>3777</v>
      </c>
      <c r="AR35" s="40">
        <v>4334</v>
      </c>
      <c r="AS35" s="40">
        <v>19419</v>
      </c>
      <c r="AT35" s="40">
        <v>114980</v>
      </c>
      <c r="AU35" s="40">
        <v>0</v>
      </c>
      <c r="AV35" s="40">
        <v>14888</v>
      </c>
      <c r="AW35" s="40">
        <v>0</v>
      </c>
      <c r="AX35" s="40">
        <v>7275</v>
      </c>
      <c r="AY35" s="40">
        <v>0</v>
      </c>
      <c r="AZ35" s="40">
        <v>0</v>
      </c>
      <c r="BA35" s="40">
        <v>0</v>
      </c>
      <c r="BB35" s="40">
        <v>0</v>
      </c>
      <c r="BC35" s="40">
        <v>0</v>
      </c>
      <c r="BD35" s="40">
        <v>0</v>
      </c>
      <c r="BE35" s="40">
        <v>0</v>
      </c>
      <c r="BF35" s="40">
        <v>0</v>
      </c>
      <c r="BG35" s="40">
        <v>0</v>
      </c>
      <c r="BH35" s="40">
        <v>0</v>
      </c>
      <c r="BI35" s="40">
        <v>0</v>
      </c>
      <c r="BJ35" s="40">
        <v>26814</v>
      </c>
      <c r="BK35" s="40">
        <v>11102</v>
      </c>
      <c r="BL35" s="40">
        <v>0</v>
      </c>
      <c r="BM35" s="40">
        <v>0</v>
      </c>
      <c r="BN35" s="40">
        <v>0</v>
      </c>
      <c r="BO35" s="40">
        <v>0</v>
      </c>
      <c r="BP35" s="40">
        <v>0</v>
      </c>
      <c r="BQ35" s="40">
        <v>0</v>
      </c>
      <c r="BR35" s="40">
        <v>0</v>
      </c>
      <c r="BS35" s="40">
        <v>0</v>
      </c>
      <c r="BT35" s="40">
        <v>335900</v>
      </c>
      <c r="BU35" s="40">
        <v>0</v>
      </c>
      <c r="BV35" s="40">
        <v>0</v>
      </c>
      <c r="BW35" s="40">
        <v>0</v>
      </c>
      <c r="BX35" s="40">
        <v>0</v>
      </c>
      <c r="BY35" s="40">
        <v>0</v>
      </c>
      <c r="BZ35" s="40">
        <v>0</v>
      </c>
      <c r="CA35" s="40">
        <v>0</v>
      </c>
      <c r="CB35" s="40">
        <v>0</v>
      </c>
      <c r="CC35" s="40">
        <v>97</v>
      </c>
      <c r="CD35" s="40">
        <v>97</v>
      </c>
      <c r="CE35" s="40">
        <v>335997</v>
      </c>
      <c r="CF35" s="41"/>
      <c r="CG35" s="41"/>
      <c r="CH35" s="42"/>
    </row>
    <row r="36" spans="1:86" ht="22.5">
      <c r="A36" s="38">
        <v>30</v>
      </c>
      <c r="B36" s="65" t="s">
        <v>66</v>
      </c>
      <c r="C36" s="39" t="s">
        <v>65</v>
      </c>
      <c r="D36" s="40">
        <v>458021</v>
      </c>
      <c r="E36" s="40">
        <v>6601</v>
      </c>
      <c r="F36" s="40">
        <v>29423</v>
      </c>
      <c r="G36" s="40">
        <v>104470</v>
      </c>
      <c r="H36" s="40">
        <v>776505</v>
      </c>
      <c r="I36" s="40">
        <v>36393</v>
      </c>
      <c r="J36" s="40">
        <v>5140</v>
      </c>
      <c r="K36" s="40">
        <v>63959</v>
      </c>
      <c r="L36" s="40">
        <v>58302</v>
      </c>
      <c r="M36" s="40">
        <v>21196</v>
      </c>
      <c r="N36" s="40">
        <v>370427</v>
      </c>
      <c r="O36" s="40">
        <v>0</v>
      </c>
      <c r="P36" s="40">
        <v>202</v>
      </c>
      <c r="Q36" s="40">
        <v>128</v>
      </c>
      <c r="R36" s="40">
        <v>96</v>
      </c>
      <c r="S36" s="40">
        <v>11747</v>
      </c>
      <c r="T36" s="40">
        <v>0</v>
      </c>
      <c r="U36" s="40">
        <v>0</v>
      </c>
      <c r="V36" s="40">
        <v>4806</v>
      </c>
      <c r="W36" s="40">
        <v>12921</v>
      </c>
      <c r="X36" s="40">
        <v>0</v>
      </c>
      <c r="Y36" s="40">
        <v>265</v>
      </c>
      <c r="Z36" s="40">
        <v>0</v>
      </c>
      <c r="AA36" s="40">
        <v>112971</v>
      </c>
      <c r="AB36" s="40">
        <v>3155</v>
      </c>
      <c r="AC36" s="40">
        <v>0</v>
      </c>
      <c r="AD36" s="40">
        <v>29</v>
      </c>
      <c r="AE36" s="40">
        <v>3294</v>
      </c>
      <c r="AF36" s="40">
        <v>9</v>
      </c>
      <c r="AG36" s="40">
        <v>2178</v>
      </c>
      <c r="AH36" s="40">
        <v>53</v>
      </c>
      <c r="AI36" s="40">
        <v>1385</v>
      </c>
      <c r="AJ36" s="40">
        <v>1454</v>
      </c>
      <c r="AK36" s="40">
        <v>47798</v>
      </c>
      <c r="AL36" s="40">
        <v>29609</v>
      </c>
      <c r="AM36" s="40">
        <v>49568</v>
      </c>
      <c r="AN36" s="40">
        <v>5411</v>
      </c>
      <c r="AO36" s="40">
        <v>38977</v>
      </c>
      <c r="AP36" s="40">
        <v>70435</v>
      </c>
      <c r="AQ36" s="40">
        <v>38303</v>
      </c>
      <c r="AR36" s="40">
        <v>47190</v>
      </c>
      <c r="AS36" s="40">
        <v>61122</v>
      </c>
      <c r="AT36" s="40">
        <v>3529710</v>
      </c>
      <c r="AU36" s="40">
        <v>1265798</v>
      </c>
      <c r="AV36" s="40">
        <v>1332811</v>
      </c>
      <c r="AW36" s="40">
        <v>3169760</v>
      </c>
      <c r="AX36" s="40">
        <v>323340</v>
      </c>
      <c r="AY36" s="40">
        <v>6807</v>
      </c>
      <c r="AZ36" s="40">
        <v>4850</v>
      </c>
      <c r="BA36" s="40">
        <v>389113</v>
      </c>
      <c r="BB36" s="40">
        <v>19265</v>
      </c>
      <c r="BC36" s="40">
        <v>231474</v>
      </c>
      <c r="BD36" s="40">
        <v>249260</v>
      </c>
      <c r="BE36" s="40">
        <v>608029</v>
      </c>
      <c r="BF36" s="40">
        <v>2766094</v>
      </c>
      <c r="BG36" s="40">
        <v>3643</v>
      </c>
      <c r="BH36" s="40">
        <v>55509</v>
      </c>
      <c r="BI36" s="40">
        <v>1047</v>
      </c>
      <c r="BJ36" s="40">
        <v>14474972</v>
      </c>
      <c r="BK36" s="40">
        <v>2063235</v>
      </c>
      <c r="BL36" s="40">
        <v>493261</v>
      </c>
      <c r="BM36" s="40">
        <v>592809</v>
      </c>
      <c r="BN36" s="40">
        <v>3944095</v>
      </c>
      <c r="BO36" s="40">
        <v>1319308</v>
      </c>
      <c r="BP36" s="40">
        <v>84742</v>
      </c>
      <c r="BQ36" s="40">
        <v>1435478</v>
      </c>
      <c r="BR36" s="40">
        <v>674585</v>
      </c>
      <c r="BS36" s="40">
        <v>0</v>
      </c>
      <c r="BT36" s="40">
        <v>41512538</v>
      </c>
      <c r="BU36" s="40">
        <v>13227857</v>
      </c>
      <c r="BV36" s="40">
        <v>0</v>
      </c>
      <c r="BW36" s="40">
        <v>0</v>
      </c>
      <c r="BX36" s="40">
        <v>13227857</v>
      </c>
      <c r="BY36" s="40">
        <v>7768465</v>
      </c>
      <c r="BZ36" s="40">
        <v>0</v>
      </c>
      <c r="CA36" s="40">
        <v>0</v>
      </c>
      <c r="CB36" s="40">
        <v>7768465</v>
      </c>
      <c r="CC36" s="40">
        <v>48036</v>
      </c>
      <c r="CD36" s="40">
        <v>21044358</v>
      </c>
      <c r="CE36" s="40">
        <v>62556896</v>
      </c>
      <c r="CF36" s="41"/>
      <c r="CG36" s="41"/>
      <c r="CH36" s="42"/>
    </row>
    <row r="37" spans="1:86" ht="22.5">
      <c r="A37" s="38">
        <v>31</v>
      </c>
      <c r="B37" s="65" t="s">
        <v>64</v>
      </c>
      <c r="C37" s="39" t="s">
        <v>135</v>
      </c>
      <c r="D37" s="40">
        <v>4108</v>
      </c>
      <c r="E37" s="40">
        <v>346</v>
      </c>
      <c r="F37" s="40">
        <v>0</v>
      </c>
      <c r="G37" s="40">
        <v>0</v>
      </c>
      <c r="H37" s="40">
        <v>121587</v>
      </c>
      <c r="I37" s="40">
        <v>5717</v>
      </c>
      <c r="J37" s="40">
        <v>180</v>
      </c>
      <c r="K37" s="40">
        <v>345</v>
      </c>
      <c r="L37" s="40">
        <v>5</v>
      </c>
      <c r="M37" s="40">
        <v>1662</v>
      </c>
      <c r="N37" s="40">
        <v>350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6</v>
      </c>
      <c r="V37" s="40">
        <v>0</v>
      </c>
      <c r="W37" s="40">
        <v>1315</v>
      </c>
      <c r="X37" s="40">
        <v>300</v>
      </c>
      <c r="Y37" s="40">
        <v>1641</v>
      </c>
      <c r="Z37" s="40">
        <v>4</v>
      </c>
      <c r="AA37" s="40">
        <v>16</v>
      </c>
      <c r="AB37" s="40">
        <v>224</v>
      </c>
      <c r="AC37" s="40">
        <v>0</v>
      </c>
      <c r="AD37" s="40">
        <v>0</v>
      </c>
      <c r="AE37" s="40">
        <v>0</v>
      </c>
      <c r="AF37" s="40">
        <v>10</v>
      </c>
      <c r="AG37" s="40">
        <v>7</v>
      </c>
      <c r="AH37" s="40">
        <v>36605</v>
      </c>
      <c r="AI37" s="40">
        <v>5379</v>
      </c>
      <c r="AJ37" s="40">
        <v>3942</v>
      </c>
      <c r="AK37" s="40">
        <v>21937</v>
      </c>
      <c r="AL37" s="40">
        <v>19406</v>
      </c>
      <c r="AM37" s="40">
        <v>0</v>
      </c>
      <c r="AN37" s="40">
        <v>0</v>
      </c>
      <c r="AO37" s="40">
        <v>5271</v>
      </c>
      <c r="AP37" s="40">
        <v>54103</v>
      </c>
      <c r="AQ37" s="40">
        <v>64</v>
      </c>
      <c r="AR37" s="40">
        <v>88</v>
      </c>
      <c r="AS37" s="40">
        <v>178</v>
      </c>
      <c r="AT37" s="40">
        <v>20908</v>
      </c>
      <c r="AU37" s="40">
        <v>9369</v>
      </c>
      <c r="AV37" s="40">
        <v>20632</v>
      </c>
      <c r="AW37" s="40">
        <v>10500</v>
      </c>
      <c r="AX37" s="40">
        <v>7883</v>
      </c>
      <c r="AY37" s="40">
        <v>372</v>
      </c>
      <c r="AZ37" s="40">
        <v>4602</v>
      </c>
      <c r="BA37" s="40">
        <v>908818</v>
      </c>
      <c r="BB37" s="40">
        <v>6188</v>
      </c>
      <c r="BC37" s="40">
        <v>52221</v>
      </c>
      <c r="BD37" s="40">
        <v>62370</v>
      </c>
      <c r="BE37" s="40">
        <v>815501</v>
      </c>
      <c r="BF37" s="40">
        <v>841072</v>
      </c>
      <c r="BG37" s="40">
        <v>1083056</v>
      </c>
      <c r="BH37" s="40">
        <v>523443</v>
      </c>
      <c r="BI37" s="40">
        <v>321954</v>
      </c>
      <c r="BJ37" s="40">
        <v>226999</v>
      </c>
      <c r="BK37" s="40">
        <v>243925</v>
      </c>
      <c r="BL37" s="40">
        <v>398660</v>
      </c>
      <c r="BM37" s="40">
        <v>133363</v>
      </c>
      <c r="BN37" s="40">
        <v>1135781</v>
      </c>
      <c r="BO37" s="40">
        <v>4526547</v>
      </c>
      <c r="BP37" s="40">
        <v>16786</v>
      </c>
      <c r="BQ37" s="40">
        <v>205600</v>
      </c>
      <c r="BR37" s="40">
        <v>651475</v>
      </c>
      <c r="BS37" s="40">
        <v>0</v>
      </c>
      <c r="BT37" s="40">
        <v>12512821</v>
      </c>
      <c r="BU37" s="40">
        <v>183584359</v>
      </c>
      <c r="BV37" s="40">
        <v>0</v>
      </c>
      <c r="BW37" s="40">
        <v>0</v>
      </c>
      <c r="BX37" s="40">
        <v>183584359</v>
      </c>
      <c r="BY37" s="40">
        <v>71308450</v>
      </c>
      <c r="BZ37" s="40">
        <v>0</v>
      </c>
      <c r="CA37" s="40">
        <v>0</v>
      </c>
      <c r="CB37" s="40">
        <v>71308450</v>
      </c>
      <c r="CC37" s="40">
        <v>112442</v>
      </c>
      <c r="CD37" s="40">
        <v>255005251</v>
      </c>
      <c r="CE37" s="40">
        <v>267518072</v>
      </c>
      <c r="CF37" s="41"/>
      <c r="CG37" s="41"/>
      <c r="CH37" s="42"/>
    </row>
    <row r="38" spans="1:86">
      <c r="A38" s="38">
        <v>32</v>
      </c>
      <c r="B38" s="65" t="s">
        <v>96</v>
      </c>
      <c r="C38" s="39" t="s">
        <v>164</v>
      </c>
      <c r="D38" s="40">
        <v>46038</v>
      </c>
      <c r="E38" s="40">
        <v>0</v>
      </c>
      <c r="F38" s="40">
        <v>97</v>
      </c>
      <c r="G38" s="40">
        <v>114</v>
      </c>
      <c r="H38" s="40">
        <v>503581</v>
      </c>
      <c r="I38" s="40">
        <v>23698</v>
      </c>
      <c r="J38" s="40">
        <v>276</v>
      </c>
      <c r="K38" s="40">
        <v>716</v>
      </c>
      <c r="L38" s="40">
        <v>12539</v>
      </c>
      <c r="M38" s="40">
        <v>1342</v>
      </c>
      <c r="N38" s="40">
        <v>170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231</v>
      </c>
      <c r="W38" s="40">
        <v>1384</v>
      </c>
      <c r="X38" s="40">
        <v>505</v>
      </c>
      <c r="Y38" s="40">
        <v>0</v>
      </c>
      <c r="Z38" s="40">
        <v>0</v>
      </c>
      <c r="AA38" s="40">
        <v>23</v>
      </c>
      <c r="AB38" s="40">
        <v>258</v>
      </c>
      <c r="AC38" s="40">
        <v>0</v>
      </c>
      <c r="AD38" s="40">
        <v>0</v>
      </c>
      <c r="AE38" s="40">
        <v>377</v>
      </c>
      <c r="AF38" s="40">
        <v>1</v>
      </c>
      <c r="AG38" s="40">
        <v>43</v>
      </c>
      <c r="AH38" s="40">
        <v>39910</v>
      </c>
      <c r="AI38" s="40">
        <v>2612</v>
      </c>
      <c r="AJ38" s="40">
        <v>1327</v>
      </c>
      <c r="AK38" s="40">
        <v>30853</v>
      </c>
      <c r="AL38" s="40">
        <v>14834</v>
      </c>
      <c r="AM38" s="40">
        <v>0</v>
      </c>
      <c r="AN38" s="40">
        <v>0</v>
      </c>
      <c r="AO38" s="40">
        <v>18610</v>
      </c>
      <c r="AP38" s="40">
        <v>300515</v>
      </c>
      <c r="AQ38" s="40">
        <v>0</v>
      </c>
      <c r="AR38" s="40">
        <v>1230</v>
      </c>
      <c r="AS38" s="40">
        <v>6317</v>
      </c>
      <c r="AT38" s="40">
        <v>307001</v>
      </c>
      <c r="AU38" s="40">
        <v>651576</v>
      </c>
      <c r="AV38" s="40">
        <v>221559</v>
      </c>
      <c r="AW38" s="40">
        <v>197041</v>
      </c>
      <c r="AX38" s="40">
        <v>12528</v>
      </c>
      <c r="AY38" s="40">
        <v>0</v>
      </c>
      <c r="AZ38" s="40">
        <v>3571</v>
      </c>
      <c r="BA38" s="40">
        <v>45034</v>
      </c>
      <c r="BB38" s="40">
        <v>0</v>
      </c>
      <c r="BC38" s="40">
        <v>397871</v>
      </c>
      <c r="BD38" s="40">
        <v>254571</v>
      </c>
      <c r="BE38" s="40">
        <v>251777</v>
      </c>
      <c r="BF38" s="40">
        <v>306005</v>
      </c>
      <c r="BG38" s="40">
        <v>61746</v>
      </c>
      <c r="BH38" s="40">
        <v>7553</v>
      </c>
      <c r="BI38" s="40">
        <v>13337</v>
      </c>
      <c r="BJ38" s="40">
        <v>2628565</v>
      </c>
      <c r="BK38" s="40">
        <v>522527</v>
      </c>
      <c r="BL38" s="40">
        <v>856344</v>
      </c>
      <c r="BM38" s="40">
        <v>129309</v>
      </c>
      <c r="BN38" s="40">
        <v>1813646</v>
      </c>
      <c r="BO38" s="40">
        <v>754718</v>
      </c>
      <c r="BP38" s="40">
        <v>15831</v>
      </c>
      <c r="BQ38" s="40">
        <v>1398532</v>
      </c>
      <c r="BR38" s="40">
        <v>545274</v>
      </c>
      <c r="BS38" s="40">
        <v>0</v>
      </c>
      <c r="BT38" s="40">
        <v>12403517</v>
      </c>
      <c r="BU38" s="40">
        <v>87237774</v>
      </c>
      <c r="BV38" s="40">
        <v>0</v>
      </c>
      <c r="BW38" s="40">
        <v>0</v>
      </c>
      <c r="BX38" s="40">
        <v>87237774</v>
      </c>
      <c r="BY38" s="40">
        <v>24965721</v>
      </c>
      <c r="BZ38" s="40">
        <v>0</v>
      </c>
      <c r="CA38" s="40">
        <v>0</v>
      </c>
      <c r="CB38" s="40">
        <v>24965721</v>
      </c>
      <c r="CC38" s="40">
        <v>84195</v>
      </c>
      <c r="CD38" s="40">
        <v>112287690</v>
      </c>
      <c r="CE38" s="40">
        <v>124691207</v>
      </c>
      <c r="CF38" s="41"/>
      <c r="CG38" s="41"/>
      <c r="CH38" s="42"/>
    </row>
    <row r="39" spans="1:86" ht="22.5">
      <c r="A39" s="38">
        <v>33</v>
      </c>
      <c r="B39" s="65" t="s">
        <v>95</v>
      </c>
      <c r="C39" s="39" t="s">
        <v>163</v>
      </c>
      <c r="D39" s="40">
        <v>2570494</v>
      </c>
      <c r="E39" s="40">
        <v>379</v>
      </c>
      <c r="F39" s="40">
        <v>5441</v>
      </c>
      <c r="G39" s="40">
        <v>505138</v>
      </c>
      <c r="H39" s="40">
        <v>2057179</v>
      </c>
      <c r="I39" s="40">
        <v>57530</v>
      </c>
      <c r="J39" s="40">
        <v>41393</v>
      </c>
      <c r="K39" s="40">
        <v>144848</v>
      </c>
      <c r="L39" s="40">
        <v>122726</v>
      </c>
      <c r="M39" s="40">
        <v>105162</v>
      </c>
      <c r="N39" s="40">
        <v>148543</v>
      </c>
      <c r="O39" s="40">
        <v>1325</v>
      </c>
      <c r="P39" s="40">
        <v>313</v>
      </c>
      <c r="Q39" s="40">
        <v>27009</v>
      </c>
      <c r="R39" s="40">
        <v>1</v>
      </c>
      <c r="S39" s="40">
        <v>2</v>
      </c>
      <c r="T39" s="40">
        <v>15511</v>
      </c>
      <c r="U39" s="40">
        <v>4</v>
      </c>
      <c r="V39" s="40">
        <v>42099</v>
      </c>
      <c r="W39" s="40">
        <v>177251</v>
      </c>
      <c r="X39" s="40">
        <v>0</v>
      </c>
      <c r="Y39" s="40">
        <v>9527</v>
      </c>
      <c r="Z39" s="40">
        <v>1573</v>
      </c>
      <c r="AA39" s="40">
        <v>96444</v>
      </c>
      <c r="AB39" s="40">
        <v>52422</v>
      </c>
      <c r="AC39" s="40">
        <v>1054</v>
      </c>
      <c r="AD39" s="40">
        <v>0</v>
      </c>
      <c r="AE39" s="40">
        <v>5090</v>
      </c>
      <c r="AF39" s="40">
        <v>0</v>
      </c>
      <c r="AG39" s="40">
        <v>142</v>
      </c>
      <c r="AH39" s="40">
        <v>25</v>
      </c>
      <c r="AI39" s="40">
        <v>90</v>
      </c>
      <c r="AJ39" s="40">
        <v>66697</v>
      </c>
      <c r="AK39" s="40">
        <v>51480</v>
      </c>
      <c r="AL39" s="40">
        <v>38271</v>
      </c>
      <c r="AM39" s="40">
        <v>0</v>
      </c>
      <c r="AN39" s="40">
        <v>0</v>
      </c>
      <c r="AO39" s="40">
        <v>21519</v>
      </c>
      <c r="AP39" s="40">
        <v>25736</v>
      </c>
      <c r="AQ39" s="40">
        <v>12198</v>
      </c>
      <c r="AR39" s="40">
        <v>76380</v>
      </c>
      <c r="AS39" s="40">
        <v>12979</v>
      </c>
      <c r="AT39" s="40">
        <v>254892</v>
      </c>
      <c r="AU39" s="40">
        <v>910017</v>
      </c>
      <c r="AV39" s="40">
        <v>242843</v>
      </c>
      <c r="AW39" s="40">
        <v>248969</v>
      </c>
      <c r="AX39" s="40">
        <v>700311</v>
      </c>
      <c r="AY39" s="40">
        <v>13666</v>
      </c>
      <c r="AZ39" s="40">
        <v>3394</v>
      </c>
      <c r="BA39" s="40">
        <v>314995</v>
      </c>
      <c r="BB39" s="40">
        <v>94</v>
      </c>
      <c r="BC39" s="40">
        <v>259564</v>
      </c>
      <c r="BD39" s="40">
        <v>314399</v>
      </c>
      <c r="BE39" s="40">
        <v>180698</v>
      </c>
      <c r="BF39" s="40">
        <v>130253</v>
      </c>
      <c r="BG39" s="40">
        <v>166416</v>
      </c>
      <c r="BH39" s="40">
        <v>97960</v>
      </c>
      <c r="BI39" s="40">
        <v>39219</v>
      </c>
      <c r="BJ39" s="40">
        <v>25403</v>
      </c>
      <c r="BK39" s="40">
        <v>3721990</v>
      </c>
      <c r="BL39" s="40">
        <v>770281</v>
      </c>
      <c r="BM39" s="40">
        <v>342089</v>
      </c>
      <c r="BN39" s="40">
        <v>1554660</v>
      </c>
      <c r="BO39" s="40">
        <v>1748059</v>
      </c>
      <c r="BP39" s="40">
        <v>16701</v>
      </c>
      <c r="BQ39" s="40">
        <v>202569</v>
      </c>
      <c r="BR39" s="40">
        <v>378651</v>
      </c>
      <c r="BS39" s="40">
        <v>0</v>
      </c>
      <c r="BT39" s="40">
        <v>19132068</v>
      </c>
      <c r="BU39" s="40">
        <v>19148330</v>
      </c>
      <c r="BV39" s="40">
        <v>0</v>
      </c>
      <c r="BW39" s="40">
        <v>0</v>
      </c>
      <c r="BX39" s="40">
        <v>19148330</v>
      </c>
      <c r="BY39" s="40">
        <v>99141114</v>
      </c>
      <c r="BZ39" s="40">
        <v>0</v>
      </c>
      <c r="CA39" s="40">
        <v>0</v>
      </c>
      <c r="CB39" s="40">
        <v>99141114</v>
      </c>
      <c r="CC39" s="40">
        <v>133374</v>
      </c>
      <c r="CD39" s="40">
        <v>118422818</v>
      </c>
      <c r="CE39" s="40">
        <v>137554886</v>
      </c>
      <c r="CF39" s="41"/>
      <c r="CG39" s="41"/>
      <c r="CH39" s="42"/>
    </row>
    <row r="40" spans="1:86">
      <c r="A40" s="38">
        <v>34</v>
      </c>
      <c r="B40" s="65" t="s">
        <v>63</v>
      </c>
      <c r="C40" s="39" t="s">
        <v>62</v>
      </c>
      <c r="D40" s="40">
        <v>201152</v>
      </c>
      <c r="E40" s="40">
        <v>0</v>
      </c>
      <c r="F40" s="40">
        <v>1043</v>
      </c>
      <c r="G40" s="40">
        <v>4300</v>
      </c>
      <c r="H40" s="40">
        <v>8441</v>
      </c>
      <c r="I40" s="40">
        <v>397</v>
      </c>
      <c r="J40" s="40">
        <v>5718</v>
      </c>
      <c r="K40" s="40">
        <v>6072</v>
      </c>
      <c r="L40" s="40">
        <v>958</v>
      </c>
      <c r="M40" s="40">
        <v>3539</v>
      </c>
      <c r="N40" s="40">
        <v>16998</v>
      </c>
      <c r="O40" s="40">
        <v>0</v>
      </c>
      <c r="P40" s="40">
        <v>1</v>
      </c>
      <c r="Q40" s="40">
        <v>0</v>
      </c>
      <c r="R40" s="40">
        <v>0</v>
      </c>
      <c r="S40" s="40">
        <v>31</v>
      </c>
      <c r="T40" s="40">
        <v>18</v>
      </c>
      <c r="U40" s="40">
        <v>2</v>
      </c>
      <c r="V40" s="40">
        <v>1393</v>
      </c>
      <c r="W40" s="40">
        <v>0</v>
      </c>
      <c r="X40" s="40">
        <v>0</v>
      </c>
      <c r="Y40" s="40">
        <v>0</v>
      </c>
      <c r="Z40" s="40">
        <v>0</v>
      </c>
      <c r="AA40" s="40">
        <v>333</v>
      </c>
      <c r="AB40" s="40">
        <v>117</v>
      </c>
      <c r="AC40" s="40">
        <v>0</v>
      </c>
      <c r="AD40" s="40">
        <v>0</v>
      </c>
      <c r="AE40" s="40">
        <v>62</v>
      </c>
      <c r="AF40" s="40">
        <v>0</v>
      </c>
      <c r="AG40" s="40">
        <v>0</v>
      </c>
      <c r="AH40" s="40">
        <v>0</v>
      </c>
      <c r="AI40" s="40">
        <v>0</v>
      </c>
      <c r="AJ40" s="40">
        <v>20</v>
      </c>
      <c r="AK40" s="40">
        <v>4888665</v>
      </c>
      <c r="AL40" s="40">
        <v>0</v>
      </c>
      <c r="AM40" s="40">
        <v>0</v>
      </c>
      <c r="AN40" s="40">
        <v>0</v>
      </c>
      <c r="AO40" s="40">
        <v>110877</v>
      </c>
      <c r="AP40" s="40">
        <v>5299</v>
      </c>
      <c r="AQ40" s="40">
        <v>14</v>
      </c>
      <c r="AR40" s="40">
        <v>530</v>
      </c>
      <c r="AS40" s="40">
        <v>10715</v>
      </c>
      <c r="AT40" s="40">
        <v>185172</v>
      </c>
      <c r="AU40" s="40">
        <v>13582996</v>
      </c>
      <c r="AV40" s="40">
        <v>51635</v>
      </c>
      <c r="AW40" s="40">
        <v>28259</v>
      </c>
      <c r="AX40" s="40">
        <v>247330</v>
      </c>
      <c r="AY40" s="40">
        <v>0</v>
      </c>
      <c r="AZ40" s="40">
        <v>312</v>
      </c>
      <c r="BA40" s="40">
        <v>131470</v>
      </c>
      <c r="BB40" s="40">
        <v>5334</v>
      </c>
      <c r="BC40" s="40">
        <v>0</v>
      </c>
      <c r="BD40" s="40">
        <v>130811</v>
      </c>
      <c r="BE40" s="40">
        <v>140</v>
      </c>
      <c r="BF40" s="40">
        <v>0</v>
      </c>
      <c r="BG40" s="40">
        <v>5263</v>
      </c>
      <c r="BH40" s="40">
        <v>21776</v>
      </c>
      <c r="BI40" s="40">
        <v>9284</v>
      </c>
      <c r="BJ40" s="40">
        <v>195989</v>
      </c>
      <c r="BK40" s="40">
        <v>32162</v>
      </c>
      <c r="BL40" s="40">
        <v>79667</v>
      </c>
      <c r="BM40" s="40">
        <v>87934</v>
      </c>
      <c r="BN40" s="40">
        <v>434152</v>
      </c>
      <c r="BO40" s="40">
        <v>501391</v>
      </c>
      <c r="BP40" s="40">
        <v>30047</v>
      </c>
      <c r="BQ40" s="40">
        <v>14957</v>
      </c>
      <c r="BR40" s="40">
        <v>7566</v>
      </c>
      <c r="BS40" s="40">
        <v>0</v>
      </c>
      <c r="BT40" s="40">
        <v>21050342</v>
      </c>
      <c r="BU40" s="40">
        <v>306233211</v>
      </c>
      <c r="BV40" s="40">
        <v>0</v>
      </c>
      <c r="BW40" s="40">
        <v>0</v>
      </c>
      <c r="BX40" s="40">
        <v>306233211</v>
      </c>
      <c r="BY40" s="40">
        <v>39845889</v>
      </c>
      <c r="BZ40" s="40">
        <v>0</v>
      </c>
      <c r="CA40" s="40">
        <v>0</v>
      </c>
      <c r="CB40" s="40">
        <v>39845889</v>
      </c>
      <c r="CC40" s="40">
        <v>50039</v>
      </c>
      <c r="CD40" s="40">
        <v>346129139</v>
      </c>
      <c r="CE40" s="40">
        <v>367179481</v>
      </c>
      <c r="CF40" s="41"/>
      <c r="CG40" s="41"/>
      <c r="CH40" s="42"/>
    </row>
    <row r="41" spans="1:86">
      <c r="A41" s="38">
        <v>35</v>
      </c>
      <c r="B41" s="65" t="s">
        <v>61</v>
      </c>
      <c r="C41" s="39" t="s">
        <v>60</v>
      </c>
      <c r="D41" s="40">
        <v>111</v>
      </c>
      <c r="E41" s="40">
        <v>0</v>
      </c>
      <c r="F41" s="40">
        <v>0</v>
      </c>
      <c r="G41" s="40">
        <v>2261</v>
      </c>
      <c r="H41" s="40">
        <v>50</v>
      </c>
      <c r="I41" s="40">
        <v>2</v>
      </c>
      <c r="J41" s="40">
        <v>2576</v>
      </c>
      <c r="K41" s="40">
        <v>140</v>
      </c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153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92</v>
      </c>
      <c r="AF41" s="40">
        <v>2</v>
      </c>
      <c r="AG41" s="40">
        <v>0</v>
      </c>
      <c r="AH41" s="40">
        <v>0</v>
      </c>
      <c r="AI41" s="40">
        <v>3</v>
      </c>
      <c r="AJ41" s="40">
        <v>23</v>
      </c>
      <c r="AK41" s="40">
        <v>0</v>
      </c>
      <c r="AL41" s="40">
        <v>149043</v>
      </c>
      <c r="AM41" s="40">
        <v>0</v>
      </c>
      <c r="AN41" s="40">
        <v>0</v>
      </c>
      <c r="AO41" s="40">
        <v>12649</v>
      </c>
      <c r="AP41" s="40">
        <v>143</v>
      </c>
      <c r="AQ41" s="40">
        <v>0</v>
      </c>
      <c r="AR41" s="40">
        <v>15</v>
      </c>
      <c r="AS41" s="40">
        <v>0</v>
      </c>
      <c r="AT41" s="40">
        <v>103</v>
      </c>
      <c r="AU41" s="40">
        <v>0</v>
      </c>
      <c r="AV41" s="40">
        <v>0</v>
      </c>
      <c r="AW41" s="40">
        <v>16620</v>
      </c>
      <c r="AX41" s="40">
        <v>266235</v>
      </c>
      <c r="AY41" s="40">
        <v>0</v>
      </c>
      <c r="AZ41" s="40">
        <v>289708</v>
      </c>
      <c r="BA41" s="40">
        <v>115638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105</v>
      </c>
      <c r="BL41" s="40">
        <v>144753</v>
      </c>
      <c r="BM41" s="40">
        <v>41582</v>
      </c>
      <c r="BN41" s="40">
        <v>119786</v>
      </c>
      <c r="BO41" s="40">
        <v>223372</v>
      </c>
      <c r="BP41" s="40">
        <v>187</v>
      </c>
      <c r="BQ41" s="40">
        <v>114214</v>
      </c>
      <c r="BR41" s="40">
        <v>0</v>
      </c>
      <c r="BS41" s="40">
        <v>0</v>
      </c>
      <c r="BT41" s="40">
        <v>1499566</v>
      </c>
      <c r="BU41" s="40">
        <v>8897153</v>
      </c>
      <c r="BV41" s="40">
        <v>0</v>
      </c>
      <c r="BW41" s="40">
        <v>0</v>
      </c>
      <c r="BX41" s="40">
        <v>8897153</v>
      </c>
      <c r="BY41" s="40">
        <v>37830255</v>
      </c>
      <c r="BZ41" s="40">
        <v>0</v>
      </c>
      <c r="CA41" s="40">
        <v>0</v>
      </c>
      <c r="CB41" s="40">
        <v>37830255</v>
      </c>
      <c r="CC41" s="40">
        <v>154040</v>
      </c>
      <c r="CD41" s="40">
        <v>46881448</v>
      </c>
      <c r="CE41" s="40">
        <v>48381014</v>
      </c>
      <c r="CF41" s="41"/>
      <c r="CG41" s="41"/>
      <c r="CH41" s="42"/>
    </row>
    <row r="42" spans="1:86">
      <c r="A42" s="38">
        <v>36</v>
      </c>
      <c r="B42" s="65" t="s">
        <v>59</v>
      </c>
      <c r="C42" s="39" t="s">
        <v>58</v>
      </c>
      <c r="D42" s="40">
        <v>231</v>
      </c>
      <c r="E42" s="40">
        <v>0</v>
      </c>
      <c r="F42" s="40">
        <v>0</v>
      </c>
      <c r="G42" s="40">
        <v>0</v>
      </c>
      <c r="H42" s="40">
        <v>8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0</v>
      </c>
      <c r="AC42" s="40">
        <v>0</v>
      </c>
      <c r="AD42" s="40">
        <v>0</v>
      </c>
      <c r="AE42" s="40">
        <v>0</v>
      </c>
      <c r="AF42" s="40">
        <v>0</v>
      </c>
      <c r="AG42" s="40">
        <v>155</v>
      </c>
      <c r="AH42" s="40">
        <v>0</v>
      </c>
      <c r="AI42" s="40">
        <v>0</v>
      </c>
      <c r="AJ42" s="40">
        <v>0</v>
      </c>
      <c r="AK42" s="40">
        <v>0</v>
      </c>
      <c r="AL42" s="40">
        <v>0</v>
      </c>
      <c r="AM42" s="40">
        <v>0</v>
      </c>
      <c r="AN42" s="40">
        <v>0</v>
      </c>
      <c r="AO42" s="40">
        <v>0</v>
      </c>
      <c r="AP42" s="40">
        <v>54</v>
      </c>
      <c r="AQ42" s="40">
        <v>0</v>
      </c>
      <c r="AR42" s="40">
        <v>0</v>
      </c>
      <c r="AS42" s="40">
        <v>9</v>
      </c>
      <c r="AT42" s="40">
        <v>6379</v>
      </c>
      <c r="AU42" s="40">
        <v>0</v>
      </c>
      <c r="AV42" s="40">
        <v>322</v>
      </c>
      <c r="AW42" s="40">
        <v>186</v>
      </c>
      <c r="AX42" s="40">
        <v>3</v>
      </c>
      <c r="AY42" s="40">
        <v>0</v>
      </c>
      <c r="AZ42" s="40">
        <v>0</v>
      </c>
      <c r="BA42" s="40">
        <v>0</v>
      </c>
      <c r="BB42" s="40">
        <v>0</v>
      </c>
      <c r="BC42" s="40">
        <v>56545</v>
      </c>
      <c r="BD42" s="40">
        <v>38602</v>
      </c>
      <c r="BE42" s="40">
        <v>12</v>
      </c>
      <c r="BF42" s="40">
        <v>0</v>
      </c>
      <c r="BG42" s="40">
        <v>389</v>
      </c>
      <c r="BH42" s="40">
        <v>0</v>
      </c>
      <c r="BI42" s="40">
        <v>0</v>
      </c>
      <c r="BJ42" s="40">
        <v>8068</v>
      </c>
      <c r="BK42" s="40">
        <v>528</v>
      </c>
      <c r="BL42" s="40">
        <v>4184</v>
      </c>
      <c r="BM42" s="40">
        <v>42134</v>
      </c>
      <c r="BN42" s="40">
        <v>390773</v>
      </c>
      <c r="BO42" s="40">
        <v>85257</v>
      </c>
      <c r="BP42" s="40">
        <v>27876</v>
      </c>
      <c r="BQ42" s="40">
        <v>79042</v>
      </c>
      <c r="BR42" s="40">
        <v>4188</v>
      </c>
      <c r="BS42" s="40">
        <v>0</v>
      </c>
      <c r="BT42" s="40">
        <v>744945</v>
      </c>
      <c r="BU42" s="40">
        <v>28049147</v>
      </c>
      <c r="BV42" s="40">
        <v>0</v>
      </c>
      <c r="BW42" s="40">
        <v>0</v>
      </c>
      <c r="BX42" s="40">
        <v>28049147</v>
      </c>
      <c r="BY42" s="40">
        <v>4940916</v>
      </c>
      <c r="BZ42" s="40">
        <v>0</v>
      </c>
      <c r="CA42" s="40">
        <v>0</v>
      </c>
      <c r="CB42" s="40">
        <v>4940916</v>
      </c>
      <c r="CC42" s="40">
        <v>2142</v>
      </c>
      <c r="CD42" s="40">
        <v>32992205</v>
      </c>
      <c r="CE42" s="40">
        <v>33737150</v>
      </c>
      <c r="CF42" s="41"/>
      <c r="CG42" s="41"/>
      <c r="CH42" s="42"/>
    </row>
    <row r="43" spans="1:86">
      <c r="A43" s="38">
        <v>37</v>
      </c>
      <c r="B43" s="65" t="s">
        <v>57</v>
      </c>
      <c r="C43" s="39" t="s">
        <v>56</v>
      </c>
      <c r="D43" s="40">
        <v>11748</v>
      </c>
      <c r="E43" s="40">
        <v>0</v>
      </c>
      <c r="F43" s="40">
        <v>0</v>
      </c>
      <c r="G43" s="40">
        <v>0</v>
      </c>
      <c r="H43" s="40">
        <v>2621</v>
      </c>
      <c r="I43" s="40">
        <v>124</v>
      </c>
      <c r="J43" s="40">
        <v>0</v>
      </c>
      <c r="K43" s="40">
        <v>89</v>
      </c>
      <c r="L43" s="40">
        <v>0</v>
      </c>
      <c r="M43" s="40">
        <v>0</v>
      </c>
      <c r="N43" s="40">
        <v>4978</v>
      </c>
      <c r="O43" s="40">
        <v>0</v>
      </c>
      <c r="P43" s="40">
        <v>0</v>
      </c>
      <c r="Q43" s="40">
        <v>546487</v>
      </c>
      <c r="R43" s="40">
        <v>369</v>
      </c>
      <c r="S43" s="40">
        <v>0</v>
      </c>
      <c r="T43" s="40">
        <v>0</v>
      </c>
      <c r="U43" s="40">
        <v>0</v>
      </c>
      <c r="V43" s="40">
        <v>0</v>
      </c>
      <c r="W43" s="40">
        <v>286</v>
      </c>
      <c r="X43" s="40">
        <v>0</v>
      </c>
      <c r="Y43" s="40">
        <v>1355</v>
      </c>
      <c r="Z43" s="40">
        <v>1462</v>
      </c>
      <c r="AA43" s="40">
        <v>23918</v>
      </c>
      <c r="AB43" s="40">
        <v>0</v>
      </c>
      <c r="AC43" s="40">
        <v>0</v>
      </c>
      <c r="AD43" s="40">
        <v>0</v>
      </c>
      <c r="AE43" s="40">
        <v>0</v>
      </c>
      <c r="AF43" s="40">
        <v>0</v>
      </c>
      <c r="AG43" s="40">
        <v>0</v>
      </c>
      <c r="AH43" s="40">
        <v>2648</v>
      </c>
      <c r="AI43" s="40">
        <v>0</v>
      </c>
      <c r="AJ43" s="40">
        <v>2</v>
      </c>
      <c r="AK43" s="40">
        <v>0</v>
      </c>
      <c r="AL43" s="40">
        <v>0</v>
      </c>
      <c r="AM43" s="40">
        <v>0</v>
      </c>
      <c r="AN43" s="40">
        <v>38046</v>
      </c>
      <c r="AO43" s="40">
        <v>0</v>
      </c>
      <c r="AP43" s="40">
        <v>69</v>
      </c>
      <c r="AQ43" s="40">
        <v>0</v>
      </c>
      <c r="AR43" s="40">
        <v>4</v>
      </c>
      <c r="AS43" s="40">
        <v>21</v>
      </c>
      <c r="AT43" s="40">
        <v>15568</v>
      </c>
      <c r="AU43" s="40">
        <v>19414</v>
      </c>
      <c r="AV43" s="40">
        <v>4255</v>
      </c>
      <c r="AW43" s="40">
        <v>53260</v>
      </c>
      <c r="AX43" s="40">
        <v>18763</v>
      </c>
      <c r="AY43" s="40">
        <v>0</v>
      </c>
      <c r="AZ43" s="40">
        <v>0</v>
      </c>
      <c r="BA43" s="40">
        <v>4092</v>
      </c>
      <c r="BB43" s="40">
        <v>0</v>
      </c>
      <c r="BC43" s="40">
        <v>284</v>
      </c>
      <c r="BD43" s="40">
        <v>103382</v>
      </c>
      <c r="BE43" s="40">
        <v>6404</v>
      </c>
      <c r="BF43" s="40">
        <v>9483</v>
      </c>
      <c r="BG43" s="40">
        <v>634095</v>
      </c>
      <c r="BH43" s="40">
        <v>66661</v>
      </c>
      <c r="BI43" s="40">
        <v>13108</v>
      </c>
      <c r="BJ43" s="40">
        <v>129559</v>
      </c>
      <c r="BK43" s="40">
        <v>90118</v>
      </c>
      <c r="BL43" s="40">
        <v>1387511</v>
      </c>
      <c r="BM43" s="40">
        <v>246188</v>
      </c>
      <c r="BN43" s="40">
        <v>1746957</v>
      </c>
      <c r="BO43" s="40">
        <v>505670</v>
      </c>
      <c r="BP43" s="40">
        <v>24822</v>
      </c>
      <c r="BQ43" s="40">
        <v>958205</v>
      </c>
      <c r="BR43" s="40">
        <v>229397</v>
      </c>
      <c r="BS43" s="40">
        <v>0</v>
      </c>
      <c r="BT43" s="40">
        <v>6901423</v>
      </c>
      <c r="BU43" s="40">
        <v>60143763</v>
      </c>
      <c r="BV43" s="40">
        <v>0</v>
      </c>
      <c r="BW43" s="40">
        <v>0</v>
      </c>
      <c r="BX43" s="40">
        <v>60143763</v>
      </c>
      <c r="BY43" s="40">
        <v>5564769</v>
      </c>
      <c r="BZ43" s="40">
        <v>0</v>
      </c>
      <c r="CA43" s="40">
        <v>0</v>
      </c>
      <c r="CB43" s="40">
        <v>5564769</v>
      </c>
      <c r="CC43" s="40">
        <v>11874</v>
      </c>
      <c r="CD43" s="40">
        <v>65720406</v>
      </c>
      <c r="CE43" s="40">
        <v>72621829</v>
      </c>
      <c r="CF43" s="41"/>
      <c r="CG43" s="41"/>
      <c r="CH43" s="42"/>
    </row>
    <row r="44" spans="1:86" ht="22.5">
      <c r="A44" s="38">
        <v>38</v>
      </c>
      <c r="B44" s="65" t="s">
        <v>55</v>
      </c>
      <c r="C44" s="39" t="s">
        <v>136</v>
      </c>
      <c r="D44" s="40">
        <v>66987</v>
      </c>
      <c r="E44" s="40">
        <v>0</v>
      </c>
      <c r="F44" s="40">
        <v>0</v>
      </c>
      <c r="G44" s="40">
        <v>1071</v>
      </c>
      <c r="H44" s="40">
        <v>485436</v>
      </c>
      <c r="I44" s="40">
        <v>2408</v>
      </c>
      <c r="J44" s="40">
        <v>0</v>
      </c>
      <c r="K44" s="40">
        <v>5124</v>
      </c>
      <c r="L44" s="40">
        <v>3672</v>
      </c>
      <c r="M44" s="40">
        <v>464</v>
      </c>
      <c r="N44" s="40">
        <v>19282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40">
        <v>1591</v>
      </c>
      <c r="U44" s="40">
        <v>0</v>
      </c>
      <c r="V44" s="40">
        <v>0</v>
      </c>
      <c r="W44" s="40">
        <v>40487</v>
      </c>
      <c r="X44" s="40">
        <v>0</v>
      </c>
      <c r="Y44" s="40">
        <v>0</v>
      </c>
      <c r="Z44" s="40">
        <v>0</v>
      </c>
      <c r="AA44" s="40">
        <v>23203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40">
        <v>0</v>
      </c>
      <c r="AJ44" s="40">
        <v>0</v>
      </c>
      <c r="AK44" s="40">
        <v>0</v>
      </c>
      <c r="AL44" s="40">
        <v>0</v>
      </c>
      <c r="AM44" s="40">
        <v>0</v>
      </c>
      <c r="AN44" s="40">
        <v>109</v>
      </c>
      <c r="AO44" s="40">
        <v>30155</v>
      </c>
      <c r="AP44" s="40">
        <v>107024</v>
      </c>
      <c r="AQ44" s="40">
        <v>4842</v>
      </c>
      <c r="AR44" s="40">
        <v>75342</v>
      </c>
      <c r="AS44" s="40">
        <v>1285</v>
      </c>
      <c r="AT44" s="40">
        <v>60056</v>
      </c>
      <c r="AU44" s="40">
        <v>72029</v>
      </c>
      <c r="AV44" s="40">
        <v>515910</v>
      </c>
      <c r="AW44" s="40">
        <v>382118</v>
      </c>
      <c r="AX44" s="40">
        <v>143543</v>
      </c>
      <c r="AY44" s="40">
        <v>57015</v>
      </c>
      <c r="AZ44" s="40">
        <v>0</v>
      </c>
      <c r="BA44" s="40">
        <v>107949</v>
      </c>
      <c r="BB44" s="40">
        <v>0</v>
      </c>
      <c r="BC44" s="40">
        <v>31628</v>
      </c>
      <c r="BD44" s="40">
        <v>59673</v>
      </c>
      <c r="BE44" s="40">
        <v>41998</v>
      </c>
      <c r="BF44" s="40">
        <v>326898</v>
      </c>
      <c r="BG44" s="40">
        <v>117069</v>
      </c>
      <c r="BH44" s="40">
        <v>51248</v>
      </c>
      <c r="BI44" s="40">
        <v>248927</v>
      </c>
      <c r="BJ44" s="40">
        <v>243044</v>
      </c>
      <c r="BK44" s="40">
        <v>38462</v>
      </c>
      <c r="BL44" s="40">
        <v>52804</v>
      </c>
      <c r="BM44" s="40">
        <v>728940</v>
      </c>
      <c r="BN44" s="40">
        <v>5187942</v>
      </c>
      <c r="BO44" s="40">
        <v>8382701</v>
      </c>
      <c r="BP44" s="40">
        <v>53708</v>
      </c>
      <c r="BQ44" s="40">
        <v>32279</v>
      </c>
      <c r="BR44" s="40">
        <v>106956</v>
      </c>
      <c r="BS44" s="40">
        <v>0</v>
      </c>
      <c r="BT44" s="40">
        <v>17911379</v>
      </c>
      <c r="BU44" s="40">
        <v>0</v>
      </c>
      <c r="BV44" s="40">
        <v>0</v>
      </c>
      <c r="BW44" s="40">
        <v>0</v>
      </c>
      <c r="BX44" s="40">
        <v>0</v>
      </c>
      <c r="BY44" s="40">
        <v>0</v>
      </c>
      <c r="BZ44" s="40">
        <v>0</v>
      </c>
      <c r="CA44" s="40">
        <v>0</v>
      </c>
      <c r="CB44" s="40">
        <v>0</v>
      </c>
      <c r="CC44" s="40">
        <v>0</v>
      </c>
      <c r="CD44" s="40">
        <v>0</v>
      </c>
      <c r="CE44" s="40">
        <v>17911379</v>
      </c>
      <c r="CF44" s="41"/>
      <c r="CG44" s="41"/>
      <c r="CH44" s="42"/>
    </row>
    <row r="45" spans="1:86" ht="22.5">
      <c r="A45" s="38">
        <v>39</v>
      </c>
      <c r="B45" s="65" t="s">
        <v>54</v>
      </c>
      <c r="C45" s="39" t="s">
        <v>53</v>
      </c>
      <c r="D45" s="40">
        <v>381803</v>
      </c>
      <c r="E45" s="40">
        <v>26</v>
      </c>
      <c r="F45" s="40">
        <v>1328</v>
      </c>
      <c r="G45" s="40">
        <v>3338</v>
      </c>
      <c r="H45" s="40">
        <v>151715</v>
      </c>
      <c r="I45" s="40">
        <v>3544</v>
      </c>
      <c r="J45" s="40">
        <v>40</v>
      </c>
      <c r="K45" s="40">
        <v>11436</v>
      </c>
      <c r="L45" s="40">
        <v>4400</v>
      </c>
      <c r="M45" s="40">
        <v>456</v>
      </c>
      <c r="N45" s="40">
        <v>246434</v>
      </c>
      <c r="O45" s="40">
        <v>57705</v>
      </c>
      <c r="P45" s="40">
        <v>165</v>
      </c>
      <c r="Q45" s="40">
        <v>251</v>
      </c>
      <c r="R45" s="40">
        <v>22</v>
      </c>
      <c r="S45" s="40">
        <v>23</v>
      </c>
      <c r="T45" s="40">
        <v>1204</v>
      </c>
      <c r="U45" s="40">
        <v>272</v>
      </c>
      <c r="V45" s="40">
        <v>4844</v>
      </c>
      <c r="W45" s="40">
        <v>202016</v>
      </c>
      <c r="X45" s="40">
        <v>1358</v>
      </c>
      <c r="Y45" s="40">
        <v>39364</v>
      </c>
      <c r="Z45" s="40">
        <v>810</v>
      </c>
      <c r="AA45" s="40">
        <v>23390</v>
      </c>
      <c r="AB45" s="40">
        <v>3624</v>
      </c>
      <c r="AC45" s="40">
        <v>23</v>
      </c>
      <c r="AD45" s="40">
        <v>11</v>
      </c>
      <c r="AE45" s="40">
        <v>1129</v>
      </c>
      <c r="AF45" s="40">
        <v>93</v>
      </c>
      <c r="AG45" s="40">
        <v>84</v>
      </c>
      <c r="AH45" s="40">
        <v>814</v>
      </c>
      <c r="AI45" s="40">
        <v>30</v>
      </c>
      <c r="AJ45" s="40">
        <v>134</v>
      </c>
      <c r="AK45" s="40">
        <v>353</v>
      </c>
      <c r="AL45" s="40">
        <v>371</v>
      </c>
      <c r="AM45" s="40">
        <v>1849</v>
      </c>
      <c r="AN45" s="40">
        <v>445</v>
      </c>
      <c r="AO45" s="40">
        <v>1719</v>
      </c>
      <c r="AP45" s="40">
        <v>954678</v>
      </c>
      <c r="AQ45" s="40">
        <v>59</v>
      </c>
      <c r="AR45" s="40">
        <v>35183</v>
      </c>
      <c r="AS45" s="40">
        <v>21020</v>
      </c>
      <c r="AT45" s="40">
        <v>146944</v>
      </c>
      <c r="AU45" s="40">
        <v>24794</v>
      </c>
      <c r="AV45" s="40">
        <v>314005</v>
      </c>
      <c r="AW45" s="40">
        <v>551848</v>
      </c>
      <c r="AX45" s="40">
        <v>49597</v>
      </c>
      <c r="AY45" s="40">
        <v>1139</v>
      </c>
      <c r="AZ45" s="40">
        <v>67</v>
      </c>
      <c r="BA45" s="40">
        <v>364852</v>
      </c>
      <c r="BB45" s="40">
        <v>153</v>
      </c>
      <c r="BC45" s="40">
        <v>331712</v>
      </c>
      <c r="BD45" s="40">
        <v>97822</v>
      </c>
      <c r="BE45" s="40">
        <v>4043658</v>
      </c>
      <c r="BF45" s="40">
        <v>519178</v>
      </c>
      <c r="BG45" s="40">
        <v>1317761</v>
      </c>
      <c r="BH45" s="40">
        <v>1309008</v>
      </c>
      <c r="BI45" s="40">
        <v>1277116</v>
      </c>
      <c r="BJ45" s="40">
        <v>2913401</v>
      </c>
      <c r="BK45" s="40">
        <v>124876</v>
      </c>
      <c r="BL45" s="40">
        <v>1970011</v>
      </c>
      <c r="BM45" s="40">
        <v>1457999</v>
      </c>
      <c r="BN45" s="40">
        <v>25431178</v>
      </c>
      <c r="BO45" s="40">
        <v>7066135</v>
      </c>
      <c r="BP45" s="40">
        <v>139370</v>
      </c>
      <c r="BQ45" s="40">
        <v>704314</v>
      </c>
      <c r="BR45" s="40">
        <v>413646</v>
      </c>
      <c r="BS45" s="40">
        <v>0</v>
      </c>
      <c r="BT45" s="40">
        <v>52728147</v>
      </c>
      <c r="BU45" s="40">
        <v>111738688</v>
      </c>
      <c r="BV45" s="40">
        <v>0</v>
      </c>
      <c r="BW45" s="40">
        <v>0</v>
      </c>
      <c r="BX45" s="40">
        <v>111738688</v>
      </c>
      <c r="BY45" s="40">
        <v>0</v>
      </c>
      <c r="BZ45" s="40">
        <v>0</v>
      </c>
      <c r="CA45" s="40">
        <v>0</v>
      </c>
      <c r="CB45" s="40">
        <v>0</v>
      </c>
      <c r="CC45" s="40">
        <v>6093</v>
      </c>
      <c r="CD45" s="40">
        <v>111744781</v>
      </c>
      <c r="CE45" s="40">
        <v>164472928</v>
      </c>
      <c r="CF45" s="41"/>
      <c r="CG45" s="41"/>
      <c r="CH45" s="42"/>
    </row>
    <row r="46" spans="1:86" ht="33.75">
      <c r="A46" s="38">
        <v>40</v>
      </c>
      <c r="B46" s="65" t="s">
        <v>52</v>
      </c>
      <c r="C46" s="39" t="s">
        <v>51</v>
      </c>
      <c r="D46" s="40">
        <v>3553</v>
      </c>
      <c r="E46" s="40">
        <v>0</v>
      </c>
      <c r="F46" s="40">
        <v>0</v>
      </c>
      <c r="G46" s="40">
        <v>0</v>
      </c>
      <c r="H46" s="40">
        <v>17038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7174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40">
        <v>28886</v>
      </c>
      <c r="X46" s="40">
        <v>0</v>
      </c>
      <c r="Y46" s="40">
        <v>0</v>
      </c>
      <c r="Z46" s="40">
        <v>2</v>
      </c>
      <c r="AA46" s="40">
        <v>129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  <c r="AI46" s="40">
        <v>0</v>
      </c>
      <c r="AJ46" s="40">
        <v>0</v>
      </c>
      <c r="AK46" s="40">
        <v>0</v>
      </c>
      <c r="AL46" s="40">
        <v>0</v>
      </c>
      <c r="AM46" s="40">
        <v>0</v>
      </c>
      <c r="AN46" s="40">
        <v>0</v>
      </c>
      <c r="AO46" s="40">
        <v>14</v>
      </c>
      <c r="AP46" s="40">
        <v>0</v>
      </c>
      <c r="AQ46" s="40">
        <v>0</v>
      </c>
      <c r="AR46" s="40">
        <v>3024</v>
      </c>
      <c r="AS46" s="40">
        <v>6</v>
      </c>
      <c r="AT46" s="40">
        <v>2040</v>
      </c>
      <c r="AU46" s="40">
        <v>142</v>
      </c>
      <c r="AV46" s="40">
        <v>69656</v>
      </c>
      <c r="AW46" s="40">
        <v>105308</v>
      </c>
      <c r="AX46" s="40">
        <v>0</v>
      </c>
      <c r="AY46" s="40">
        <v>0</v>
      </c>
      <c r="AZ46" s="40">
        <v>0</v>
      </c>
      <c r="BA46" s="40">
        <v>0</v>
      </c>
      <c r="BB46" s="40">
        <v>2615</v>
      </c>
      <c r="BC46" s="40">
        <v>0</v>
      </c>
      <c r="BD46" s="40">
        <v>0</v>
      </c>
      <c r="BE46" s="40">
        <v>749</v>
      </c>
      <c r="BF46" s="40">
        <v>0</v>
      </c>
      <c r="BG46" s="40">
        <v>0</v>
      </c>
      <c r="BH46" s="40">
        <v>0</v>
      </c>
      <c r="BI46" s="40">
        <v>0</v>
      </c>
      <c r="BJ46" s="40">
        <v>9480</v>
      </c>
      <c r="BK46" s="40">
        <v>61</v>
      </c>
      <c r="BL46" s="40">
        <v>111</v>
      </c>
      <c r="BM46" s="40">
        <v>60762</v>
      </c>
      <c r="BN46" s="40">
        <v>5225529</v>
      </c>
      <c r="BO46" s="40">
        <v>1352652</v>
      </c>
      <c r="BP46" s="40">
        <v>0</v>
      </c>
      <c r="BQ46" s="40">
        <v>7318</v>
      </c>
      <c r="BR46" s="40">
        <v>1070417</v>
      </c>
      <c r="BS46" s="40">
        <v>0</v>
      </c>
      <c r="BT46" s="40">
        <v>7966666</v>
      </c>
      <c r="BU46" s="40">
        <v>20009260</v>
      </c>
      <c r="BV46" s="40">
        <v>0</v>
      </c>
      <c r="BW46" s="40">
        <v>0</v>
      </c>
      <c r="BX46" s="40">
        <v>20009260</v>
      </c>
      <c r="BY46" s="40">
        <v>0</v>
      </c>
      <c r="BZ46" s="40">
        <v>0</v>
      </c>
      <c r="CA46" s="40">
        <v>0</v>
      </c>
      <c r="CB46" s="40">
        <v>0</v>
      </c>
      <c r="CC46" s="40">
        <v>0</v>
      </c>
      <c r="CD46" s="40">
        <v>20009260</v>
      </c>
      <c r="CE46" s="40">
        <v>27975926</v>
      </c>
      <c r="CF46" s="41"/>
      <c r="CG46" s="41"/>
      <c r="CH46" s="42"/>
    </row>
    <row r="47" spans="1:86" ht="22.5">
      <c r="A47" s="38">
        <v>41</v>
      </c>
      <c r="B47" s="65" t="s">
        <v>50</v>
      </c>
      <c r="C47" s="39" t="s">
        <v>49</v>
      </c>
      <c r="D47" s="40">
        <v>46096</v>
      </c>
      <c r="E47" s="40">
        <v>7</v>
      </c>
      <c r="F47" s="40">
        <v>0</v>
      </c>
      <c r="G47" s="40">
        <v>6</v>
      </c>
      <c r="H47" s="40">
        <v>239</v>
      </c>
      <c r="I47" s="40">
        <v>11</v>
      </c>
      <c r="J47" s="40">
        <v>0</v>
      </c>
      <c r="K47" s="40">
        <v>179</v>
      </c>
      <c r="L47" s="40">
        <v>2</v>
      </c>
      <c r="M47" s="40">
        <v>0</v>
      </c>
      <c r="N47" s="40">
        <v>2546</v>
      </c>
      <c r="O47" s="40">
        <v>0</v>
      </c>
      <c r="P47" s="40">
        <v>0</v>
      </c>
      <c r="Q47" s="40">
        <v>3</v>
      </c>
      <c r="R47" s="40">
        <v>0</v>
      </c>
      <c r="S47" s="40">
        <v>0</v>
      </c>
      <c r="T47" s="40">
        <v>27</v>
      </c>
      <c r="U47" s="40">
        <v>0</v>
      </c>
      <c r="V47" s="40">
        <v>0</v>
      </c>
      <c r="W47" s="40">
        <v>21696</v>
      </c>
      <c r="X47" s="40">
        <v>0</v>
      </c>
      <c r="Y47" s="40">
        <v>4919</v>
      </c>
      <c r="Z47" s="40">
        <v>0</v>
      </c>
      <c r="AA47" s="40">
        <v>106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40">
        <v>2</v>
      </c>
      <c r="AI47" s="40">
        <v>0</v>
      </c>
      <c r="AJ47" s="40">
        <v>0</v>
      </c>
      <c r="AK47" s="40">
        <v>0</v>
      </c>
      <c r="AL47" s="40">
        <v>0</v>
      </c>
      <c r="AM47" s="40">
        <v>40</v>
      </c>
      <c r="AN47" s="40">
        <v>142</v>
      </c>
      <c r="AO47" s="40">
        <v>62</v>
      </c>
      <c r="AP47" s="40">
        <v>379</v>
      </c>
      <c r="AQ47" s="40">
        <v>0</v>
      </c>
      <c r="AR47" s="40">
        <v>941</v>
      </c>
      <c r="AS47" s="40">
        <v>2989</v>
      </c>
      <c r="AT47" s="40">
        <v>550</v>
      </c>
      <c r="AU47" s="40">
        <v>963</v>
      </c>
      <c r="AV47" s="40">
        <v>666</v>
      </c>
      <c r="AW47" s="40">
        <v>13375</v>
      </c>
      <c r="AX47" s="40">
        <v>1145</v>
      </c>
      <c r="AY47" s="40">
        <v>0</v>
      </c>
      <c r="AZ47" s="40">
        <v>0</v>
      </c>
      <c r="BA47" s="40">
        <v>5350</v>
      </c>
      <c r="BB47" s="40">
        <v>0</v>
      </c>
      <c r="BC47" s="40">
        <v>6902</v>
      </c>
      <c r="BD47" s="40">
        <v>3248</v>
      </c>
      <c r="BE47" s="40">
        <v>785</v>
      </c>
      <c r="BF47" s="40">
        <v>28</v>
      </c>
      <c r="BG47" s="40">
        <v>215493</v>
      </c>
      <c r="BH47" s="40">
        <v>22283</v>
      </c>
      <c r="BI47" s="40">
        <v>15862</v>
      </c>
      <c r="BJ47" s="40">
        <v>191064</v>
      </c>
      <c r="BK47" s="40">
        <v>32247</v>
      </c>
      <c r="BL47" s="40">
        <v>25735</v>
      </c>
      <c r="BM47" s="40">
        <v>469572</v>
      </c>
      <c r="BN47" s="40">
        <v>11538373</v>
      </c>
      <c r="BO47" s="40">
        <v>4576999</v>
      </c>
      <c r="BP47" s="40">
        <v>44207</v>
      </c>
      <c r="BQ47" s="40">
        <v>35436</v>
      </c>
      <c r="BR47" s="40">
        <v>1831699</v>
      </c>
      <c r="BS47" s="40">
        <v>0</v>
      </c>
      <c r="BT47" s="40">
        <v>19112374</v>
      </c>
      <c r="BU47" s="40">
        <v>36774372</v>
      </c>
      <c r="BV47" s="40">
        <v>0</v>
      </c>
      <c r="BW47" s="40">
        <v>0</v>
      </c>
      <c r="BX47" s="40">
        <v>36774372</v>
      </c>
      <c r="BY47" s="40">
        <v>0</v>
      </c>
      <c r="BZ47" s="40">
        <v>0</v>
      </c>
      <c r="CA47" s="40">
        <v>0</v>
      </c>
      <c r="CB47" s="40">
        <v>0</v>
      </c>
      <c r="CC47" s="40">
        <v>0</v>
      </c>
      <c r="CD47" s="40">
        <v>36774372</v>
      </c>
      <c r="CE47" s="40">
        <v>55886746</v>
      </c>
      <c r="CF47" s="41"/>
      <c r="CG47" s="41"/>
      <c r="CH47" s="42"/>
    </row>
    <row r="48" spans="1:86" ht="33.75">
      <c r="A48" s="38">
        <v>42</v>
      </c>
      <c r="B48" s="65" t="s">
        <v>94</v>
      </c>
      <c r="C48" s="39" t="s">
        <v>162</v>
      </c>
      <c r="D48" s="40">
        <v>-112399</v>
      </c>
      <c r="E48" s="40">
        <v>24</v>
      </c>
      <c r="F48" s="40">
        <v>0</v>
      </c>
      <c r="G48" s="40">
        <v>298</v>
      </c>
      <c r="H48" s="40">
        <v>54344</v>
      </c>
      <c r="I48" s="40">
        <v>2552</v>
      </c>
      <c r="J48" s="40">
        <v>25</v>
      </c>
      <c r="K48" s="40">
        <v>1847</v>
      </c>
      <c r="L48" s="40">
        <v>75</v>
      </c>
      <c r="M48" s="40">
        <v>11598</v>
      </c>
      <c r="N48" s="40">
        <v>19247</v>
      </c>
      <c r="O48" s="40">
        <v>27</v>
      </c>
      <c r="P48" s="40">
        <v>0</v>
      </c>
      <c r="Q48" s="40">
        <v>14</v>
      </c>
      <c r="R48" s="40">
        <v>20</v>
      </c>
      <c r="S48" s="40">
        <v>4</v>
      </c>
      <c r="T48" s="40">
        <v>6</v>
      </c>
      <c r="U48" s="40">
        <v>0</v>
      </c>
      <c r="V48" s="40">
        <v>3</v>
      </c>
      <c r="W48" s="40">
        <v>1397</v>
      </c>
      <c r="X48" s="40">
        <v>-74</v>
      </c>
      <c r="Y48" s="40">
        <v>57499</v>
      </c>
      <c r="Z48" s="40">
        <v>360</v>
      </c>
      <c r="AA48" s="40">
        <v>11199</v>
      </c>
      <c r="AB48" s="40">
        <v>1</v>
      </c>
      <c r="AC48" s="40">
        <v>0</v>
      </c>
      <c r="AD48" s="40">
        <v>2</v>
      </c>
      <c r="AE48" s="40">
        <v>-9</v>
      </c>
      <c r="AF48" s="40">
        <v>7</v>
      </c>
      <c r="AG48" s="40">
        <v>20</v>
      </c>
      <c r="AH48" s="40">
        <v>11</v>
      </c>
      <c r="AI48" s="40">
        <v>-9</v>
      </c>
      <c r="AJ48" s="40">
        <v>9</v>
      </c>
      <c r="AK48" s="40">
        <v>0</v>
      </c>
      <c r="AL48" s="40">
        <v>5</v>
      </c>
      <c r="AM48" s="40">
        <v>0</v>
      </c>
      <c r="AN48" s="40">
        <v>61</v>
      </c>
      <c r="AO48" s="40">
        <v>1454</v>
      </c>
      <c r="AP48" s="40">
        <v>-934828</v>
      </c>
      <c r="AQ48" s="40">
        <v>16</v>
      </c>
      <c r="AR48" s="40">
        <v>-30173</v>
      </c>
      <c r="AS48" s="40">
        <v>16899</v>
      </c>
      <c r="AT48" s="40">
        <v>336929</v>
      </c>
      <c r="AU48" s="40">
        <v>535777</v>
      </c>
      <c r="AV48" s="40">
        <v>13033</v>
      </c>
      <c r="AW48" s="40">
        <v>-49439</v>
      </c>
      <c r="AX48" s="40">
        <v>132375</v>
      </c>
      <c r="AY48" s="40">
        <v>21</v>
      </c>
      <c r="AZ48" s="40">
        <v>1</v>
      </c>
      <c r="BA48" s="40">
        <v>63543</v>
      </c>
      <c r="BB48" s="40">
        <v>561</v>
      </c>
      <c r="BC48" s="40">
        <v>78083</v>
      </c>
      <c r="BD48" s="40">
        <v>-17370</v>
      </c>
      <c r="BE48" s="40">
        <v>8305</v>
      </c>
      <c r="BF48" s="40">
        <v>6897</v>
      </c>
      <c r="BG48" s="40">
        <v>-6981</v>
      </c>
      <c r="BH48" s="40">
        <v>33223</v>
      </c>
      <c r="BI48" s="40">
        <v>32110</v>
      </c>
      <c r="BJ48" s="40">
        <v>353997</v>
      </c>
      <c r="BK48" s="40">
        <v>17471</v>
      </c>
      <c r="BL48" s="40">
        <v>214090</v>
      </c>
      <c r="BM48" s="40">
        <v>-5770393</v>
      </c>
      <c r="BN48" s="40">
        <v>-1637440</v>
      </c>
      <c r="BO48" s="40">
        <v>2266072</v>
      </c>
      <c r="BP48" s="40">
        <v>-38562</v>
      </c>
      <c r="BQ48" s="40">
        <v>-2321</v>
      </c>
      <c r="BR48" s="40">
        <v>145527</v>
      </c>
      <c r="BS48" s="40">
        <v>0</v>
      </c>
      <c r="BT48" s="40">
        <v>-4182959</v>
      </c>
      <c r="BU48" s="40">
        <v>15679754</v>
      </c>
      <c r="BV48" s="40">
        <v>0</v>
      </c>
      <c r="BW48" s="40">
        <v>0</v>
      </c>
      <c r="BX48" s="40">
        <v>15679754</v>
      </c>
      <c r="BY48" s="40">
        <v>0</v>
      </c>
      <c r="BZ48" s="40">
        <v>0</v>
      </c>
      <c r="CA48" s="40">
        <v>0</v>
      </c>
      <c r="CB48" s="40">
        <v>0</v>
      </c>
      <c r="CC48" s="40">
        <v>13448</v>
      </c>
      <c r="CD48" s="40">
        <v>15693202</v>
      </c>
      <c r="CE48" s="40">
        <v>11510243</v>
      </c>
      <c r="CF48" s="41"/>
      <c r="CG48" s="41"/>
      <c r="CH48" s="42"/>
    </row>
    <row r="49" spans="1:86">
      <c r="A49" s="38">
        <v>43</v>
      </c>
      <c r="B49" s="65" t="s">
        <v>48</v>
      </c>
      <c r="C49" s="39" t="s">
        <v>47</v>
      </c>
      <c r="D49" s="40">
        <v>436488</v>
      </c>
      <c r="E49" s="40">
        <v>12</v>
      </c>
      <c r="F49" s="40">
        <v>306186</v>
      </c>
      <c r="G49" s="40">
        <v>39390</v>
      </c>
      <c r="H49" s="40">
        <v>120272</v>
      </c>
      <c r="I49" s="40">
        <v>5366</v>
      </c>
      <c r="J49" s="40">
        <v>0</v>
      </c>
      <c r="K49" s="40">
        <v>0</v>
      </c>
      <c r="L49" s="40">
        <v>0</v>
      </c>
      <c r="M49" s="40">
        <v>0</v>
      </c>
      <c r="N49" s="40">
        <v>18847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65320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0</v>
      </c>
      <c r="AH49" s="40">
        <v>228</v>
      </c>
      <c r="AI49" s="40">
        <v>0</v>
      </c>
      <c r="AJ49" s="40">
        <v>0</v>
      </c>
      <c r="AK49" s="40">
        <v>0</v>
      </c>
      <c r="AL49" s="40">
        <v>0</v>
      </c>
      <c r="AM49" s="40">
        <v>0</v>
      </c>
      <c r="AN49" s="40">
        <v>0</v>
      </c>
      <c r="AO49" s="40">
        <v>0</v>
      </c>
      <c r="AP49" s="40">
        <v>342208</v>
      </c>
      <c r="AQ49" s="40">
        <v>0</v>
      </c>
      <c r="AR49" s="40">
        <v>279670</v>
      </c>
      <c r="AS49" s="40">
        <v>432505</v>
      </c>
      <c r="AT49" s="40">
        <v>18533279</v>
      </c>
      <c r="AU49" s="40">
        <v>0</v>
      </c>
      <c r="AV49" s="40">
        <v>0</v>
      </c>
      <c r="AW49" s="40">
        <v>869778</v>
      </c>
      <c r="AX49" s="40">
        <v>47367</v>
      </c>
      <c r="AY49" s="40">
        <v>96525</v>
      </c>
      <c r="AZ49" s="40">
        <v>0</v>
      </c>
      <c r="BA49" s="40">
        <v>423923</v>
      </c>
      <c r="BB49" s="40">
        <v>0</v>
      </c>
      <c r="BC49" s="40">
        <v>605404</v>
      </c>
      <c r="BD49" s="40">
        <v>20548</v>
      </c>
      <c r="BE49" s="40">
        <v>10473</v>
      </c>
      <c r="BF49" s="40">
        <v>0</v>
      </c>
      <c r="BG49" s="40">
        <v>562051</v>
      </c>
      <c r="BH49" s="40">
        <v>0</v>
      </c>
      <c r="BI49" s="40">
        <v>0</v>
      </c>
      <c r="BJ49" s="40">
        <v>32532415</v>
      </c>
      <c r="BK49" s="40">
        <v>1254929</v>
      </c>
      <c r="BL49" s="40">
        <v>2184122</v>
      </c>
      <c r="BM49" s="40">
        <v>1442228</v>
      </c>
      <c r="BN49" s="40">
        <v>30027919</v>
      </c>
      <c r="BO49" s="40">
        <v>19470095</v>
      </c>
      <c r="BP49" s="40">
        <v>1014070</v>
      </c>
      <c r="BQ49" s="40">
        <v>519832</v>
      </c>
      <c r="BR49" s="40">
        <v>0</v>
      </c>
      <c r="BS49" s="40">
        <v>0</v>
      </c>
      <c r="BT49" s="40">
        <v>111661450</v>
      </c>
      <c r="BU49" s="40">
        <v>6359226</v>
      </c>
      <c r="BV49" s="40">
        <v>0</v>
      </c>
      <c r="BW49" s="40">
        <v>0</v>
      </c>
      <c r="BX49" s="40">
        <v>6359226</v>
      </c>
      <c r="BY49" s="40">
        <v>397003098</v>
      </c>
      <c r="BZ49" s="40">
        <v>0</v>
      </c>
      <c r="CA49" s="40">
        <v>0</v>
      </c>
      <c r="CB49" s="40">
        <v>397003098</v>
      </c>
      <c r="CC49" s="40">
        <v>0</v>
      </c>
      <c r="CD49" s="40">
        <v>403362324</v>
      </c>
      <c r="CE49" s="40">
        <v>515023774</v>
      </c>
      <c r="CF49" s="41"/>
      <c r="CG49" s="41"/>
      <c r="CH49" s="42"/>
    </row>
    <row r="50" spans="1:86" ht="33.75">
      <c r="A50" s="38">
        <v>44</v>
      </c>
      <c r="B50" s="65" t="s">
        <v>46</v>
      </c>
      <c r="C50" s="39" t="s">
        <v>137</v>
      </c>
      <c r="D50" s="40">
        <v>14055</v>
      </c>
      <c r="E50" s="40">
        <v>3</v>
      </c>
      <c r="F50" s="40">
        <v>0</v>
      </c>
      <c r="G50" s="40">
        <v>18</v>
      </c>
      <c r="H50" s="40">
        <v>5717</v>
      </c>
      <c r="I50" s="40">
        <v>0</v>
      </c>
      <c r="J50" s="40">
        <v>0</v>
      </c>
      <c r="K50" s="40">
        <v>5</v>
      </c>
      <c r="L50" s="40">
        <v>0</v>
      </c>
      <c r="M50" s="40">
        <v>61</v>
      </c>
      <c r="N50" s="40">
        <v>2225</v>
      </c>
      <c r="O50" s="40">
        <v>0</v>
      </c>
      <c r="P50" s="40">
        <v>0</v>
      </c>
      <c r="Q50" s="40">
        <v>2</v>
      </c>
      <c r="R50" s="40">
        <v>0</v>
      </c>
      <c r="S50" s="40">
        <v>0</v>
      </c>
      <c r="T50" s="40">
        <v>0</v>
      </c>
      <c r="U50" s="40">
        <v>0</v>
      </c>
      <c r="V50" s="40">
        <v>0</v>
      </c>
      <c r="W50" s="40">
        <v>0</v>
      </c>
      <c r="X50" s="40">
        <v>0</v>
      </c>
      <c r="Y50" s="40">
        <v>0</v>
      </c>
      <c r="Z50" s="40">
        <v>5</v>
      </c>
      <c r="AA50" s="40">
        <v>78</v>
      </c>
      <c r="AB50" s="40">
        <v>0</v>
      </c>
      <c r="AC50" s="40">
        <v>0</v>
      </c>
      <c r="AD50" s="40">
        <v>0</v>
      </c>
      <c r="AE50" s="40">
        <v>0</v>
      </c>
      <c r="AF50" s="40">
        <v>0</v>
      </c>
      <c r="AG50" s="40">
        <v>0</v>
      </c>
      <c r="AH50" s="40">
        <v>0</v>
      </c>
      <c r="AI50" s="40">
        <v>0</v>
      </c>
      <c r="AJ50" s="40">
        <v>0</v>
      </c>
      <c r="AK50" s="40">
        <v>0</v>
      </c>
      <c r="AL50" s="40">
        <v>0</v>
      </c>
      <c r="AM50" s="40">
        <v>0</v>
      </c>
      <c r="AN50" s="40">
        <v>5</v>
      </c>
      <c r="AO50" s="40">
        <v>47</v>
      </c>
      <c r="AP50" s="40">
        <v>71</v>
      </c>
      <c r="AQ50" s="40">
        <v>4</v>
      </c>
      <c r="AR50" s="40">
        <v>5</v>
      </c>
      <c r="AS50" s="40">
        <v>119</v>
      </c>
      <c r="AT50" s="40">
        <v>4924</v>
      </c>
      <c r="AU50" s="40">
        <v>228052</v>
      </c>
      <c r="AV50" s="40">
        <v>128370</v>
      </c>
      <c r="AW50" s="40">
        <v>41554</v>
      </c>
      <c r="AX50" s="40">
        <v>342840</v>
      </c>
      <c r="AY50" s="40">
        <v>0</v>
      </c>
      <c r="AZ50" s="40">
        <v>0</v>
      </c>
      <c r="BA50" s="40">
        <v>14947</v>
      </c>
      <c r="BB50" s="40">
        <v>496</v>
      </c>
      <c r="BC50" s="40">
        <v>261</v>
      </c>
      <c r="BD50" s="40">
        <v>478</v>
      </c>
      <c r="BE50" s="40">
        <v>81</v>
      </c>
      <c r="BF50" s="40">
        <v>0</v>
      </c>
      <c r="BG50" s="40">
        <v>133352</v>
      </c>
      <c r="BH50" s="40">
        <v>0</v>
      </c>
      <c r="BI50" s="40">
        <v>13934</v>
      </c>
      <c r="BJ50" s="40">
        <v>18870</v>
      </c>
      <c r="BK50" s="40">
        <v>4501</v>
      </c>
      <c r="BL50" s="40">
        <v>247671</v>
      </c>
      <c r="BM50" s="40">
        <v>65847</v>
      </c>
      <c r="BN50" s="40">
        <v>210647</v>
      </c>
      <c r="BO50" s="40">
        <v>130010</v>
      </c>
      <c r="BP50" s="40">
        <v>0</v>
      </c>
      <c r="BQ50" s="40">
        <v>7822</v>
      </c>
      <c r="BR50" s="40">
        <v>544062</v>
      </c>
      <c r="BS50" s="40">
        <v>0</v>
      </c>
      <c r="BT50" s="40">
        <v>2161139</v>
      </c>
      <c r="BU50" s="40">
        <v>19405161</v>
      </c>
      <c r="BV50" s="40">
        <v>0</v>
      </c>
      <c r="BW50" s="40">
        <v>0</v>
      </c>
      <c r="BX50" s="40">
        <v>19405161</v>
      </c>
      <c r="BY50" s="40">
        <v>0</v>
      </c>
      <c r="BZ50" s="40">
        <v>0</v>
      </c>
      <c r="CA50" s="40">
        <v>0</v>
      </c>
      <c r="CB50" s="40">
        <v>0</v>
      </c>
      <c r="CC50" s="40">
        <v>0</v>
      </c>
      <c r="CD50" s="40">
        <v>19405161</v>
      </c>
      <c r="CE50" s="40">
        <v>21566300</v>
      </c>
      <c r="CF50" s="41"/>
      <c r="CG50" s="41"/>
      <c r="CH50" s="42"/>
    </row>
    <row r="51" spans="1:86" ht="22.5">
      <c r="A51" s="38">
        <v>45</v>
      </c>
      <c r="B51" s="65" t="s">
        <v>45</v>
      </c>
      <c r="C51" s="39" t="s">
        <v>44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40">
        <v>0</v>
      </c>
      <c r="S51" s="40">
        <v>0</v>
      </c>
      <c r="T51" s="40">
        <v>0</v>
      </c>
      <c r="U51" s="40">
        <v>0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40">
        <v>0</v>
      </c>
      <c r="AI51" s="40">
        <v>0</v>
      </c>
      <c r="AJ51" s="40">
        <v>0</v>
      </c>
      <c r="AK51" s="40">
        <v>0</v>
      </c>
      <c r="AL51" s="40">
        <v>0</v>
      </c>
      <c r="AM51" s="40">
        <v>0</v>
      </c>
      <c r="AN51" s="40">
        <v>0</v>
      </c>
      <c r="AO51" s="40">
        <v>0</v>
      </c>
      <c r="AP51" s="40">
        <v>0</v>
      </c>
      <c r="AQ51" s="40">
        <v>0</v>
      </c>
      <c r="AR51" s="40">
        <v>0</v>
      </c>
      <c r="AS51" s="40">
        <v>0</v>
      </c>
      <c r="AT51" s="40">
        <v>0</v>
      </c>
      <c r="AU51" s="40">
        <v>0</v>
      </c>
      <c r="AV51" s="40">
        <v>0</v>
      </c>
      <c r="AW51" s="40">
        <v>0</v>
      </c>
      <c r="AX51" s="40">
        <v>0</v>
      </c>
      <c r="AY51" s="40">
        <v>0</v>
      </c>
      <c r="AZ51" s="40">
        <v>0</v>
      </c>
      <c r="BA51" s="40">
        <v>0</v>
      </c>
      <c r="BB51" s="40">
        <v>0</v>
      </c>
      <c r="BC51" s="40">
        <v>0</v>
      </c>
      <c r="BD51" s="40">
        <v>0</v>
      </c>
      <c r="BE51" s="40">
        <v>0</v>
      </c>
      <c r="BF51" s="40">
        <v>0</v>
      </c>
      <c r="BG51" s="40">
        <v>0</v>
      </c>
      <c r="BH51" s="40">
        <v>0</v>
      </c>
      <c r="BI51" s="40">
        <v>0</v>
      </c>
      <c r="BJ51" s="40">
        <v>0</v>
      </c>
      <c r="BK51" s="40">
        <v>0</v>
      </c>
      <c r="BL51" s="40">
        <v>0</v>
      </c>
      <c r="BM51" s="40">
        <v>0</v>
      </c>
      <c r="BN51" s="40">
        <v>0</v>
      </c>
      <c r="BO51" s="40">
        <v>0</v>
      </c>
      <c r="BP51" s="40">
        <v>0</v>
      </c>
      <c r="BQ51" s="40">
        <v>0</v>
      </c>
      <c r="BR51" s="40">
        <v>0</v>
      </c>
      <c r="BS51" s="40">
        <v>0</v>
      </c>
      <c r="BT51" s="40">
        <v>0</v>
      </c>
      <c r="BU51" s="40">
        <v>0</v>
      </c>
      <c r="BV51" s="40">
        <v>0</v>
      </c>
      <c r="BW51" s="40">
        <v>0</v>
      </c>
      <c r="BX51" s="40">
        <v>0</v>
      </c>
      <c r="BY51" s="40">
        <v>0</v>
      </c>
      <c r="BZ51" s="40">
        <v>0</v>
      </c>
      <c r="CA51" s="40">
        <v>0</v>
      </c>
      <c r="CB51" s="40">
        <v>0</v>
      </c>
      <c r="CC51" s="40">
        <v>0</v>
      </c>
      <c r="CD51" s="40">
        <v>0</v>
      </c>
      <c r="CE51" s="40">
        <v>0</v>
      </c>
      <c r="CF51" s="41"/>
      <c r="CG51" s="41"/>
      <c r="CH51" s="42"/>
    </row>
    <row r="52" spans="1:86" ht="33.75">
      <c r="A52" s="38">
        <v>46</v>
      </c>
      <c r="B52" s="65" t="s">
        <v>43</v>
      </c>
      <c r="C52" s="39" t="s">
        <v>42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40">
        <v>0</v>
      </c>
      <c r="AJ52" s="40">
        <v>0</v>
      </c>
      <c r="AK52" s="40">
        <v>0</v>
      </c>
      <c r="AL52" s="40">
        <v>0</v>
      </c>
      <c r="AM52" s="40">
        <v>0</v>
      </c>
      <c r="AN52" s="40">
        <v>0</v>
      </c>
      <c r="AO52" s="40">
        <v>0</v>
      </c>
      <c r="AP52" s="40">
        <v>0</v>
      </c>
      <c r="AQ52" s="40">
        <v>0</v>
      </c>
      <c r="AR52" s="40">
        <v>0</v>
      </c>
      <c r="AS52" s="40">
        <v>0</v>
      </c>
      <c r="AT52" s="40">
        <v>0</v>
      </c>
      <c r="AU52" s="40">
        <v>0</v>
      </c>
      <c r="AV52" s="40">
        <v>0</v>
      </c>
      <c r="AW52" s="40">
        <v>0</v>
      </c>
      <c r="AX52" s="40">
        <v>0</v>
      </c>
      <c r="AY52" s="40">
        <v>0</v>
      </c>
      <c r="AZ52" s="40">
        <v>0</v>
      </c>
      <c r="BA52" s="40">
        <v>0</v>
      </c>
      <c r="BB52" s="40">
        <v>0</v>
      </c>
      <c r="BC52" s="40">
        <v>0</v>
      </c>
      <c r="BD52" s="40">
        <v>0</v>
      </c>
      <c r="BE52" s="40">
        <v>0</v>
      </c>
      <c r="BF52" s="40">
        <v>0</v>
      </c>
      <c r="BG52" s="40">
        <v>0</v>
      </c>
      <c r="BH52" s="40">
        <v>0</v>
      </c>
      <c r="BI52" s="40">
        <v>0</v>
      </c>
      <c r="BJ52" s="40">
        <v>0</v>
      </c>
      <c r="BK52" s="40">
        <v>0</v>
      </c>
      <c r="BL52" s="40">
        <v>0</v>
      </c>
      <c r="BM52" s="40">
        <v>0</v>
      </c>
      <c r="BN52" s="40">
        <v>0</v>
      </c>
      <c r="BO52" s="40">
        <v>0</v>
      </c>
      <c r="BP52" s="40">
        <v>0</v>
      </c>
      <c r="BQ52" s="40">
        <v>0</v>
      </c>
      <c r="BR52" s="40">
        <v>0</v>
      </c>
      <c r="BS52" s="40">
        <v>0</v>
      </c>
      <c r="BT52" s="40">
        <v>0</v>
      </c>
      <c r="BU52" s="40">
        <v>0</v>
      </c>
      <c r="BV52" s="40">
        <v>0</v>
      </c>
      <c r="BW52" s="40">
        <v>0</v>
      </c>
      <c r="BX52" s="40">
        <v>0</v>
      </c>
      <c r="BY52" s="40">
        <v>0</v>
      </c>
      <c r="BZ52" s="40">
        <v>0</v>
      </c>
      <c r="CA52" s="40">
        <v>0</v>
      </c>
      <c r="CB52" s="40">
        <v>0</v>
      </c>
      <c r="CC52" s="40">
        <v>0</v>
      </c>
      <c r="CD52" s="40">
        <v>0</v>
      </c>
      <c r="CE52" s="40">
        <v>0</v>
      </c>
      <c r="CF52" s="41"/>
      <c r="CG52" s="41"/>
      <c r="CH52" s="42"/>
    </row>
    <row r="53" spans="1:86" ht="22.5">
      <c r="A53" s="38">
        <v>47</v>
      </c>
      <c r="B53" s="65" t="s">
        <v>41</v>
      </c>
      <c r="C53" s="39" t="s">
        <v>40</v>
      </c>
      <c r="D53" s="40">
        <v>3406318</v>
      </c>
      <c r="E53" s="40">
        <v>94</v>
      </c>
      <c r="F53" s="40">
        <v>0</v>
      </c>
      <c r="G53" s="40">
        <v>29126</v>
      </c>
      <c r="H53" s="40">
        <v>5336182</v>
      </c>
      <c r="I53" s="40">
        <v>-746</v>
      </c>
      <c r="J53" s="40">
        <v>3568</v>
      </c>
      <c r="K53" s="40">
        <v>2724</v>
      </c>
      <c r="L53" s="40">
        <v>8251</v>
      </c>
      <c r="M53" s="40">
        <v>-29081</v>
      </c>
      <c r="N53" s="40">
        <v>181323</v>
      </c>
      <c r="O53" s="40">
        <v>0</v>
      </c>
      <c r="P53" s="40">
        <v>0</v>
      </c>
      <c r="Q53" s="40">
        <v>-1472</v>
      </c>
      <c r="R53" s="40">
        <v>32</v>
      </c>
      <c r="S53" s="40">
        <v>0</v>
      </c>
      <c r="T53" s="40">
        <v>3190</v>
      </c>
      <c r="U53" s="40">
        <v>0</v>
      </c>
      <c r="V53" s="40">
        <v>0</v>
      </c>
      <c r="W53" s="40">
        <v>-546</v>
      </c>
      <c r="X53" s="40">
        <v>550</v>
      </c>
      <c r="Y53" s="40">
        <v>0</v>
      </c>
      <c r="Z53" s="40">
        <v>0</v>
      </c>
      <c r="AA53" s="40">
        <v>10368</v>
      </c>
      <c r="AB53" s="40">
        <v>958</v>
      </c>
      <c r="AC53" s="40">
        <v>0</v>
      </c>
      <c r="AD53" s="40">
        <v>41</v>
      </c>
      <c r="AE53" s="40">
        <v>0</v>
      </c>
      <c r="AF53" s="40">
        <v>8</v>
      </c>
      <c r="AG53" s="40">
        <v>0</v>
      </c>
      <c r="AH53" s="40">
        <v>107</v>
      </c>
      <c r="AI53" s="40">
        <v>0</v>
      </c>
      <c r="AJ53" s="40">
        <v>153</v>
      </c>
      <c r="AK53" s="40">
        <v>239</v>
      </c>
      <c r="AL53" s="40">
        <v>13</v>
      </c>
      <c r="AM53" s="40">
        <v>277</v>
      </c>
      <c r="AN53" s="40">
        <v>0</v>
      </c>
      <c r="AO53" s="40">
        <v>-1127</v>
      </c>
      <c r="AP53" s="40">
        <v>-13543</v>
      </c>
      <c r="AQ53" s="40">
        <v>0</v>
      </c>
      <c r="AR53" s="40">
        <v>690</v>
      </c>
      <c r="AS53" s="40">
        <v>-76284</v>
      </c>
      <c r="AT53" s="40">
        <v>-91731</v>
      </c>
      <c r="AU53" s="40">
        <v>658864</v>
      </c>
      <c r="AV53" s="40">
        <v>8376379</v>
      </c>
      <c r="AW53" s="40">
        <v>2167161</v>
      </c>
      <c r="AX53" s="40">
        <v>-60745</v>
      </c>
      <c r="AY53" s="40">
        <v>27076</v>
      </c>
      <c r="AZ53" s="40">
        <v>0</v>
      </c>
      <c r="BA53" s="40">
        <v>1770538</v>
      </c>
      <c r="BB53" s="40">
        <v>196851</v>
      </c>
      <c r="BC53" s="40">
        <v>-10195</v>
      </c>
      <c r="BD53" s="40">
        <v>-476638</v>
      </c>
      <c r="BE53" s="40">
        <v>-183155</v>
      </c>
      <c r="BF53" s="40">
        <v>-10183</v>
      </c>
      <c r="BG53" s="40">
        <v>186162</v>
      </c>
      <c r="BH53" s="40">
        <v>87394</v>
      </c>
      <c r="BI53" s="40">
        <v>163005</v>
      </c>
      <c r="BJ53" s="40">
        <v>42358635</v>
      </c>
      <c r="BK53" s="40">
        <v>-927446</v>
      </c>
      <c r="BL53" s="40">
        <v>1596433</v>
      </c>
      <c r="BM53" s="40">
        <v>-1783666</v>
      </c>
      <c r="BN53" s="40">
        <v>-1165920</v>
      </c>
      <c r="BO53" s="40">
        <v>-252775</v>
      </c>
      <c r="BP53" s="40">
        <v>-7292</v>
      </c>
      <c r="BQ53" s="40">
        <v>-39362</v>
      </c>
      <c r="BR53" s="40">
        <v>-1217966</v>
      </c>
      <c r="BS53" s="40">
        <v>0</v>
      </c>
      <c r="BT53" s="40">
        <v>60222837</v>
      </c>
      <c r="BU53" s="40">
        <v>-337827561</v>
      </c>
      <c r="BV53" s="40">
        <v>0</v>
      </c>
      <c r="BW53" s="40">
        <v>0</v>
      </c>
      <c r="BX53" s="40">
        <v>-337827561</v>
      </c>
      <c r="BY53" s="40">
        <v>0</v>
      </c>
      <c r="BZ53" s="40">
        <v>0</v>
      </c>
      <c r="CA53" s="40">
        <v>0</v>
      </c>
      <c r="CB53" s="40">
        <v>0</v>
      </c>
      <c r="CC53" s="40">
        <v>0</v>
      </c>
      <c r="CD53" s="40">
        <v>-337827561</v>
      </c>
      <c r="CE53" s="40">
        <v>-277604724</v>
      </c>
      <c r="CF53" s="41"/>
      <c r="CG53" s="41"/>
      <c r="CH53" s="42"/>
    </row>
    <row r="54" spans="1:86">
      <c r="A54" s="38">
        <v>48</v>
      </c>
      <c r="B54" s="65" t="s">
        <v>39</v>
      </c>
      <c r="C54" s="39" t="s">
        <v>38</v>
      </c>
      <c r="D54" s="40">
        <v>0</v>
      </c>
      <c r="E54" s="40">
        <v>0</v>
      </c>
      <c r="F54" s="40">
        <v>1126241</v>
      </c>
      <c r="G54" s="40">
        <v>14</v>
      </c>
      <c r="H54" s="40">
        <v>10190</v>
      </c>
      <c r="I54" s="40">
        <v>474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40">
        <v>0</v>
      </c>
      <c r="U54" s="40">
        <v>0</v>
      </c>
      <c r="V54" s="40">
        <v>2605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40">
        <v>0</v>
      </c>
      <c r="AJ54" s="40">
        <v>0</v>
      </c>
      <c r="AK54" s="40">
        <v>0</v>
      </c>
      <c r="AL54" s="40">
        <v>0</v>
      </c>
      <c r="AM54" s="40">
        <v>0</v>
      </c>
      <c r="AN54" s="40">
        <v>0</v>
      </c>
      <c r="AO54" s="40">
        <v>0</v>
      </c>
      <c r="AP54" s="40">
        <v>0</v>
      </c>
      <c r="AQ54" s="40">
        <v>0</v>
      </c>
      <c r="AR54" s="40">
        <v>0</v>
      </c>
      <c r="AS54" s="40">
        <v>0</v>
      </c>
      <c r="AT54" s="40">
        <v>0</v>
      </c>
      <c r="AU54" s="40">
        <v>0</v>
      </c>
      <c r="AV54" s="40">
        <v>0</v>
      </c>
      <c r="AW54" s="40">
        <v>0</v>
      </c>
      <c r="AX54" s="40">
        <v>0</v>
      </c>
      <c r="AY54" s="40">
        <v>0</v>
      </c>
      <c r="AZ54" s="40">
        <v>0</v>
      </c>
      <c r="BA54" s="40">
        <v>0</v>
      </c>
      <c r="BB54" s="40">
        <v>0</v>
      </c>
      <c r="BC54" s="40">
        <v>0</v>
      </c>
      <c r="BD54" s="40">
        <v>0</v>
      </c>
      <c r="BE54" s="40">
        <v>0</v>
      </c>
      <c r="BF54" s="40">
        <v>0</v>
      </c>
      <c r="BG54" s="40">
        <v>0</v>
      </c>
      <c r="BH54" s="40">
        <v>0</v>
      </c>
      <c r="BI54" s="40">
        <v>0</v>
      </c>
      <c r="BJ54" s="40">
        <v>0</v>
      </c>
      <c r="BK54" s="40">
        <v>0</v>
      </c>
      <c r="BL54" s="40">
        <v>0</v>
      </c>
      <c r="BM54" s="40">
        <v>52</v>
      </c>
      <c r="BN54" s="40">
        <v>0</v>
      </c>
      <c r="BO54" s="40">
        <v>0</v>
      </c>
      <c r="BP54" s="40">
        <v>0</v>
      </c>
      <c r="BQ54" s="40">
        <v>0</v>
      </c>
      <c r="BR54" s="40">
        <v>0</v>
      </c>
      <c r="BS54" s="40">
        <v>0</v>
      </c>
      <c r="BT54" s="40">
        <v>1139576</v>
      </c>
      <c r="BU54" s="40">
        <v>6266</v>
      </c>
      <c r="BV54" s="40">
        <v>0</v>
      </c>
      <c r="BW54" s="40">
        <v>0</v>
      </c>
      <c r="BX54" s="40">
        <v>6266</v>
      </c>
      <c r="BY54" s="40">
        <v>0</v>
      </c>
      <c r="BZ54" s="40">
        <v>0</v>
      </c>
      <c r="CA54" s="40">
        <v>0</v>
      </c>
      <c r="CB54" s="40">
        <v>0</v>
      </c>
      <c r="CC54" s="40">
        <v>0</v>
      </c>
      <c r="CD54" s="40">
        <v>6266</v>
      </c>
      <c r="CE54" s="40">
        <v>1145842</v>
      </c>
      <c r="CF54" s="41"/>
      <c r="CG54" s="41"/>
      <c r="CH54" s="42"/>
    </row>
    <row r="55" spans="1:86">
      <c r="A55" s="38">
        <v>49</v>
      </c>
      <c r="B55" s="65" t="s">
        <v>37</v>
      </c>
      <c r="C55" s="39" t="s">
        <v>36</v>
      </c>
      <c r="D55" s="40">
        <v>0</v>
      </c>
      <c r="E55" s="40">
        <v>0</v>
      </c>
      <c r="F55" s="40">
        <v>0</v>
      </c>
      <c r="G55" s="40">
        <v>-37</v>
      </c>
      <c r="H55" s="40">
        <v>-21507</v>
      </c>
      <c r="I55" s="40">
        <v>-1007</v>
      </c>
      <c r="J55" s="40">
        <v>-10</v>
      </c>
      <c r="K55" s="40">
        <v>-298</v>
      </c>
      <c r="L55" s="40">
        <v>-85</v>
      </c>
      <c r="M55" s="40">
        <v>-718</v>
      </c>
      <c r="N55" s="40">
        <v>1341</v>
      </c>
      <c r="O55" s="40">
        <v>0</v>
      </c>
      <c r="P55" s="40">
        <v>0</v>
      </c>
      <c r="Q55" s="40">
        <v>0</v>
      </c>
      <c r="R55" s="40">
        <v>-2</v>
      </c>
      <c r="S55" s="40">
        <v>0</v>
      </c>
      <c r="T55" s="40">
        <v>0</v>
      </c>
      <c r="U55" s="40">
        <v>0</v>
      </c>
      <c r="V55" s="40">
        <v>0</v>
      </c>
      <c r="W55" s="40">
        <v>0</v>
      </c>
      <c r="X55" s="40">
        <v>-10</v>
      </c>
      <c r="Y55" s="40">
        <v>0</v>
      </c>
      <c r="Z55" s="40">
        <v>0</v>
      </c>
      <c r="AA55" s="40">
        <v>0</v>
      </c>
      <c r="AB55" s="40">
        <v>0</v>
      </c>
      <c r="AC55" s="40">
        <v>0</v>
      </c>
      <c r="AD55" s="40">
        <v>0</v>
      </c>
      <c r="AE55" s="40">
        <v>0</v>
      </c>
      <c r="AF55" s="40">
        <v>0</v>
      </c>
      <c r="AG55" s="40">
        <v>0</v>
      </c>
      <c r="AH55" s="40">
        <v>0</v>
      </c>
      <c r="AI55" s="40">
        <v>0</v>
      </c>
      <c r="AJ55" s="40">
        <v>0</v>
      </c>
      <c r="AK55" s="40">
        <v>0</v>
      </c>
      <c r="AL55" s="40">
        <v>0</v>
      </c>
      <c r="AM55" s="40">
        <v>0</v>
      </c>
      <c r="AN55" s="40">
        <v>7</v>
      </c>
      <c r="AO55" s="40">
        <v>0</v>
      </c>
      <c r="AP55" s="40">
        <v>73</v>
      </c>
      <c r="AQ55" s="40">
        <v>0</v>
      </c>
      <c r="AR55" s="40">
        <v>0</v>
      </c>
      <c r="AS55" s="40">
        <v>0</v>
      </c>
      <c r="AT55" s="40">
        <v>8146</v>
      </c>
      <c r="AU55" s="40">
        <v>39379</v>
      </c>
      <c r="AV55" s="40">
        <v>68380</v>
      </c>
      <c r="AW55" s="40">
        <v>166983</v>
      </c>
      <c r="AX55" s="40">
        <v>0</v>
      </c>
      <c r="AY55" s="40">
        <v>0</v>
      </c>
      <c r="AZ55" s="40">
        <v>-13480</v>
      </c>
      <c r="BA55" s="40">
        <v>78146</v>
      </c>
      <c r="BB55" s="40">
        <v>158033</v>
      </c>
      <c r="BC55" s="40">
        <v>0</v>
      </c>
      <c r="BD55" s="40">
        <v>0</v>
      </c>
      <c r="BE55" s="40">
        <v>-112</v>
      </c>
      <c r="BF55" s="40">
        <v>13641</v>
      </c>
      <c r="BG55" s="40">
        <v>292626</v>
      </c>
      <c r="BH55" s="40">
        <v>0</v>
      </c>
      <c r="BI55" s="40">
        <v>0</v>
      </c>
      <c r="BJ55" s="40">
        <v>2763</v>
      </c>
      <c r="BK55" s="40">
        <v>-19194</v>
      </c>
      <c r="BL55" s="40">
        <v>-18192</v>
      </c>
      <c r="BM55" s="40">
        <v>-992081</v>
      </c>
      <c r="BN55" s="40">
        <v>1585827</v>
      </c>
      <c r="BO55" s="40">
        <v>148430</v>
      </c>
      <c r="BP55" s="40">
        <v>0</v>
      </c>
      <c r="BQ55" s="40">
        <v>743489</v>
      </c>
      <c r="BR55" s="40">
        <v>85864</v>
      </c>
      <c r="BS55" s="40">
        <v>0</v>
      </c>
      <c r="BT55" s="40">
        <v>2326395</v>
      </c>
      <c r="BU55" s="40">
        <v>48219315</v>
      </c>
      <c r="BV55" s="40">
        <v>0</v>
      </c>
      <c r="BW55" s="40">
        <v>0</v>
      </c>
      <c r="BX55" s="40">
        <v>48219315</v>
      </c>
      <c r="BY55" s="40">
        <v>0</v>
      </c>
      <c r="BZ55" s="40">
        <v>0</v>
      </c>
      <c r="CA55" s="40">
        <v>0</v>
      </c>
      <c r="CB55" s="40">
        <v>0</v>
      </c>
      <c r="CC55" s="40">
        <v>0</v>
      </c>
      <c r="CD55" s="40">
        <v>48219315</v>
      </c>
      <c r="CE55" s="40">
        <v>50545710</v>
      </c>
      <c r="CF55" s="41"/>
      <c r="CG55" s="41"/>
      <c r="CH55" s="42"/>
    </row>
    <row r="56" spans="1:86" ht="22.5">
      <c r="A56" s="38">
        <v>50</v>
      </c>
      <c r="B56" s="65" t="s">
        <v>35</v>
      </c>
      <c r="C56" s="39" t="s">
        <v>34</v>
      </c>
      <c r="D56" s="40">
        <v>4316221</v>
      </c>
      <c r="E56" s="40">
        <v>0</v>
      </c>
      <c r="F56" s="40">
        <v>0</v>
      </c>
      <c r="G56" s="40">
        <v>0</v>
      </c>
      <c r="H56" s="40">
        <v>518627</v>
      </c>
      <c r="I56" s="40">
        <v>960</v>
      </c>
      <c r="J56" s="40">
        <v>561</v>
      </c>
      <c r="K56" s="40">
        <v>1113</v>
      </c>
      <c r="L56" s="40">
        <v>2</v>
      </c>
      <c r="M56" s="40">
        <v>0</v>
      </c>
      <c r="N56" s="40">
        <v>1003</v>
      </c>
      <c r="O56" s="40">
        <v>0</v>
      </c>
      <c r="P56" s="40">
        <v>0</v>
      </c>
      <c r="Q56" s="40">
        <v>0</v>
      </c>
      <c r="R56" s="40">
        <v>5</v>
      </c>
      <c r="S56" s="40">
        <v>0</v>
      </c>
      <c r="T56" s="40">
        <v>10</v>
      </c>
      <c r="U56" s="40">
        <v>0</v>
      </c>
      <c r="V56" s="40">
        <v>0</v>
      </c>
      <c r="W56" s="40">
        <v>14558</v>
      </c>
      <c r="X56" s="40">
        <v>0</v>
      </c>
      <c r="Y56" s="40">
        <v>0</v>
      </c>
      <c r="Z56" s="40">
        <v>0</v>
      </c>
      <c r="AA56" s="40">
        <v>54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97</v>
      </c>
      <c r="AO56" s="40">
        <v>0</v>
      </c>
      <c r="AP56" s="40">
        <v>379</v>
      </c>
      <c r="AQ56" s="40">
        <v>0</v>
      </c>
      <c r="AR56" s="40">
        <v>830</v>
      </c>
      <c r="AS56" s="40">
        <v>253</v>
      </c>
      <c r="AT56" s="40">
        <v>25753</v>
      </c>
      <c r="AU56" s="40">
        <v>1163442</v>
      </c>
      <c r="AV56" s="40">
        <v>8886304</v>
      </c>
      <c r="AW56" s="40">
        <v>3379455</v>
      </c>
      <c r="AX56" s="40">
        <v>1146195</v>
      </c>
      <c r="AY56" s="40">
        <v>34050</v>
      </c>
      <c r="AZ56" s="40">
        <v>2</v>
      </c>
      <c r="BA56" s="40">
        <v>399585</v>
      </c>
      <c r="BB56" s="40">
        <v>0</v>
      </c>
      <c r="BC56" s="40">
        <v>23</v>
      </c>
      <c r="BD56" s="40">
        <v>280</v>
      </c>
      <c r="BE56" s="40">
        <v>5458</v>
      </c>
      <c r="BF56" s="40">
        <v>17544</v>
      </c>
      <c r="BG56" s="40">
        <v>57816</v>
      </c>
      <c r="BH56" s="40">
        <v>127709</v>
      </c>
      <c r="BI56" s="40">
        <v>41113</v>
      </c>
      <c r="BJ56" s="40">
        <v>13271</v>
      </c>
      <c r="BK56" s="40">
        <v>424727</v>
      </c>
      <c r="BL56" s="40">
        <v>14813</v>
      </c>
      <c r="BM56" s="40">
        <v>816388</v>
      </c>
      <c r="BN56" s="40">
        <v>191829</v>
      </c>
      <c r="BO56" s="40">
        <v>49408</v>
      </c>
      <c r="BP56" s="40">
        <v>42542</v>
      </c>
      <c r="BQ56" s="40">
        <v>8450</v>
      </c>
      <c r="BR56" s="40">
        <v>0</v>
      </c>
      <c r="BS56" s="40">
        <v>0</v>
      </c>
      <c r="BT56" s="40">
        <v>21700830</v>
      </c>
      <c r="BU56" s="40">
        <v>55771163</v>
      </c>
      <c r="BV56" s="40">
        <v>0</v>
      </c>
      <c r="BW56" s="40">
        <v>0</v>
      </c>
      <c r="BX56" s="40">
        <v>55771163</v>
      </c>
      <c r="BY56" s="40">
        <v>0</v>
      </c>
      <c r="BZ56" s="40">
        <v>0</v>
      </c>
      <c r="CA56" s="40">
        <v>0</v>
      </c>
      <c r="CB56" s="40">
        <v>0</v>
      </c>
      <c r="CC56" s="40">
        <v>0</v>
      </c>
      <c r="CD56" s="40">
        <v>55771163</v>
      </c>
      <c r="CE56" s="40">
        <v>77471993</v>
      </c>
      <c r="CF56" s="41"/>
      <c r="CG56" s="41"/>
      <c r="CH56" s="42"/>
    </row>
    <row r="57" spans="1:86">
      <c r="A57" s="38">
        <v>51</v>
      </c>
      <c r="B57" s="65" t="s">
        <v>33</v>
      </c>
      <c r="C57" s="39" t="s">
        <v>32</v>
      </c>
      <c r="D57" s="40">
        <v>61</v>
      </c>
      <c r="E57" s="40">
        <v>1</v>
      </c>
      <c r="F57" s="40">
        <v>0</v>
      </c>
      <c r="G57" s="40">
        <v>0</v>
      </c>
      <c r="H57" s="40">
        <v>4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196</v>
      </c>
      <c r="O57" s="40">
        <v>0</v>
      </c>
      <c r="P57" s="40">
        <v>0</v>
      </c>
      <c r="Q57" s="40">
        <v>0</v>
      </c>
      <c r="R57" s="40">
        <v>0</v>
      </c>
      <c r="S57" s="40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  <c r="AC57" s="40">
        <v>0</v>
      </c>
      <c r="AD57" s="40">
        <v>0</v>
      </c>
      <c r="AE57" s="40">
        <v>0</v>
      </c>
      <c r="AF57" s="40">
        <v>0</v>
      </c>
      <c r="AG57" s="40">
        <v>0</v>
      </c>
      <c r="AH57" s="40">
        <v>0</v>
      </c>
      <c r="AI57" s="40">
        <v>0</v>
      </c>
      <c r="AJ57" s="40">
        <v>0</v>
      </c>
      <c r="AK57" s="40">
        <v>0</v>
      </c>
      <c r="AL57" s="40">
        <v>0</v>
      </c>
      <c r="AM57" s="40">
        <v>0</v>
      </c>
      <c r="AN57" s="40">
        <v>1</v>
      </c>
      <c r="AO57" s="40">
        <v>1</v>
      </c>
      <c r="AP57" s="40">
        <v>21</v>
      </c>
      <c r="AQ57" s="40">
        <v>0</v>
      </c>
      <c r="AR57" s="40">
        <v>0</v>
      </c>
      <c r="AS57" s="40">
        <v>0</v>
      </c>
      <c r="AT57" s="40">
        <v>175</v>
      </c>
      <c r="AU57" s="40">
        <v>17</v>
      </c>
      <c r="AV57" s="40">
        <v>9504</v>
      </c>
      <c r="AW57" s="40">
        <v>126738</v>
      </c>
      <c r="AX57" s="40">
        <v>8</v>
      </c>
      <c r="AY57" s="40">
        <v>0</v>
      </c>
      <c r="AZ57" s="40">
        <v>0</v>
      </c>
      <c r="BA57" s="40">
        <v>12733</v>
      </c>
      <c r="BB57" s="40">
        <v>2490</v>
      </c>
      <c r="BC57" s="40">
        <v>33</v>
      </c>
      <c r="BD57" s="40">
        <v>845</v>
      </c>
      <c r="BE57" s="40">
        <v>98</v>
      </c>
      <c r="BF57" s="40">
        <v>884</v>
      </c>
      <c r="BG57" s="40">
        <v>125672</v>
      </c>
      <c r="BH57" s="40">
        <v>108255</v>
      </c>
      <c r="BI57" s="40">
        <v>20129</v>
      </c>
      <c r="BJ57" s="40">
        <v>1134</v>
      </c>
      <c r="BK57" s="40">
        <v>900</v>
      </c>
      <c r="BL57" s="40">
        <v>660</v>
      </c>
      <c r="BM57" s="40">
        <v>36328</v>
      </c>
      <c r="BN57" s="40">
        <v>162465</v>
      </c>
      <c r="BO57" s="40">
        <v>191768</v>
      </c>
      <c r="BP57" s="40">
        <v>1031</v>
      </c>
      <c r="BQ57" s="40">
        <v>69</v>
      </c>
      <c r="BR57" s="40">
        <v>103450</v>
      </c>
      <c r="BS57" s="40">
        <v>0</v>
      </c>
      <c r="BT57" s="40">
        <v>905671</v>
      </c>
      <c r="BU57" s="40">
        <v>4641843</v>
      </c>
      <c r="BV57" s="40">
        <v>0</v>
      </c>
      <c r="BW57" s="40">
        <v>0</v>
      </c>
      <c r="BX57" s="40">
        <v>4641843</v>
      </c>
      <c r="BY57" s="40">
        <v>0</v>
      </c>
      <c r="BZ57" s="40">
        <v>0</v>
      </c>
      <c r="CA57" s="40">
        <v>0</v>
      </c>
      <c r="CB57" s="40">
        <v>0</v>
      </c>
      <c r="CC57" s="40">
        <v>0</v>
      </c>
      <c r="CD57" s="40">
        <v>4641843</v>
      </c>
      <c r="CE57" s="40">
        <v>5547514</v>
      </c>
      <c r="CF57" s="41"/>
      <c r="CG57" s="41"/>
      <c r="CH57" s="42"/>
    </row>
    <row r="58" spans="1:86">
      <c r="A58" s="38">
        <v>52</v>
      </c>
      <c r="B58" s="65" t="s">
        <v>31</v>
      </c>
      <c r="C58" s="39" t="s">
        <v>30</v>
      </c>
      <c r="D58" s="40">
        <v>1</v>
      </c>
      <c r="E58" s="40">
        <v>0</v>
      </c>
      <c r="F58" s="40">
        <v>0</v>
      </c>
      <c r="G58" s="40">
        <v>1</v>
      </c>
      <c r="H58" s="40">
        <v>569</v>
      </c>
      <c r="I58" s="40">
        <v>26</v>
      </c>
      <c r="J58" s="40">
        <v>1</v>
      </c>
      <c r="K58" s="40">
        <v>17</v>
      </c>
      <c r="L58" s="40">
        <v>2</v>
      </c>
      <c r="M58" s="40">
        <v>3</v>
      </c>
      <c r="N58" s="40">
        <v>1313</v>
      </c>
      <c r="O58" s="40">
        <v>0</v>
      </c>
      <c r="P58" s="40">
        <v>0</v>
      </c>
      <c r="Q58" s="40">
        <v>1</v>
      </c>
      <c r="R58" s="40">
        <v>0</v>
      </c>
      <c r="S58" s="40">
        <v>0</v>
      </c>
      <c r="T58" s="40">
        <v>0</v>
      </c>
      <c r="U58" s="40">
        <v>0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6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0</v>
      </c>
      <c r="AI58" s="40">
        <v>0</v>
      </c>
      <c r="AJ58" s="40">
        <v>0</v>
      </c>
      <c r="AK58" s="40">
        <v>0</v>
      </c>
      <c r="AL58" s="40">
        <v>0</v>
      </c>
      <c r="AM58" s="40">
        <v>0</v>
      </c>
      <c r="AN58" s="40">
        <v>4</v>
      </c>
      <c r="AO58" s="40">
        <v>113</v>
      </c>
      <c r="AP58" s="40">
        <v>3</v>
      </c>
      <c r="AQ58" s="40">
        <v>0</v>
      </c>
      <c r="AR58" s="40">
        <v>0</v>
      </c>
      <c r="AS58" s="40">
        <v>10</v>
      </c>
      <c r="AT58" s="40">
        <v>166</v>
      </c>
      <c r="AU58" s="40">
        <v>3</v>
      </c>
      <c r="AV58" s="40">
        <v>659</v>
      </c>
      <c r="AW58" s="40">
        <v>1780</v>
      </c>
      <c r="AX58" s="40">
        <v>526</v>
      </c>
      <c r="AY58" s="40">
        <v>552</v>
      </c>
      <c r="AZ58" s="40">
        <v>0</v>
      </c>
      <c r="BA58" s="40">
        <v>440</v>
      </c>
      <c r="BB58" s="40">
        <v>1160</v>
      </c>
      <c r="BC58" s="40">
        <v>37712</v>
      </c>
      <c r="BD58" s="40">
        <v>0</v>
      </c>
      <c r="BE58" s="40">
        <v>14936</v>
      </c>
      <c r="BF58" s="40">
        <v>14662</v>
      </c>
      <c r="BG58" s="40">
        <v>363050</v>
      </c>
      <c r="BH58" s="40">
        <v>152601</v>
      </c>
      <c r="BI58" s="40">
        <v>54361</v>
      </c>
      <c r="BJ58" s="40">
        <v>12440</v>
      </c>
      <c r="BK58" s="40">
        <v>29583</v>
      </c>
      <c r="BL58" s="40">
        <v>15210</v>
      </c>
      <c r="BM58" s="40">
        <v>115373</v>
      </c>
      <c r="BN58" s="40">
        <v>437667</v>
      </c>
      <c r="BO58" s="40">
        <v>1691</v>
      </c>
      <c r="BP58" s="40">
        <v>6</v>
      </c>
      <c r="BQ58" s="40">
        <v>294074</v>
      </c>
      <c r="BR58" s="40">
        <v>5055165</v>
      </c>
      <c r="BS58" s="40">
        <v>0</v>
      </c>
      <c r="BT58" s="40">
        <v>6605887</v>
      </c>
      <c r="BU58" s="40">
        <v>22542848</v>
      </c>
      <c r="BV58" s="40">
        <v>0</v>
      </c>
      <c r="BW58" s="40">
        <v>0</v>
      </c>
      <c r="BX58" s="40">
        <v>22542848</v>
      </c>
      <c r="BY58" s="40">
        <v>0</v>
      </c>
      <c r="BZ58" s="40">
        <v>0</v>
      </c>
      <c r="CA58" s="40">
        <v>0</v>
      </c>
      <c r="CB58" s="40">
        <v>0</v>
      </c>
      <c r="CC58" s="40">
        <v>0</v>
      </c>
      <c r="CD58" s="40">
        <v>22542848</v>
      </c>
      <c r="CE58" s="40">
        <v>29148735</v>
      </c>
      <c r="CF58" s="41"/>
      <c r="CG58" s="41"/>
      <c r="CH58" s="42"/>
    </row>
    <row r="59" spans="1:86" ht="22.5">
      <c r="A59" s="38">
        <v>53</v>
      </c>
      <c r="B59" s="65" t="s">
        <v>29</v>
      </c>
      <c r="C59" s="39" t="s">
        <v>28</v>
      </c>
      <c r="D59" s="40">
        <v>2490</v>
      </c>
      <c r="E59" s="40">
        <v>0</v>
      </c>
      <c r="F59" s="40">
        <v>0</v>
      </c>
      <c r="G59" s="40">
        <v>70</v>
      </c>
      <c r="H59" s="40">
        <v>5563</v>
      </c>
      <c r="I59" s="40">
        <v>255</v>
      </c>
      <c r="J59" s="40">
        <v>4</v>
      </c>
      <c r="K59" s="40">
        <v>34</v>
      </c>
      <c r="L59" s="40">
        <v>250</v>
      </c>
      <c r="M59" s="40">
        <v>29</v>
      </c>
      <c r="N59" s="40">
        <v>3418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41</v>
      </c>
      <c r="X59" s="40">
        <v>0</v>
      </c>
      <c r="Y59" s="40">
        <v>0</v>
      </c>
      <c r="Z59" s="40">
        <v>0</v>
      </c>
      <c r="AA59" s="40">
        <v>8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40">
        <v>0</v>
      </c>
      <c r="AH59" s="40">
        <v>0</v>
      </c>
      <c r="AI59" s="40">
        <v>0</v>
      </c>
      <c r="AJ59" s="40">
        <v>0</v>
      </c>
      <c r="AK59" s="40">
        <v>0</v>
      </c>
      <c r="AL59" s="40">
        <v>0</v>
      </c>
      <c r="AM59" s="40">
        <v>0</v>
      </c>
      <c r="AN59" s="40">
        <v>3</v>
      </c>
      <c r="AO59" s="40">
        <v>76</v>
      </c>
      <c r="AP59" s="40">
        <v>46</v>
      </c>
      <c r="AQ59" s="40">
        <v>0</v>
      </c>
      <c r="AR59" s="40">
        <v>2</v>
      </c>
      <c r="AS59" s="40">
        <v>12</v>
      </c>
      <c r="AT59" s="40">
        <v>46497</v>
      </c>
      <c r="AU59" s="40">
        <v>0</v>
      </c>
      <c r="AV59" s="40">
        <v>44621</v>
      </c>
      <c r="AW59" s="40">
        <v>49807</v>
      </c>
      <c r="AX59" s="40">
        <v>1933</v>
      </c>
      <c r="AY59" s="40">
        <v>4694</v>
      </c>
      <c r="AZ59" s="40">
        <v>0</v>
      </c>
      <c r="BA59" s="40">
        <v>262</v>
      </c>
      <c r="BB59" s="40">
        <v>0</v>
      </c>
      <c r="BC59" s="40">
        <v>172281</v>
      </c>
      <c r="BD59" s="40">
        <v>0</v>
      </c>
      <c r="BE59" s="40">
        <v>751</v>
      </c>
      <c r="BF59" s="40">
        <v>13461</v>
      </c>
      <c r="BG59" s="40">
        <v>165083</v>
      </c>
      <c r="BH59" s="40">
        <v>0</v>
      </c>
      <c r="BI59" s="40">
        <v>0</v>
      </c>
      <c r="BJ59" s="40">
        <v>124103</v>
      </c>
      <c r="BK59" s="40">
        <v>51562</v>
      </c>
      <c r="BL59" s="40">
        <v>24504</v>
      </c>
      <c r="BM59" s="40">
        <v>306151</v>
      </c>
      <c r="BN59" s="40">
        <v>3670873</v>
      </c>
      <c r="BO59" s="40">
        <v>86020</v>
      </c>
      <c r="BP59" s="40">
        <v>30938</v>
      </c>
      <c r="BQ59" s="40">
        <v>1411908</v>
      </c>
      <c r="BR59" s="40">
        <v>170364</v>
      </c>
      <c r="BS59" s="40">
        <v>0</v>
      </c>
      <c r="BT59" s="40">
        <v>6388114</v>
      </c>
      <c r="BU59" s="40">
        <v>141959317</v>
      </c>
      <c r="BV59" s="40">
        <v>0</v>
      </c>
      <c r="BW59" s="40">
        <v>0</v>
      </c>
      <c r="BX59" s="40">
        <v>141959317</v>
      </c>
      <c r="BY59" s="40">
        <v>0</v>
      </c>
      <c r="BZ59" s="40">
        <v>0</v>
      </c>
      <c r="CA59" s="40">
        <v>0</v>
      </c>
      <c r="CB59" s="40">
        <v>0</v>
      </c>
      <c r="CC59" s="40">
        <v>0</v>
      </c>
      <c r="CD59" s="40">
        <v>141959317</v>
      </c>
      <c r="CE59" s="40">
        <v>148347431</v>
      </c>
      <c r="CF59" s="41"/>
      <c r="CG59" s="41"/>
      <c r="CH59" s="42"/>
    </row>
    <row r="60" spans="1:86" ht="24.75" customHeight="1">
      <c r="A60" s="38">
        <v>54</v>
      </c>
      <c r="B60" s="67" t="s">
        <v>198</v>
      </c>
      <c r="C60" s="39" t="s">
        <v>161</v>
      </c>
      <c r="D60" s="40">
        <v>5409</v>
      </c>
      <c r="E60" s="40">
        <v>10</v>
      </c>
      <c r="F60" s="40">
        <v>0</v>
      </c>
      <c r="G60" s="40">
        <v>0</v>
      </c>
      <c r="H60" s="40">
        <v>4768</v>
      </c>
      <c r="I60" s="40">
        <v>212</v>
      </c>
      <c r="J60" s="40">
        <v>0</v>
      </c>
      <c r="K60" s="40">
        <v>14</v>
      </c>
      <c r="L60" s="40">
        <v>12</v>
      </c>
      <c r="M60" s="40">
        <v>4</v>
      </c>
      <c r="N60" s="40">
        <v>2219</v>
      </c>
      <c r="O60" s="40">
        <v>0</v>
      </c>
      <c r="P60" s="40">
        <v>0</v>
      </c>
      <c r="Q60" s="40">
        <v>5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9913</v>
      </c>
      <c r="X60" s="40">
        <v>0</v>
      </c>
      <c r="Y60" s="40">
        <v>22945</v>
      </c>
      <c r="Z60" s="40">
        <v>0</v>
      </c>
      <c r="AA60" s="40">
        <v>144</v>
      </c>
      <c r="AB60" s="40">
        <v>0</v>
      </c>
      <c r="AC60" s="40">
        <v>0</v>
      </c>
      <c r="AD60" s="40">
        <v>0</v>
      </c>
      <c r="AE60" s="40">
        <v>0</v>
      </c>
      <c r="AF60" s="40">
        <v>0</v>
      </c>
      <c r="AG60" s="40">
        <v>0</v>
      </c>
      <c r="AH60" s="40">
        <v>0</v>
      </c>
      <c r="AI60" s="40">
        <v>0</v>
      </c>
      <c r="AJ60" s="40">
        <v>0</v>
      </c>
      <c r="AK60" s="40">
        <v>1</v>
      </c>
      <c r="AL60" s="40">
        <v>0</v>
      </c>
      <c r="AM60" s="40">
        <v>0</v>
      </c>
      <c r="AN60" s="40">
        <v>43</v>
      </c>
      <c r="AO60" s="40">
        <v>28</v>
      </c>
      <c r="AP60" s="40">
        <v>747</v>
      </c>
      <c r="AQ60" s="40">
        <v>131</v>
      </c>
      <c r="AR60" s="40">
        <v>3</v>
      </c>
      <c r="AS60" s="40">
        <v>5</v>
      </c>
      <c r="AT60" s="40">
        <v>4265</v>
      </c>
      <c r="AU60" s="40">
        <v>12</v>
      </c>
      <c r="AV60" s="40">
        <v>498144</v>
      </c>
      <c r="AW60" s="40">
        <v>315270</v>
      </c>
      <c r="AX60" s="40">
        <v>2152</v>
      </c>
      <c r="AY60" s="40">
        <v>340</v>
      </c>
      <c r="AZ60" s="40">
        <v>3</v>
      </c>
      <c r="BA60" s="40">
        <v>7316</v>
      </c>
      <c r="BB60" s="40">
        <v>406</v>
      </c>
      <c r="BC60" s="40">
        <v>10887</v>
      </c>
      <c r="BD60" s="40">
        <v>329238</v>
      </c>
      <c r="BE60" s="40">
        <v>707228</v>
      </c>
      <c r="BF60" s="40">
        <v>153627</v>
      </c>
      <c r="BG60" s="40">
        <v>8331685</v>
      </c>
      <c r="BH60" s="40">
        <v>7878457</v>
      </c>
      <c r="BI60" s="40">
        <v>1193710</v>
      </c>
      <c r="BJ60" s="40">
        <v>610683</v>
      </c>
      <c r="BK60" s="40">
        <v>435560</v>
      </c>
      <c r="BL60" s="40">
        <v>25663</v>
      </c>
      <c r="BM60" s="40">
        <v>4954524</v>
      </c>
      <c r="BN60" s="40">
        <v>10675031</v>
      </c>
      <c r="BO60" s="40">
        <v>1471542</v>
      </c>
      <c r="BP60" s="40">
        <v>40177</v>
      </c>
      <c r="BQ60" s="40">
        <v>1233425</v>
      </c>
      <c r="BR60" s="40">
        <v>1179721</v>
      </c>
      <c r="BS60" s="40">
        <v>0</v>
      </c>
      <c r="BT60" s="40">
        <v>40105679</v>
      </c>
      <c r="BU60" s="40">
        <v>3892489</v>
      </c>
      <c r="BV60" s="40">
        <v>0</v>
      </c>
      <c r="BW60" s="40">
        <v>0</v>
      </c>
      <c r="BX60" s="40">
        <v>3892489</v>
      </c>
      <c r="BY60" s="40">
        <v>2455162</v>
      </c>
      <c r="BZ60" s="40">
        <v>0</v>
      </c>
      <c r="CA60" s="40">
        <v>0</v>
      </c>
      <c r="CB60" s="40">
        <v>2455162</v>
      </c>
      <c r="CC60" s="40">
        <v>460</v>
      </c>
      <c r="CD60" s="40">
        <v>6348111</v>
      </c>
      <c r="CE60" s="40">
        <v>46453790</v>
      </c>
      <c r="CF60" s="41"/>
      <c r="CG60" s="41"/>
      <c r="CH60" s="42"/>
    </row>
    <row r="61" spans="1:86">
      <c r="A61" s="38">
        <v>55</v>
      </c>
      <c r="B61" s="65" t="s">
        <v>27</v>
      </c>
      <c r="C61" s="39" t="s">
        <v>26</v>
      </c>
      <c r="D61" s="40">
        <v>2102</v>
      </c>
      <c r="E61" s="40">
        <v>1</v>
      </c>
      <c r="F61" s="40">
        <v>19</v>
      </c>
      <c r="G61" s="40">
        <v>-2</v>
      </c>
      <c r="H61" s="40">
        <v>-285</v>
      </c>
      <c r="I61" s="40">
        <v>-13</v>
      </c>
      <c r="J61" s="40">
        <v>-3</v>
      </c>
      <c r="K61" s="40">
        <v>-3</v>
      </c>
      <c r="L61" s="40">
        <v>-1</v>
      </c>
      <c r="M61" s="40">
        <v>-6</v>
      </c>
      <c r="N61" s="40">
        <v>1309</v>
      </c>
      <c r="O61" s="40">
        <v>-9</v>
      </c>
      <c r="P61" s="40">
        <v>0</v>
      </c>
      <c r="Q61" s="40">
        <v>-1</v>
      </c>
      <c r="R61" s="40">
        <v>0</v>
      </c>
      <c r="S61" s="40">
        <v>0</v>
      </c>
      <c r="T61" s="40">
        <v>-2</v>
      </c>
      <c r="U61" s="40">
        <v>0</v>
      </c>
      <c r="V61" s="40">
        <v>0</v>
      </c>
      <c r="W61" s="40">
        <v>0</v>
      </c>
      <c r="X61" s="40">
        <v>-3</v>
      </c>
      <c r="Y61" s="40">
        <v>25</v>
      </c>
      <c r="Z61" s="40">
        <v>0</v>
      </c>
      <c r="AA61" s="40">
        <v>-9</v>
      </c>
      <c r="AB61" s="40">
        <v>-5</v>
      </c>
      <c r="AC61" s="40">
        <v>0</v>
      </c>
      <c r="AD61" s="40">
        <v>0</v>
      </c>
      <c r="AE61" s="40">
        <v>-63</v>
      </c>
      <c r="AF61" s="40">
        <v>0</v>
      </c>
      <c r="AG61" s="40">
        <v>-2</v>
      </c>
      <c r="AH61" s="40">
        <v>0</v>
      </c>
      <c r="AI61" s="40">
        <v>-1</v>
      </c>
      <c r="AJ61" s="40">
        <v>-1</v>
      </c>
      <c r="AK61" s="40">
        <v>-1</v>
      </c>
      <c r="AL61" s="40">
        <v>-1</v>
      </c>
      <c r="AM61" s="40">
        <v>3</v>
      </c>
      <c r="AN61" s="40">
        <v>4</v>
      </c>
      <c r="AO61" s="40">
        <v>-252</v>
      </c>
      <c r="AP61" s="40">
        <v>-23</v>
      </c>
      <c r="AQ61" s="40">
        <v>0</v>
      </c>
      <c r="AR61" s="40">
        <v>-2</v>
      </c>
      <c r="AS61" s="40">
        <v>22</v>
      </c>
      <c r="AT61" s="40">
        <v>1850</v>
      </c>
      <c r="AU61" s="40">
        <v>328</v>
      </c>
      <c r="AV61" s="40">
        <v>4387</v>
      </c>
      <c r="AW61" s="40">
        <v>14092</v>
      </c>
      <c r="AX61" s="40">
        <v>20</v>
      </c>
      <c r="AY61" s="40">
        <v>770</v>
      </c>
      <c r="AZ61" s="40">
        <v>-44</v>
      </c>
      <c r="BA61" s="40">
        <v>918</v>
      </c>
      <c r="BB61" s="40">
        <v>32</v>
      </c>
      <c r="BC61" s="40">
        <v>7063</v>
      </c>
      <c r="BD61" s="40">
        <v>2950</v>
      </c>
      <c r="BE61" s="40">
        <v>7590</v>
      </c>
      <c r="BF61" s="40">
        <v>549926</v>
      </c>
      <c r="BG61" s="40">
        <v>2681418</v>
      </c>
      <c r="BH61" s="40">
        <v>1823725</v>
      </c>
      <c r="BI61" s="40">
        <v>893179</v>
      </c>
      <c r="BJ61" s="40">
        <v>33458</v>
      </c>
      <c r="BK61" s="40">
        <v>13456</v>
      </c>
      <c r="BL61" s="40">
        <v>2525</v>
      </c>
      <c r="BM61" s="40">
        <v>999122</v>
      </c>
      <c r="BN61" s="40">
        <v>3792389</v>
      </c>
      <c r="BO61" s="40">
        <v>722226</v>
      </c>
      <c r="BP61" s="40">
        <v>23650</v>
      </c>
      <c r="BQ61" s="40">
        <v>4613</v>
      </c>
      <c r="BR61" s="40">
        <v>166779</v>
      </c>
      <c r="BS61" s="40">
        <v>0</v>
      </c>
      <c r="BT61" s="40">
        <v>11749219</v>
      </c>
      <c r="BU61" s="40">
        <v>102836407</v>
      </c>
      <c r="BV61" s="40">
        <v>0</v>
      </c>
      <c r="BW61" s="40">
        <v>0</v>
      </c>
      <c r="BX61" s="40">
        <v>102836407</v>
      </c>
      <c r="BY61" s="40">
        <v>0</v>
      </c>
      <c r="BZ61" s="40">
        <v>0</v>
      </c>
      <c r="CA61" s="40">
        <v>0</v>
      </c>
      <c r="CB61" s="40">
        <v>0</v>
      </c>
      <c r="CC61" s="40">
        <v>0</v>
      </c>
      <c r="CD61" s="40">
        <v>102836407</v>
      </c>
      <c r="CE61" s="40">
        <v>114585626</v>
      </c>
      <c r="CF61" s="41"/>
      <c r="CG61" s="41"/>
      <c r="CH61" s="42"/>
    </row>
    <row r="62" spans="1:86" ht="22.5">
      <c r="A62" s="38">
        <v>56</v>
      </c>
      <c r="B62" s="65" t="s">
        <v>25</v>
      </c>
      <c r="C62" s="39" t="s">
        <v>24</v>
      </c>
      <c r="D62" s="40">
        <v>0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T62" s="40">
        <v>0</v>
      </c>
      <c r="U62" s="40">
        <v>0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0</v>
      </c>
      <c r="AC62" s="40">
        <v>0</v>
      </c>
      <c r="AD62" s="40">
        <v>0</v>
      </c>
      <c r="AE62" s="40">
        <v>0</v>
      </c>
      <c r="AF62" s="40">
        <v>0</v>
      </c>
      <c r="AG62" s="40">
        <v>0</v>
      </c>
      <c r="AH62" s="40">
        <v>0</v>
      </c>
      <c r="AI62" s="40">
        <v>0</v>
      </c>
      <c r="AJ62" s="40">
        <v>0</v>
      </c>
      <c r="AK62" s="40">
        <v>0</v>
      </c>
      <c r="AL62" s="40">
        <v>0</v>
      </c>
      <c r="AM62" s="40">
        <v>0</v>
      </c>
      <c r="AN62" s="40">
        <v>0</v>
      </c>
      <c r="AO62" s="40">
        <v>0</v>
      </c>
      <c r="AP62" s="40">
        <v>0</v>
      </c>
      <c r="AQ62" s="40">
        <v>0</v>
      </c>
      <c r="AR62" s="40">
        <v>0</v>
      </c>
      <c r="AS62" s="40">
        <v>0</v>
      </c>
      <c r="AT62" s="40">
        <v>0</v>
      </c>
      <c r="AU62" s="40">
        <v>0</v>
      </c>
      <c r="AV62" s="40">
        <v>0</v>
      </c>
      <c r="AW62" s="40">
        <v>0</v>
      </c>
      <c r="AX62" s="40">
        <v>0</v>
      </c>
      <c r="AY62" s="40">
        <v>0</v>
      </c>
      <c r="AZ62" s="40">
        <v>0</v>
      </c>
      <c r="BA62" s="40">
        <v>0</v>
      </c>
      <c r="BB62" s="40">
        <v>0</v>
      </c>
      <c r="BC62" s="40">
        <v>0</v>
      </c>
      <c r="BD62" s="40">
        <v>0</v>
      </c>
      <c r="BE62" s="40">
        <v>0</v>
      </c>
      <c r="BF62" s="40">
        <v>0</v>
      </c>
      <c r="BG62" s="40">
        <v>0</v>
      </c>
      <c r="BH62" s="40">
        <v>0</v>
      </c>
      <c r="BI62" s="40">
        <v>0</v>
      </c>
      <c r="BJ62" s="40">
        <v>0</v>
      </c>
      <c r="BK62" s="40">
        <v>0</v>
      </c>
      <c r="BL62" s="40">
        <v>0</v>
      </c>
      <c r="BM62" s="40">
        <v>0</v>
      </c>
      <c r="BN62" s="40">
        <v>0</v>
      </c>
      <c r="BO62" s="40">
        <v>0</v>
      </c>
      <c r="BP62" s="40">
        <v>0</v>
      </c>
      <c r="BQ62" s="40">
        <v>0</v>
      </c>
      <c r="BR62" s="40">
        <v>0</v>
      </c>
      <c r="BS62" s="40">
        <v>0</v>
      </c>
      <c r="BT62" s="40">
        <v>0</v>
      </c>
      <c r="BU62" s="40">
        <v>0</v>
      </c>
      <c r="BV62" s="40">
        <v>0</v>
      </c>
      <c r="BW62" s="40">
        <v>0</v>
      </c>
      <c r="BX62" s="40">
        <v>0</v>
      </c>
      <c r="BY62" s="40">
        <v>0</v>
      </c>
      <c r="BZ62" s="40">
        <v>0</v>
      </c>
      <c r="CA62" s="40">
        <v>0</v>
      </c>
      <c r="CB62" s="40">
        <v>0</v>
      </c>
      <c r="CC62" s="40">
        <v>0</v>
      </c>
      <c r="CD62" s="40">
        <v>0</v>
      </c>
      <c r="CE62" s="40">
        <v>0</v>
      </c>
      <c r="CF62" s="41"/>
      <c r="CG62" s="41"/>
      <c r="CH62" s="42"/>
    </row>
    <row r="63" spans="1:86" ht="45">
      <c r="A63" s="38">
        <v>57</v>
      </c>
      <c r="B63" s="65" t="s">
        <v>23</v>
      </c>
      <c r="C63" s="39" t="s">
        <v>138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0</v>
      </c>
      <c r="Q63" s="40">
        <v>0</v>
      </c>
      <c r="R63" s="40">
        <v>0</v>
      </c>
      <c r="S63" s="40">
        <v>0</v>
      </c>
      <c r="T63" s="40">
        <v>0</v>
      </c>
      <c r="U63" s="40">
        <v>0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0</v>
      </c>
      <c r="AC63" s="40">
        <v>0</v>
      </c>
      <c r="AD63" s="40">
        <v>0</v>
      </c>
      <c r="AE63" s="40">
        <v>0</v>
      </c>
      <c r="AF63" s="40">
        <v>0</v>
      </c>
      <c r="AG63" s="40">
        <v>0</v>
      </c>
      <c r="AH63" s="40">
        <v>0</v>
      </c>
      <c r="AI63" s="40">
        <v>0</v>
      </c>
      <c r="AJ63" s="40">
        <v>0</v>
      </c>
      <c r="AK63" s="40">
        <v>0</v>
      </c>
      <c r="AL63" s="40">
        <v>0</v>
      </c>
      <c r="AM63" s="40">
        <v>0</v>
      </c>
      <c r="AN63" s="40">
        <v>0</v>
      </c>
      <c r="AO63" s="40">
        <v>0</v>
      </c>
      <c r="AP63" s="40">
        <v>0</v>
      </c>
      <c r="AQ63" s="40">
        <v>0</v>
      </c>
      <c r="AR63" s="40">
        <v>0</v>
      </c>
      <c r="AS63" s="40">
        <v>0</v>
      </c>
      <c r="AT63" s="40">
        <v>0</v>
      </c>
      <c r="AU63" s="40">
        <v>0</v>
      </c>
      <c r="AV63" s="40">
        <v>0</v>
      </c>
      <c r="AW63" s="40">
        <v>0</v>
      </c>
      <c r="AX63" s="40">
        <v>0</v>
      </c>
      <c r="AY63" s="40">
        <v>0</v>
      </c>
      <c r="AZ63" s="40">
        <v>0</v>
      </c>
      <c r="BA63" s="40">
        <v>0</v>
      </c>
      <c r="BB63" s="40">
        <v>0</v>
      </c>
      <c r="BC63" s="40">
        <v>0</v>
      </c>
      <c r="BD63" s="40">
        <v>0</v>
      </c>
      <c r="BE63" s="40">
        <v>0</v>
      </c>
      <c r="BF63" s="40">
        <v>0</v>
      </c>
      <c r="BG63" s="40">
        <v>0</v>
      </c>
      <c r="BH63" s="40">
        <v>0</v>
      </c>
      <c r="BI63" s="40">
        <v>0</v>
      </c>
      <c r="BJ63" s="40">
        <v>0</v>
      </c>
      <c r="BK63" s="40">
        <v>0</v>
      </c>
      <c r="BL63" s="40">
        <v>0</v>
      </c>
      <c r="BM63" s="40">
        <v>0</v>
      </c>
      <c r="BN63" s="40">
        <v>0</v>
      </c>
      <c r="BO63" s="40">
        <v>0</v>
      </c>
      <c r="BP63" s="40">
        <v>0</v>
      </c>
      <c r="BQ63" s="40">
        <v>0</v>
      </c>
      <c r="BR63" s="40">
        <v>0</v>
      </c>
      <c r="BS63" s="40">
        <v>0</v>
      </c>
      <c r="BT63" s="40">
        <v>0</v>
      </c>
      <c r="BU63" s="40">
        <v>0</v>
      </c>
      <c r="BV63" s="40">
        <v>0</v>
      </c>
      <c r="BW63" s="40">
        <v>0</v>
      </c>
      <c r="BX63" s="40">
        <v>0</v>
      </c>
      <c r="BY63" s="40">
        <v>0</v>
      </c>
      <c r="BZ63" s="40">
        <v>0</v>
      </c>
      <c r="CA63" s="40">
        <v>0</v>
      </c>
      <c r="CB63" s="40">
        <v>0</v>
      </c>
      <c r="CC63" s="40">
        <v>0</v>
      </c>
      <c r="CD63" s="40">
        <v>0</v>
      </c>
      <c r="CE63" s="40">
        <v>0</v>
      </c>
      <c r="CF63" s="41"/>
      <c r="CG63" s="41"/>
      <c r="CH63" s="42"/>
    </row>
    <row r="64" spans="1:86" ht="33.75">
      <c r="A64" s="38">
        <v>58</v>
      </c>
      <c r="B64" s="65" t="s">
        <v>22</v>
      </c>
      <c r="C64" s="39" t="s">
        <v>139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T64" s="40">
        <v>0</v>
      </c>
      <c r="U64" s="40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40">
        <v>0</v>
      </c>
      <c r="AJ64" s="40">
        <v>0</v>
      </c>
      <c r="AK64" s="40">
        <v>0</v>
      </c>
      <c r="AL64" s="40">
        <v>0</v>
      </c>
      <c r="AM64" s="40">
        <v>0</v>
      </c>
      <c r="AN64" s="40">
        <v>0</v>
      </c>
      <c r="AO64" s="40">
        <v>0</v>
      </c>
      <c r="AP64" s="40">
        <v>0</v>
      </c>
      <c r="AQ64" s="40">
        <v>0</v>
      </c>
      <c r="AR64" s="40">
        <v>0</v>
      </c>
      <c r="AS64" s="40">
        <v>0</v>
      </c>
      <c r="AT64" s="40">
        <v>0</v>
      </c>
      <c r="AU64" s="40">
        <v>0</v>
      </c>
      <c r="AV64" s="40">
        <v>0</v>
      </c>
      <c r="AW64" s="40">
        <v>0</v>
      </c>
      <c r="AX64" s="40">
        <v>0</v>
      </c>
      <c r="AY64" s="40">
        <v>0</v>
      </c>
      <c r="AZ64" s="40">
        <v>0</v>
      </c>
      <c r="BA64" s="40">
        <v>0</v>
      </c>
      <c r="BB64" s="40">
        <v>0</v>
      </c>
      <c r="BC64" s="40">
        <v>0</v>
      </c>
      <c r="BD64" s="40">
        <v>0</v>
      </c>
      <c r="BE64" s="40">
        <v>0</v>
      </c>
      <c r="BF64" s="40">
        <v>0</v>
      </c>
      <c r="BG64" s="40">
        <v>0</v>
      </c>
      <c r="BH64" s="40">
        <v>0</v>
      </c>
      <c r="BI64" s="40">
        <v>0</v>
      </c>
      <c r="BJ64" s="40">
        <v>0</v>
      </c>
      <c r="BK64" s="40">
        <v>0</v>
      </c>
      <c r="BL64" s="40">
        <v>0</v>
      </c>
      <c r="BM64" s="40">
        <v>0</v>
      </c>
      <c r="BN64" s="40">
        <v>0</v>
      </c>
      <c r="BO64" s="40">
        <v>0</v>
      </c>
      <c r="BP64" s="40">
        <v>0</v>
      </c>
      <c r="BQ64" s="40">
        <v>0</v>
      </c>
      <c r="BR64" s="40">
        <v>0</v>
      </c>
      <c r="BS64" s="40">
        <v>0</v>
      </c>
      <c r="BT64" s="40">
        <v>0</v>
      </c>
      <c r="BU64" s="40">
        <v>0</v>
      </c>
      <c r="BV64" s="40">
        <v>0</v>
      </c>
      <c r="BW64" s="40">
        <v>0</v>
      </c>
      <c r="BX64" s="40">
        <v>0</v>
      </c>
      <c r="BY64" s="40">
        <v>0</v>
      </c>
      <c r="BZ64" s="40">
        <v>0</v>
      </c>
      <c r="CA64" s="40">
        <v>0</v>
      </c>
      <c r="CB64" s="40">
        <v>0</v>
      </c>
      <c r="CC64" s="40">
        <v>0</v>
      </c>
      <c r="CD64" s="40">
        <v>0</v>
      </c>
      <c r="CE64" s="40">
        <v>0</v>
      </c>
      <c r="CF64" s="41"/>
      <c r="CG64" s="41"/>
      <c r="CH64" s="42"/>
    </row>
    <row r="65" spans="1:86" ht="22.5">
      <c r="A65" s="38">
        <v>59</v>
      </c>
      <c r="B65" s="65" t="s">
        <v>21</v>
      </c>
      <c r="C65" s="39" t="s">
        <v>20</v>
      </c>
      <c r="D65" s="40">
        <v>71600</v>
      </c>
      <c r="E65" s="40">
        <v>1</v>
      </c>
      <c r="F65" s="40">
        <v>0</v>
      </c>
      <c r="G65" s="40">
        <v>15</v>
      </c>
      <c r="H65" s="40">
        <v>2330</v>
      </c>
      <c r="I65" s="40">
        <v>108</v>
      </c>
      <c r="J65" s="40">
        <v>29</v>
      </c>
      <c r="K65" s="40">
        <v>68</v>
      </c>
      <c r="L65" s="40">
        <v>247</v>
      </c>
      <c r="M65" s="40">
        <v>293</v>
      </c>
      <c r="N65" s="40">
        <v>23348</v>
      </c>
      <c r="O65" s="40">
        <v>21980</v>
      </c>
      <c r="P65" s="40">
        <v>0</v>
      </c>
      <c r="Q65" s="40">
        <v>53</v>
      </c>
      <c r="R65" s="40">
        <v>1</v>
      </c>
      <c r="S65" s="40">
        <v>0</v>
      </c>
      <c r="T65" s="40">
        <v>1262</v>
      </c>
      <c r="U65" s="40">
        <v>0</v>
      </c>
      <c r="V65" s="40">
        <v>0</v>
      </c>
      <c r="W65" s="40">
        <v>16</v>
      </c>
      <c r="X65" s="40">
        <v>0</v>
      </c>
      <c r="Y65" s="40">
        <v>5484</v>
      </c>
      <c r="Z65" s="40">
        <v>114</v>
      </c>
      <c r="AA65" s="40">
        <v>552</v>
      </c>
      <c r="AB65" s="40">
        <v>0</v>
      </c>
      <c r="AC65" s="40">
        <v>0</v>
      </c>
      <c r="AD65" s="40">
        <v>0</v>
      </c>
      <c r="AE65" s="40">
        <v>0</v>
      </c>
      <c r="AF65" s="40">
        <v>0</v>
      </c>
      <c r="AG65" s="40">
        <v>0</v>
      </c>
      <c r="AH65" s="40">
        <v>37</v>
      </c>
      <c r="AI65" s="40">
        <v>0</v>
      </c>
      <c r="AJ65" s="40">
        <v>0</v>
      </c>
      <c r="AK65" s="40">
        <v>0</v>
      </c>
      <c r="AL65" s="40">
        <v>0</v>
      </c>
      <c r="AM65" s="40">
        <v>687</v>
      </c>
      <c r="AN65" s="40">
        <v>73</v>
      </c>
      <c r="AO65" s="40">
        <v>1389</v>
      </c>
      <c r="AP65" s="40">
        <v>682</v>
      </c>
      <c r="AQ65" s="40">
        <v>27</v>
      </c>
      <c r="AR65" s="40">
        <v>125</v>
      </c>
      <c r="AS65" s="40">
        <v>1783</v>
      </c>
      <c r="AT65" s="40">
        <v>78607</v>
      </c>
      <c r="AU65" s="40">
        <v>307263</v>
      </c>
      <c r="AV65" s="40">
        <v>1341524</v>
      </c>
      <c r="AW65" s="40">
        <v>3349720</v>
      </c>
      <c r="AX65" s="40">
        <v>13951</v>
      </c>
      <c r="AY65" s="40">
        <v>326</v>
      </c>
      <c r="AZ65" s="40">
        <v>0</v>
      </c>
      <c r="BA65" s="40">
        <v>78863</v>
      </c>
      <c r="BB65" s="40">
        <v>9579</v>
      </c>
      <c r="BC65" s="40">
        <v>233423</v>
      </c>
      <c r="BD65" s="40">
        <v>228953</v>
      </c>
      <c r="BE65" s="40">
        <v>2684998</v>
      </c>
      <c r="BF65" s="40">
        <v>264447</v>
      </c>
      <c r="BG65" s="40">
        <v>12901968</v>
      </c>
      <c r="BH65" s="40">
        <v>12615605</v>
      </c>
      <c r="BI65" s="40">
        <v>9805332</v>
      </c>
      <c r="BJ65" s="40">
        <v>7119488</v>
      </c>
      <c r="BK65" s="40">
        <v>989813</v>
      </c>
      <c r="BL65" s="40">
        <v>1206266</v>
      </c>
      <c r="BM65" s="40">
        <v>798883</v>
      </c>
      <c r="BN65" s="40">
        <v>4709808</v>
      </c>
      <c r="BO65" s="40">
        <v>1217530</v>
      </c>
      <c r="BP65" s="40">
        <v>215830</v>
      </c>
      <c r="BQ65" s="40">
        <v>3563427</v>
      </c>
      <c r="BR65" s="40">
        <v>17617832</v>
      </c>
      <c r="BS65" s="40">
        <v>0</v>
      </c>
      <c r="BT65" s="40">
        <v>81485740</v>
      </c>
      <c r="BU65" s="40">
        <v>31975886</v>
      </c>
      <c r="BV65" s="40">
        <v>0</v>
      </c>
      <c r="BW65" s="40">
        <v>0</v>
      </c>
      <c r="BX65" s="40">
        <v>31975886</v>
      </c>
      <c r="BY65" s="40">
        <v>0</v>
      </c>
      <c r="BZ65" s="40">
        <v>0</v>
      </c>
      <c r="CA65" s="40">
        <v>0</v>
      </c>
      <c r="CB65" s="40">
        <v>0</v>
      </c>
      <c r="CC65" s="40">
        <v>0</v>
      </c>
      <c r="CD65" s="40">
        <v>31975886</v>
      </c>
      <c r="CE65" s="40">
        <v>113461626</v>
      </c>
      <c r="CF65" s="41"/>
      <c r="CG65" s="41"/>
      <c r="CH65" s="42"/>
    </row>
    <row r="66" spans="1:86" ht="22.5">
      <c r="A66" s="38">
        <v>60</v>
      </c>
      <c r="B66" s="65" t="s">
        <v>160</v>
      </c>
      <c r="C66" s="39" t="s">
        <v>159</v>
      </c>
      <c r="D66" s="40">
        <v>1511185</v>
      </c>
      <c r="E66" s="40">
        <v>1</v>
      </c>
      <c r="F66" s="40">
        <v>0</v>
      </c>
      <c r="G66" s="40">
        <v>21</v>
      </c>
      <c r="H66" s="40">
        <v>215631</v>
      </c>
      <c r="I66" s="40">
        <v>10067</v>
      </c>
      <c r="J66" s="40">
        <v>195</v>
      </c>
      <c r="K66" s="40">
        <v>2774</v>
      </c>
      <c r="L66" s="40">
        <v>34</v>
      </c>
      <c r="M66" s="40">
        <v>12</v>
      </c>
      <c r="N66" s="40">
        <v>116865</v>
      </c>
      <c r="O66" s="40">
        <v>0</v>
      </c>
      <c r="P66" s="40">
        <v>0</v>
      </c>
      <c r="Q66" s="40">
        <v>2</v>
      </c>
      <c r="R66" s="40">
        <v>1</v>
      </c>
      <c r="S66" s="40">
        <v>0</v>
      </c>
      <c r="T66" s="40">
        <v>0</v>
      </c>
      <c r="U66" s="40">
        <v>227</v>
      </c>
      <c r="V66" s="40">
        <v>1205</v>
      </c>
      <c r="W66" s="40">
        <v>718</v>
      </c>
      <c r="X66" s="40">
        <v>8</v>
      </c>
      <c r="Y66" s="40">
        <v>471</v>
      </c>
      <c r="Z66" s="40">
        <v>2</v>
      </c>
      <c r="AA66" s="40">
        <v>48</v>
      </c>
      <c r="AB66" s="40">
        <v>41</v>
      </c>
      <c r="AC66" s="40">
        <v>0</v>
      </c>
      <c r="AD66" s="40">
        <v>9</v>
      </c>
      <c r="AE66" s="40">
        <v>0</v>
      </c>
      <c r="AF66" s="40">
        <v>0</v>
      </c>
      <c r="AG66" s="40">
        <v>4</v>
      </c>
      <c r="AH66" s="40">
        <v>5056</v>
      </c>
      <c r="AI66" s="40">
        <v>1</v>
      </c>
      <c r="AJ66" s="40">
        <v>35</v>
      </c>
      <c r="AK66" s="40">
        <v>0</v>
      </c>
      <c r="AL66" s="40">
        <v>0</v>
      </c>
      <c r="AM66" s="40">
        <v>0</v>
      </c>
      <c r="AN66" s="40">
        <v>136</v>
      </c>
      <c r="AO66" s="40">
        <v>1628</v>
      </c>
      <c r="AP66" s="40">
        <v>3548</v>
      </c>
      <c r="AQ66" s="40">
        <v>106</v>
      </c>
      <c r="AR66" s="40">
        <v>99</v>
      </c>
      <c r="AS66" s="40">
        <v>3143</v>
      </c>
      <c r="AT66" s="40">
        <v>2333293</v>
      </c>
      <c r="AU66" s="40">
        <v>1267370</v>
      </c>
      <c r="AV66" s="40">
        <v>19124864</v>
      </c>
      <c r="AW66" s="40">
        <v>13044118</v>
      </c>
      <c r="AX66" s="40">
        <v>158756</v>
      </c>
      <c r="AY66" s="40">
        <v>1379</v>
      </c>
      <c r="AZ66" s="40">
        <v>232</v>
      </c>
      <c r="BA66" s="40">
        <v>151879</v>
      </c>
      <c r="BB66" s="40">
        <v>3670</v>
      </c>
      <c r="BC66" s="40">
        <v>124468</v>
      </c>
      <c r="BD66" s="40">
        <v>319753</v>
      </c>
      <c r="BE66" s="40">
        <v>3681766</v>
      </c>
      <c r="BF66" s="40">
        <v>1242975</v>
      </c>
      <c r="BG66" s="40">
        <v>4428982</v>
      </c>
      <c r="BH66" s="40">
        <v>2047383</v>
      </c>
      <c r="BI66" s="40">
        <v>2681591</v>
      </c>
      <c r="BJ66" s="40">
        <v>12748747</v>
      </c>
      <c r="BK66" s="40">
        <v>1923147</v>
      </c>
      <c r="BL66" s="40">
        <v>2859736</v>
      </c>
      <c r="BM66" s="40">
        <v>7634037</v>
      </c>
      <c r="BN66" s="40">
        <v>6074167</v>
      </c>
      <c r="BO66" s="40">
        <v>2118869</v>
      </c>
      <c r="BP66" s="40">
        <v>308747</v>
      </c>
      <c r="BQ66" s="40">
        <v>5052469</v>
      </c>
      <c r="BR66" s="40">
        <v>5146578</v>
      </c>
      <c r="BS66" s="40">
        <v>0</v>
      </c>
      <c r="BT66" s="40">
        <v>96352249</v>
      </c>
      <c r="BU66" s="40">
        <v>1058138</v>
      </c>
      <c r="BV66" s="40">
        <v>0</v>
      </c>
      <c r="BW66" s="40">
        <v>0</v>
      </c>
      <c r="BX66" s="40">
        <v>1058138</v>
      </c>
      <c r="BY66" s="40">
        <v>10435116</v>
      </c>
      <c r="BZ66" s="40">
        <v>0</v>
      </c>
      <c r="CA66" s="40">
        <v>0</v>
      </c>
      <c r="CB66" s="40">
        <v>10435116</v>
      </c>
      <c r="CC66" s="40">
        <v>0</v>
      </c>
      <c r="CD66" s="40">
        <v>11493254</v>
      </c>
      <c r="CE66" s="40">
        <v>107845503</v>
      </c>
      <c r="CF66" s="41"/>
      <c r="CG66" s="41"/>
      <c r="CH66" s="42"/>
    </row>
    <row r="67" spans="1:86" ht="22.5">
      <c r="A67" s="38">
        <v>61</v>
      </c>
      <c r="B67" s="65" t="s">
        <v>158</v>
      </c>
      <c r="C67" s="39" t="s">
        <v>157</v>
      </c>
      <c r="D67" s="40">
        <v>1154073</v>
      </c>
      <c r="E67" s="40">
        <v>10</v>
      </c>
      <c r="F67" s="40">
        <v>0</v>
      </c>
      <c r="G67" s="40">
        <v>4286</v>
      </c>
      <c r="H67" s="40">
        <v>211365</v>
      </c>
      <c r="I67" s="40">
        <v>20956</v>
      </c>
      <c r="J67" s="40">
        <v>33</v>
      </c>
      <c r="K67" s="40">
        <v>2339</v>
      </c>
      <c r="L67" s="40">
        <v>27866</v>
      </c>
      <c r="M67" s="40">
        <v>1929</v>
      </c>
      <c r="N67" s="40">
        <v>259361</v>
      </c>
      <c r="O67" s="40">
        <v>64242</v>
      </c>
      <c r="P67" s="40">
        <v>0</v>
      </c>
      <c r="Q67" s="40">
        <v>83</v>
      </c>
      <c r="R67" s="40">
        <v>2</v>
      </c>
      <c r="S67" s="40">
        <v>0</v>
      </c>
      <c r="T67" s="40">
        <v>85</v>
      </c>
      <c r="U67" s="40">
        <v>0</v>
      </c>
      <c r="V67" s="40">
        <v>0</v>
      </c>
      <c r="W67" s="40">
        <v>16490</v>
      </c>
      <c r="X67" s="40">
        <v>0</v>
      </c>
      <c r="Y67" s="40">
        <v>786</v>
      </c>
      <c r="Z67" s="40">
        <v>7</v>
      </c>
      <c r="AA67" s="40">
        <v>377</v>
      </c>
      <c r="AB67" s="40">
        <v>0</v>
      </c>
      <c r="AC67" s="40">
        <v>0</v>
      </c>
      <c r="AD67" s="40">
        <v>0</v>
      </c>
      <c r="AE67" s="40">
        <v>0</v>
      </c>
      <c r="AF67" s="40">
        <v>0</v>
      </c>
      <c r="AG67" s="40">
        <v>0</v>
      </c>
      <c r="AH67" s="40">
        <v>3</v>
      </c>
      <c r="AI67" s="40">
        <v>0</v>
      </c>
      <c r="AJ67" s="40">
        <v>0</v>
      </c>
      <c r="AK67" s="40">
        <v>0</v>
      </c>
      <c r="AL67" s="40">
        <v>0</v>
      </c>
      <c r="AM67" s="40">
        <v>0</v>
      </c>
      <c r="AN67" s="40">
        <v>53</v>
      </c>
      <c r="AO67" s="40">
        <v>5570</v>
      </c>
      <c r="AP67" s="40">
        <v>5140</v>
      </c>
      <c r="AQ67" s="40">
        <v>19</v>
      </c>
      <c r="AR67" s="40">
        <v>259</v>
      </c>
      <c r="AS67" s="40">
        <v>11515</v>
      </c>
      <c r="AT67" s="40">
        <v>645525</v>
      </c>
      <c r="AU67" s="40">
        <v>158656</v>
      </c>
      <c r="AV67" s="40">
        <v>5082128</v>
      </c>
      <c r="AW67" s="40">
        <v>7678790</v>
      </c>
      <c r="AX67" s="40">
        <v>2195850</v>
      </c>
      <c r="AY67" s="40">
        <v>20005</v>
      </c>
      <c r="AZ67" s="40">
        <v>0</v>
      </c>
      <c r="BA67" s="40">
        <v>56571</v>
      </c>
      <c r="BB67" s="40">
        <v>819</v>
      </c>
      <c r="BC67" s="40">
        <v>151114</v>
      </c>
      <c r="BD67" s="40">
        <v>72052</v>
      </c>
      <c r="BE67" s="40">
        <v>2759276</v>
      </c>
      <c r="BF67" s="40">
        <v>420741</v>
      </c>
      <c r="BG67" s="40">
        <v>13036137</v>
      </c>
      <c r="BH67" s="40">
        <v>1731981</v>
      </c>
      <c r="BI67" s="40">
        <v>3166268</v>
      </c>
      <c r="BJ67" s="40">
        <v>11771098</v>
      </c>
      <c r="BK67" s="40">
        <v>3300243</v>
      </c>
      <c r="BL67" s="40">
        <v>1567889</v>
      </c>
      <c r="BM67" s="40">
        <v>7391730</v>
      </c>
      <c r="BN67" s="40">
        <v>12996552</v>
      </c>
      <c r="BO67" s="40">
        <v>3927999</v>
      </c>
      <c r="BP67" s="40">
        <v>77906</v>
      </c>
      <c r="BQ67" s="40">
        <v>13924376</v>
      </c>
      <c r="BR67" s="40">
        <v>4316622</v>
      </c>
      <c r="BS67" s="40">
        <v>0</v>
      </c>
      <c r="BT67" s="40">
        <v>98237177</v>
      </c>
      <c r="BU67" s="40">
        <v>64378841</v>
      </c>
      <c r="BV67" s="40">
        <v>0</v>
      </c>
      <c r="BW67" s="40">
        <v>0</v>
      </c>
      <c r="BX67" s="40">
        <v>64378841</v>
      </c>
      <c r="BY67" s="40">
        <v>0</v>
      </c>
      <c r="BZ67" s="40">
        <v>0</v>
      </c>
      <c r="CA67" s="40">
        <v>0</v>
      </c>
      <c r="CB67" s="40">
        <v>0</v>
      </c>
      <c r="CC67" s="40">
        <v>0</v>
      </c>
      <c r="CD67" s="40">
        <v>64378841</v>
      </c>
      <c r="CE67" s="40">
        <v>162616018</v>
      </c>
      <c r="CF67" s="41"/>
      <c r="CG67" s="41"/>
      <c r="CH67" s="42"/>
    </row>
    <row r="68" spans="1:86" ht="33.75">
      <c r="A68" s="38">
        <v>62</v>
      </c>
      <c r="B68" s="65" t="s">
        <v>19</v>
      </c>
      <c r="C68" s="39" t="s">
        <v>18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40">
        <v>0</v>
      </c>
      <c r="AJ68" s="40">
        <v>0</v>
      </c>
      <c r="AK68" s="40">
        <v>0</v>
      </c>
      <c r="AL68" s="40">
        <v>0</v>
      </c>
      <c r="AM68" s="40">
        <v>0</v>
      </c>
      <c r="AN68" s="40">
        <v>0</v>
      </c>
      <c r="AO68" s="40">
        <v>0</v>
      </c>
      <c r="AP68" s="40">
        <v>0</v>
      </c>
      <c r="AQ68" s="40">
        <v>0</v>
      </c>
      <c r="AR68" s="40">
        <v>0</v>
      </c>
      <c r="AS68" s="40">
        <v>0</v>
      </c>
      <c r="AT68" s="40">
        <v>0</v>
      </c>
      <c r="AU68" s="40">
        <v>0</v>
      </c>
      <c r="AV68" s="40">
        <v>0</v>
      </c>
      <c r="AW68" s="40">
        <v>0</v>
      </c>
      <c r="AX68" s="40">
        <v>0</v>
      </c>
      <c r="AY68" s="40">
        <v>0</v>
      </c>
      <c r="AZ68" s="40">
        <v>0</v>
      </c>
      <c r="BA68" s="40">
        <v>0</v>
      </c>
      <c r="BB68" s="40">
        <v>0</v>
      </c>
      <c r="BC68" s="40">
        <v>0</v>
      </c>
      <c r="BD68" s="40">
        <v>0</v>
      </c>
      <c r="BE68" s="40">
        <v>0</v>
      </c>
      <c r="BF68" s="40">
        <v>0</v>
      </c>
      <c r="BG68" s="40">
        <v>0</v>
      </c>
      <c r="BH68" s="40">
        <v>0</v>
      </c>
      <c r="BI68" s="40">
        <v>0</v>
      </c>
      <c r="BJ68" s="40">
        <v>0</v>
      </c>
      <c r="BK68" s="40">
        <v>0</v>
      </c>
      <c r="BL68" s="40">
        <v>0</v>
      </c>
      <c r="BM68" s="40">
        <v>0</v>
      </c>
      <c r="BN68" s="40">
        <v>0</v>
      </c>
      <c r="BO68" s="40">
        <v>0</v>
      </c>
      <c r="BP68" s="40">
        <v>0</v>
      </c>
      <c r="BQ68" s="40">
        <v>0</v>
      </c>
      <c r="BR68" s="40">
        <v>0</v>
      </c>
      <c r="BS68" s="40">
        <v>0</v>
      </c>
      <c r="BT68" s="40">
        <v>0</v>
      </c>
      <c r="BU68" s="40">
        <v>0</v>
      </c>
      <c r="BV68" s="40">
        <v>0</v>
      </c>
      <c r="BW68" s="40">
        <v>0</v>
      </c>
      <c r="BX68" s="40">
        <v>0</v>
      </c>
      <c r="BY68" s="40">
        <v>0</v>
      </c>
      <c r="BZ68" s="40">
        <v>0</v>
      </c>
      <c r="CA68" s="40">
        <v>0</v>
      </c>
      <c r="CB68" s="40">
        <v>0</v>
      </c>
      <c r="CC68" s="40">
        <v>0</v>
      </c>
      <c r="CD68" s="40">
        <v>0</v>
      </c>
      <c r="CE68" s="40">
        <v>0</v>
      </c>
      <c r="CF68" s="41"/>
      <c r="CG68" s="41"/>
      <c r="CH68" s="42"/>
    </row>
    <row r="69" spans="1:86">
      <c r="A69" s="38">
        <v>63</v>
      </c>
      <c r="B69" s="65" t="s">
        <v>17</v>
      </c>
      <c r="C69" s="39" t="s">
        <v>16</v>
      </c>
      <c r="D69" s="40">
        <v>397</v>
      </c>
      <c r="E69" s="40">
        <v>0</v>
      </c>
      <c r="F69" s="40">
        <v>0</v>
      </c>
      <c r="G69" s="40">
        <v>1</v>
      </c>
      <c r="H69" s="40">
        <v>497</v>
      </c>
      <c r="I69" s="40">
        <v>23</v>
      </c>
      <c r="J69" s="40">
        <v>0</v>
      </c>
      <c r="K69" s="40">
        <v>5</v>
      </c>
      <c r="L69" s="40">
        <v>2</v>
      </c>
      <c r="M69" s="40">
        <v>18</v>
      </c>
      <c r="N69" s="40">
        <v>916</v>
      </c>
      <c r="O69" s="40">
        <v>4557</v>
      </c>
      <c r="P69" s="40">
        <v>0</v>
      </c>
      <c r="Q69" s="40">
        <v>2</v>
      </c>
      <c r="R69" s="40">
        <v>0</v>
      </c>
      <c r="S69" s="40">
        <v>0</v>
      </c>
      <c r="T69" s="40">
        <v>0</v>
      </c>
      <c r="U69" s="40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2</v>
      </c>
      <c r="AB69" s="40">
        <v>0</v>
      </c>
      <c r="AC69" s="40">
        <v>0</v>
      </c>
      <c r="AD69" s="40">
        <v>0</v>
      </c>
      <c r="AE69" s="40">
        <v>0</v>
      </c>
      <c r="AF69" s="40">
        <v>0</v>
      </c>
      <c r="AG69" s="40">
        <v>0</v>
      </c>
      <c r="AH69" s="40">
        <v>0</v>
      </c>
      <c r="AI69" s="40">
        <v>0</v>
      </c>
      <c r="AJ69" s="40">
        <v>0</v>
      </c>
      <c r="AK69" s="40">
        <v>0</v>
      </c>
      <c r="AL69" s="40">
        <v>0</v>
      </c>
      <c r="AM69" s="40">
        <v>0</v>
      </c>
      <c r="AN69" s="40">
        <v>4</v>
      </c>
      <c r="AO69" s="40">
        <v>0</v>
      </c>
      <c r="AP69" s="40">
        <v>36</v>
      </c>
      <c r="AQ69" s="40">
        <v>3</v>
      </c>
      <c r="AR69" s="40">
        <v>1</v>
      </c>
      <c r="AS69" s="40">
        <v>2</v>
      </c>
      <c r="AT69" s="40">
        <v>478</v>
      </c>
      <c r="AU69" s="40">
        <v>12</v>
      </c>
      <c r="AV69" s="40">
        <v>165</v>
      </c>
      <c r="AW69" s="40">
        <v>6964</v>
      </c>
      <c r="AX69" s="40">
        <v>581</v>
      </c>
      <c r="AY69" s="40">
        <v>0</v>
      </c>
      <c r="AZ69" s="40">
        <v>0</v>
      </c>
      <c r="BA69" s="40">
        <v>67</v>
      </c>
      <c r="BB69" s="40">
        <v>0</v>
      </c>
      <c r="BC69" s="40">
        <v>0</v>
      </c>
      <c r="BD69" s="40">
        <v>0</v>
      </c>
      <c r="BE69" s="40">
        <v>4</v>
      </c>
      <c r="BF69" s="40">
        <v>4052</v>
      </c>
      <c r="BG69" s="40">
        <v>557828</v>
      </c>
      <c r="BH69" s="40">
        <v>98574</v>
      </c>
      <c r="BI69" s="40">
        <v>68810</v>
      </c>
      <c r="BJ69" s="40">
        <v>1140</v>
      </c>
      <c r="BK69" s="40">
        <v>10818</v>
      </c>
      <c r="BL69" s="40">
        <v>22646</v>
      </c>
      <c r="BM69" s="40">
        <v>129381</v>
      </c>
      <c r="BN69" s="40">
        <v>357064</v>
      </c>
      <c r="BO69" s="40">
        <v>178272</v>
      </c>
      <c r="BP69" s="40">
        <v>19099</v>
      </c>
      <c r="BQ69" s="40">
        <v>56</v>
      </c>
      <c r="BR69" s="40">
        <v>0</v>
      </c>
      <c r="BS69" s="40">
        <v>0</v>
      </c>
      <c r="BT69" s="40">
        <v>1462477</v>
      </c>
      <c r="BU69" s="40">
        <v>21200583</v>
      </c>
      <c r="BV69" s="40">
        <v>0</v>
      </c>
      <c r="BW69" s="40">
        <v>0</v>
      </c>
      <c r="BX69" s="40">
        <v>21200583</v>
      </c>
      <c r="BY69" s="40">
        <v>0</v>
      </c>
      <c r="BZ69" s="40">
        <v>0</v>
      </c>
      <c r="CA69" s="40">
        <v>0</v>
      </c>
      <c r="CB69" s="40">
        <v>0</v>
      </c>
      <c r="CC69" s="40">
        <v>0</v>
      </c>
      <c r="CD69" s="40">
        <v>21200583</v>
      </c>
      <c r="CE69" s="40">
        <v>22663060</v>
      </c>
      <c r="CF69" s="41"/>
      <c r="CG69" s="41"/>
      <c r="CH69" s="42"/>
    </row>
    <row r="70" spans="1:86">
      <c r="A70" s="38">
        <v>64</v>
      </c>
      <c r="B70" s="65" t="s">
        <v>15</v>
      </c>
      <c r="C70" s="39" t="s">
        <v>14</v>
      </c>
      <c r="D70" s="40">
        <v>0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T70" s="40">
        <v>0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0</v>
      </c>
      <c r="AB70" s="40">
        <v>0</v>
      </c>
      <c r="AC70" s="40">
        <v>0</v>
      </c>
      <c r="AD70" s="40">
        <v>0</v>
      </c>
      <c r="AE70" s="40">
        <v>0</v>
      </c>
      <c r="AF70" s="40">
        <v>0</v>
      </c>
      <c r="AG70" s="40">
        <v>0</v>
      </c>
      <c r="AH70" s="40">
        <v>0</v>
      </c>
      <c r="AI70" s="40">
        <v>0</v>
      </c>
      <c r="AJ70" s="40">
        <v>0</v>
      </c>
      <c r="AK70" s="40">
        <v>0</v>
      </c>
      <c r="AL70" s="40">
        <v>0</v>
      </c>
      <c r="AM70" s="40">
        <v>0</v>
      </c>
      <c r="AN70" s="40">
        <v>0</v>
      </c>
      <c r="AO70" s="40">
        <v>0</v>
      </c>
      <c r="AP70" s="40">
        <v>0</v>
      </c>
      <c r="AQ70" s="40">
        <v>0</v>
      </c>
      <c r="AR70" s="40">
        <v>0</v>
      </c>
      <c r="AS70" s="40">
        <v>0</v>
      </c>
      <c r="AT70" s="40">
        <v>0</v>
      </c>
      <c r="AU70" s="40">
        <v>0</v>
      </c>
      <c r="AV70" s="40">
        <v>0</v>
      </c>
      <c r="AW70" s="40">
        <v>0</v>
      </c>
      <c r="AX70" s="40">
        <v>0</v>
      </c>
      <c r="AY70" s="40">
        <v>0</v>
      </c>
      <c r="AZ70" s="40">
        <v>0</v>
      </c>
      <c r="BA70" s="40">
        <v>0</v>
      </c>
      <c r="BB70" s="40">
        <v>0</v>
      </c>
      <c r="BC70" s="40">
        <v>0</v>
      </c>
      <c r="BD70" s="40">
        <v>0</v>
      </c>
      <c r="BE70" s="40">
        <v>0</v>
      </c>
      <c r="BF70" s="40">
        <v>0</v>
      </c>
      <c r="BG70" s="40">
        <v>0</v>
      </c>
      <c r="BH70" s="40">
        <v>0</v>
      </c>
      <c r="BI70" s="40">
        <v>0</v>
      </c>
      <c r="BJ70" s="40">
        <v>0</v>
      </c>
      <c r="BK70" s="40">
        <v>0</v>
      </c>
      <c r="BL70" s="40">
        <v>0</v>
      </c>
      <c r="BM70" s="40">
        <v>0</v>
      </c>
      <c r="BN70" s="40">
        <v>0</v>
      </c>
      <c r="BO70" s="40">
        <v>0</v>
      </c>
      <c r="BP70" s="40">
        <v>0</v>
      </c>
      <c r="BQ70" s="40">
        <v>0</v>
      </c>
      <c r="BR70" s="40">
        <v>0</v>
      </c>
      <c r="BS70" s="40">
        <v>0</v>
      </c>
      <c r="BT70" s="40">
        <v>0</v>
      </c>
      <c r="BU70" s="40">
        <v>0</v>
      </c>
      <c r="BV70" s="40">
        <v>0</v>
      </c>
      <c r="BW70" s="40">
        <v>0</v>
      </c>
      <c r="BX70" s="40">
        <v>0</v>
      </c>
      <c r="BY70" s="40">
        <v>0</v>
      </c>
      <c r="BZ70" s="40">
        <v>0</v>
      </c>
      <c r="CA70" s="40">
        <v>0</v>
      </c>
      <c r="CB70" s="40">
        <v>0</v>
      </c>
      <c r="CC70" s="40">
        <v>0</v>
      </c>
      <c r="CD70" s="40">
        <v>0</v>
      </c>
      <c r="CE70" s="40">
        <v>0</v>
      </c>
      <c r="CF70" s="41"/>
      <c r="CG70" s="41"/>
      <c r="CH70" s="42"/>
    </row>
    <row r="71" spans="1:86">
      <c r="A71" s="38">
        <v>65</v>
      </c>
      <c r="B71" s="65" t="s">
        <v>13</v>
      </c>
      <c r="C71" s="39" t="s">
        <v>12</v>
      </c>
      <c r="D71" s="40">
        <v>0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 s="40">
        <v>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  <c r="AA71" s="40">
        <v>0</v>
      </c>
      <c r="AB71" s="40">
        <v>0</v>
      </c>
      <c r="AC71" s="40">
        <v>0</v>
      </c>
      <c r="AD71" s="40">
        <v>0</v>
      </c>
      <c r="AE71" s="40">
        <v>0</v>
      </c>
      <c r="AF71" s="40">
        <v>0</v>
      </c>
      <c r="AG71" s="40">
        <v>0</v>
      </c>
      <c r="AH71" s="40">
        <v>0</v>
      </c>
      <c r="AI71" s="40">
        <v>0</v>
      </c>
      <c r="AJ71" s="40">
        <v>0</v>
      </c>
      <c r="AK71" s="40">
        <v>0</v>
      </c>
      <c r="AL71" s="40">
        <v>0</v>
      </c>
      <c r="AM71" s="40">
        <v>0</v>
      </c>
      <c r="AN71" s="40">
        <v>0</v>
      </c>
      <c r="AO71" s="40">
        <v>0</v>
      </c>
      <c r="AP71" s="40">
        <v>0</v>
      </c>
      <c r="AQ71" s="40">
        <v>0</v>
      </c>
      <c r="AR71" s="40">
        <v>0</v>
      </c>
      <c r="AS71" s="40">
        <v>0</v>
      </c>
      <c r="AT71" s="40">
        <v>0</v>
      </c>
      <c r="AU71" s="40">
        <v>0</v>
      </c>
      <c r="AV71" s="40">
        <v>0</v>
      </c>
      <c r="AW71" s="40">
        <v>0</v>
      </c>
      <c r="AX71" s="40">
        <v>0</v>
      </c>
      <c r="AY71" s="40">
        <v>0</v>
      </c>
      <c r="AZ71" s="40">
        <v>0</v>
      </c>
      <c r="BA71" s="40">
        <v>0</v>
      </c>
      <c r="BB71" s="40">
        <v>0</v>
      </c>
      <c r="BC71" s="40">
        <v>0</v>
      </c>
      <c r="BD71" s="40">
        <v>0</v>
      </c>
      <c r="BE71" s="40">
        <v>0</v>
      </c>
      <c r="BF71" s="40">
        <v>0</v>
      </c>
      <c r="BG71" s="40">
        <v>0</v>
      </c>
      <c r="BH71" s="40">
        <v>0</v>
      </c>
      <c r="BI71" s="40">
        <v>0</v>
      </c>
      <c r="BJ71" s="40">
        <v>0</v>
      </c>
      <c r="BK71" s="40">
        <v>0</v>
      </c>
      <c r="BL71" s="40">
        <v>0</v>
      </c>
      <c r="BM71" s="40">
        <v>0</v>
      </c>
      <c r="BN71" s="40">
        <v>0</v>
      </c>
      <c r="BO71" s="40">
        <v>0</v>
      </c>
      <c r="BP71" s="40">
        <v>0</v>
      </c>
      <c r="BQ71" s="40">
        <v>0</v>
      </c>
      <c r="BR71" s="40">
        <v>0</v>
      </c>
      <c r="BS71" s="40">
        <v>0</v>
      </c>
      <c r="BT71" s="40">
        <v>0</v>
      </c>
      <c r="BU71" s="40">
        <v>0</v>
      </c>
      <c r="BV71" s="40">
        <v>0</v>
      </c>
      <c r="BW71" s="40">
        <v>0</v>
      </c>
      <c r="BX71" s="40">
        <v>0</v>
      </c>
      <c r="BY71" s="40">
        <v>0</v>
      </c>
      <c r="BZ71" s="40">
        <v>0</v>
      </c>
      <c r="CA71" s="40">
        <v>0</v>
      </c>
      <c r="CB71" s="40">
        <v>0</v>
      </c>
      <c r="CC71" s="40">
        <v>0</v>
      </c>
      <c r="CD71" s="40">
        <v>0</v>
      </c>
      <c r="CE71" s="40">
        <v>0</v>
      </c>
      <c r="CF71" s="41"/>
      <c r="CG71" s="41"/>
      <c r="CH71" s="42"/>
    </row>
    <row r="72" spans="1:86" ht="22.5">
      <c r="A72" s="38">
        <v>66</v>
      </c>
      <c r="B72" s="65" t="s">
        <v>93</v>
      </c>
      <c r="C72" s="39" t="s">
        <v>156</v>
      </c>
      <c r="D72" s="40">
        <v>0</v>
      </c>
      <c r="E72" s="40">
        <v>0</v>
      </c>
      <c r="F72" s="40">
        <v>0</v>
      </c>
      <c r="G72" s="40">
        <v>0</v>
      </c>
      <c r="H72" s="40">
        <v>13</v>
      </c>
      <c r="I72" s="40">
        <v>1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T72" s="40">
        <v>0</v>
      </c>
      <c r="U72" s="40">
        <v>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0</v>
      </c>
      <c r="AD72" s="40">
        <v>0</v>
      </c>
      <c r="AE72" s="40">
        <v>0</v>
      </c>
      <c r="AF72" s="40">
        <v>0</v>
      </c>
      <c r="AG72" s="40">
        <v>0</v>
      </c>
      <c r="AH72" s="40">
        <v>0</v>
      </c>
      <c r="AI72" s="40">
        <v>0</v>
      </c>
      <c r="AJ72" s="40">
        <v>0</v>
      </c>
      <c r="AK72" s="40">
        <v>0</v>
      </c>
      <c r="AL72" s="40">
        <v>0</v>
      </c>
      <c r="AM72" s="40">
        <v>0</v>
      </c>
      <c r="AN72" s="40">
        <v>0</v>
      </c>
      <c r="AO72" s="40">
        <v>0</v>
      </c>
      <c r="AP72" s="40">
        <v>0</v>
      </c>
      <c r="AQ72" s="40">
        <v>0</v>
      </c>
      <c r="AR72" s="40">
        <v>0</v>
      </c>
      <c r="AS72" s="40">
        <v>0</v>
      </c>
      <c r="AT72" s="40">
        <v>228</v>
      </c>
      <c r="AU72" s="40">
        <v>0</v>
      </c>
      <c r="AV72" s="40">
        <v>0</v>
      </c>
      <c r="AW72" s="40">
        <v>0</v>
      </c>
      <c r="AX72" s="40">
        <v>40</v>
      </c>
      <c r="AY72" s="40">
        <v>0</v>
      </c>
      <c r="AZ72" s="40">
        <v>0</v>
      </c>
      <c r="BA72" s="40">
        <v>0</v>
      </c>
      <c r="BB72" s="40">
        <v>0</v>
      </c>
      <c r="BC72" s="40">
        <v>8875</v>
      </c>
      <c r="BD72" s="40">
        <v>0</v>
      </c>
      <c r="BE72" s="40">
        <v>172</v>
      </c>
      <c r="BF72" s="40">
        <v>0</v>
      </c>
      <c r="BG72" s="40">
        <v>22984</v>
      </c>
      <c r="BH72" s="40">
        <v>0</v>
      </c>
      <c r="BI72" s="40">
        <v>0</v>
      </c>
      <c r="BJ72" s="40">
        <v>22814</v>
      </c>
      <c r="BK72" s="40">
        <v>89</v>
      </c>
      <c r="BL72" s="40">
        <v>747</v>
      </c>
      <c r="BM72" s="40">
        <v>137161</v>
      </c>
      <c r="BN72" s="40">
        <v>1010396</v>
      </c>
      <c r="BO72" s="40">
        <v>25</v>
      </c>
      <c r="BP72" s="40">
        <v>13220</v>
      </c>
      <c r="BQ72" s="40">
        <v>176830</v>
      </c>
      <c r="BR72" s="40">
        <v>0</v>
      </c>
      <c r="BS72" s="40">
        <v>0</v>
      </c>
      <c r="BT72" s="40">
        <v>1393595</v>
      </c>
      <c r="BU72" s="40">
        <v>75773498</v>
      </c>
      <c r="BV72" s="40">
        <v>0</v>
      </c>
      <c r="BW72" s="40">
        <v>0</v>
      </c>
      <c r="BX72" s="40">
        <v>75773498</v>
      </c>
      <c r="BY72" s="40">
        <v>3097</v>
      </c>
      <c r="BZ72" s="40">
        <v>0</v>
      </c>
      <c r="CA72" s="40">
        <v>0</v>
      </c>
      <c r="CB72" s="40">
        <v>3097</v>
      </c>
      <c r="CC72" s="40">
        <v>28</v>
      </c>
      <c r="CD72" s="40">
        <v>75776623</v>
      </c>
      <c r="CE72" s="40">
        <v>77170218</v>
      </c>
      <c r="CF72" s="41"/>
      <c r="CG72" s="41"/>
      <c r="CH72" s="42"/>
    </row>
    <row r="73" spans="1:86">
      <c r="A73" s="38">
        <v>67</v>
      </c>
      <c r="B73" s="65" t="s">
        <v>92</v>
      </c>
      <c r="C73" s="39" t="s">
        <v>155</v>
      </c>
      <c r="D73" s="40">
        <v>25</v>
      </c>
      <c r="E73" s="40">
        <v>0</v>
      </c>
      <c r="F73" s="40">
        <v>0</v>
      </c>
      <c r="G73" s="40">
        <v>1</v>
      </c>
      <c r="H73" s="40">
        <v>6</v>
      </c>
      <c r="I73" s="40">
        <v>0</v>
      </c>
      <c r="J73" s="40">
        <v>0</v>
      </c>
      <c r="K73" s="40">
        <v>4</v>
      </c>
      <c r="L73" s="40">
        <v>0</v>
      </c>
      <c r="M73" s="40">
        <v>2</v>
      </c>
      <c r="N73" s="40">
        <v>42</v>
      </c>
      <c r="O73" s="40">
        <v>0</v>
      </c>
      <c r="P73" s="40">
        <v>0</v>
      </c>
      <c r="Q73" s="40">
        <v>0</v>
      </c>
      <c r="R73" s="40">
        <v>0</v>
      </c>
      <c r="S73" s="40">
        <v>0</v>
      </c>
      <c r="T73" s="40">
        <v>0</v>
      </c>
      <c r="U73" s="40">
        <v>0</v>
      </c>
      <c r="V73" s="40">
        <v>0</v>
      </c>
      <c r="W73" s="40">
        <v>0</v>
      </c>
      <c r="X73" s="40">
        <v>0</v>
      </c>
      <c r="Y73" s="40">
        <v>0</v>
      </c>
      <c r="Z73" s="40">
        <v>0</v>
      </c>
      <c r="AA73" s="40">
        <v>127</v>
      </c>
      <c r="AB73" s="40">
        <v>0</v>
      </c>
      <c r="AC73" s="40">
        <v>0</v>
      </c>
      <c r="AD73" s="40">
        <v>0</v>
      </c>
      <c r="AE73" s="40">
        <v>0</v>
      </c>
      <c r="AF73" s="40">
        <v>0</v>
      </c>
      <c r="AG73" s="40">
        <v>0</v>
      </c>
      <c r="AH73" s="40">
        <v>0</v>
      </c>
      <c r="AI73" s="40">
        <v>0</v>
      </c>
      <c r="AJ73" s="40">
        <v>0</v>
      </c>
      <c r="AK73" s="40">
        <v>0</v>
      </c>
      <c r="AL73" s="40">
        <v>0</v>
      </c>
      <c r="AM73" s="40">
        <v>0</v>
      </c>
      <c r="AN73" s="40">
        <v>0</v>
      </c>
      <c r="AO73" s="40">
        <v>2</v>
      </c>
      <c r="AP73" s="40">
        <v>22</v>
      </c>
      <c r="AQ73" s="40">
        <v>0</v>
      </c>
      <c r="AR73" s="40">
        <v>0</v>
      </c>
      <c r="AS73" s="40">
        <v>0</v>
      </c>
      <c r="AT73" s="40">
        <v>689</v>
      </c>
      <c r="AU73" s="40">
        <v>18</v>
      </c>
      <c r="AV73" s="40">
        <v>433</v>
      </c>
      <c r="AW73" s="40">
        <v>3303</v>
      </c>
      <c r="AX73" s="40">
        <v>0</v>
      </c>
      <c r="AY73" s="40">
        <v>0</v>
      </c>
      <c r="AZ73" s="40">
        <v>0</v>
      </c>
      <c r="BA73" s="40">
        <v>139</v>
      </c>
      <c r="BB73" s="40">
        <v>0</v>
      </c>
      <c r="BC73" s="40">
        <v>95372</v>
      </c>
      <c r="BD73" s="40">
        <v>10</v>
      </c>
      <c r="BE73" s="40">
        <v>12563</v>
      </c>
      <c r="BF73" s="40">
        <v>172097</v>
      </c>
      <c r="BG73" s="40">
        <v>613690</v>
      </c>
      <c r="BH73" s="40">
        <v>552062</v>
      </c>
      <c r="BI73" s="40">
        <v>279572</v>
      </c>
      <c r="BJ73" s="40">
        <v>3474</v>
      </c>
      <c r="BK73" s="40">
        <v>7722</v>
      </c>
      <c r="BL73" s="40">
        <v>156</v>
      </c>
      <c r="BM73" s="40">
        <v>144476</v>
      </c>
      <c r="BN73" s="40">
        <v>542931</v>
      </c>
      <c r="BO73" s="40">
        <v>414384</v>
      </c>
      <c r="BP73" s="40">
        <v>4105</v>
      </c>
      <c r="BQ73" s="40">
        <v>137</v>
      </c>
      <c r="BR73" s="40">
        <v>799</v>
      </c>
      <c r="BS73" s="40">
        <v>0</v>
      </c>
      <c r="BT73" s="40">
        <v>2848363</v>
      </c>
      <c r="BU73" s="40">
        <v>84823890</v>
      </c>
      <c r="BV73" s="40">
        <v>0</v>
      </c>
      <c r="BW73" s="40">
        <v>0</v>
      </c>
      <c r="BX73" s="40">
        <v>84823890</v>
      </c>
      <c r="BY73" s="40">
        <v>0</v>
      </c>
      <c r="BZ73" s="40">
        <v>0</v>
      </c>
      <c r="CA73" s="40">
        <v>0</v>
      </c>
      <c r="CB73" s="40">
        <v>0</v>
      </c>
      <c r="CC73" s="40">
        <v>0</v>
      </c>
      <c r="CD73" s="40">
        <v>84823890</v>
      </c>
      <c r="CE73" s="40">
        <v>87672253</v>
      </c>
      <c r="CF73" s="41"/>
      <c r="CG73" s="41"/>
      <c r="CH73" s="42"/>
    </row>
    <row r="74" spans="1:86" ht="45">
      <c r="A74" s="38">
        <v>68</v>
      </c>
      <c r="B74" s="65" t="s">
        <v>11</v>
      </c>
      <c r="C74" s="39" t="s">
        <v>10</v>
      </c>
      <c r="D74" s="40">
        <v>0</v>
      </c>
      <c r="E74" s="40">
        <v>0</v>
      </c>
      <c r="F74" s="40">
        <v>0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T74" s="40">
        <v>0</v>
      </c>
      <c r="U74" s="40">
        <v>0</v>
      </c>
      <c r="V74" s="40">
        <v>0</v>
      </c>
      <c r="W74" s="40">
        <v>0</v>
      </c>
      <c r="X74" s="40">
        <v>0</v>
      </c>
      <c r="Y74" s="40">
        <v>0</v>
      </c>
      <c r="Z74" s="40">
        <v>0</v>
      </c>
      <c r="AA74" s="40">
        <v>0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  <c r="AI74" s="40">
        <v>0</v>
      </c>
      <c r="AJ74" s="40">
        <v>0</v>
      </c>
      <c r="AK74" s="40">
        <v>0</v>
      </c>
      <c r="AL74" s="40">
        <v>0</v>
      </c>
      <c r="AM74" s="40">
        <v>0</v>
      </c>
      <c r="AN74" s="40">
        <v>0</v>
      </c>
      <c r="AO74" s="40">
        <v>0</v>
      </c>
      <c r="AP74" s="40">
        <v>0</v>
      </c>
      <c r="AQ74" s="40">
        <v>0</v>
      </c>
      <c r="AR74" s="40">
        <v>0</v>
      </c>
      <c r="AS74" s="40">
        <v>0</v>
      </c>
      <c r="AT74" s="40">
        <v>0</v>
      </c>
      <c r="AU74" s="40">
        <v>0</v>
      </c>
      <c r="AV74" s="40">
        <v>0</v>
      </c>
      <c r="AW74" s="40">
        <v>0</v>
      </c>
      <c r="AX74" s="40">
        <v>0</v>
      </c>
      <c r="AY74" s="40">
        <v>0</v>
      </c>
      <c r="AZ74" s="40">
        <v>0</v>
      </c>
      <c r="BA74" s="40">
        <v>0</v>
      </c>
      <c r="BB74" s="40">
        <v>0</v>
      </c>
      <c r="BC74" s="40">
        <v>0</v>
      </c>
      <c r="BD74" s="40">
        <v>0</v>
      </c>
      <c r="BE74" s="40">
        <v>0</v>
      </c>
      <c r="BF74" s="40">
        <v>0</v>
      </c>
      <c r="BG74" s="40">
        <v>0</v>
      </c>
      <c r="BH74" s="40">
        <v>0</v>
      </c>
      <c r="BI74" s="40">
        <v>0</v>
      </c>
      <c r="BJ74" s="40">
        <v>0</v>
      </c>
      <c r="BK74" s="40">
        <v>0</v>
      </c>
      <c r="BL74" s="40">
        <v>0</v>
      </c>
      <c r="BM74" s="40">
        <v>0</v>
      </c>
      <c r="BN74" s="40">
        <v>0</v>
      </c>
      <c r="BO74" s="40">
        <v>0</v>
      </c>
      <c r="BP74" s="40">
        <v>0</v>
      </c>
      <c r="BQ74" s="40">
        <v>0</v>
      </c>
      <c r="BR74" s="40">
        <v>0</v>
      </c>
      <c r="BS74" s="40">
        <v>0</v>
      </c>
      <c r="BT74" s="40">
        <v>0</v>
      </c>
      <c r="BU74" s="40">
        <v>0</v>
      </c>
      <c r="BV74" s="40">
        <v>0</v>
      </c>
      <c r="BW74" s="40">
        <v>0</v>
      </c>
      <c r="BX74" s="40">
        <v>0</v>
      </c>
      <c r="BY74" s="40">
        <v>0</v>
      </c>
      <c r="BZ74" s="40">
        <v>0</v>
      </c>
      <c r="CA74" s="40">
        <v>0</v>
      </c>
      <c r="CB74" s="40">
        <v>0</v>
      </c>
      <c r="CC74" s="40">
        <v>0</v>
      </c>
      <c r="CD74" s="40">
        <v>0</v>
      </c>
      <c r="CE74" s="40">
        <v>0</v>
      </c>
      <c r="CF74" s="41"/>
      <c r="CG74" s="41"/>
      <c r="CH74" s="42"/>
    </row>
    <row r="75" spans="1:86" ht="22.5">
      <c r="A75" s="38">
        <v>69</v>
      </c>
      <c r="B75" s="65"/>
      <c r="C75" s="39" t="s">
        <v>9</v>
      </c>
      <c r="D75" s="40">
        <v>0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40">
        <v>0</v>
      </c>
      <c r="S75" s="40">
        <v>0</v>
      </c>
      <c r="T75" s="40">
        <v>0</v>
      </c>
      <c r="U75" s="40">
        <v>0</v>
      </c>
      <c r="V75" s="40">
        <v>0</v>
      </c>
      <c r="W75" s="40">
        <v>0</v>
      </c>
      <c r="X75" s="40">
        <v>0</v>
      </c>
      <c r="Y75" s="40">
        <v>0</v>
      </c>
      <c r="Z75" s="40">
        <v>0</v>
      </c>
      <c r="AA75" s="40">
        <v>0</v>
      </c>
      <c r="AB75" s="40">
        <v>0</v>
      </c>
      <c r="AC75" s="40">
        <v>0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  <c r="AI75" s="40">
        <v>0</v>
      </c>
      <c r="AJ75" s="40">
        <v>0</v>
      </c>
      <c r="AK75" s="40">
        <v>0</v>
      </c>
      <c r="AL75" s="40">
        <v>0</v>
      </c>
      <c r="AM75" s="40">
        <v>0</v>
      </c>
      <c r="AN75" s="40">
        <v>0</v>
      </c>
      <c r="AO75" s="40">
        <v>0</v>
      </c>
      <c r="AP75" s="40">
        <v>0</v>
      </c>
      <c r="AQ75" s="40">
        <v>0</v>
      </c>
      <c r="AR75" s="40">
        <v>0</v>
      </c>
      <c r="AS75" s="40">
        <v>0</v>
      </c>
      <c r="AT75" s="40">
        <v>0</v>
      </c>
      <c r="AU75" s="40">
        <v>0</v>
      </c>
      <c r="AV75" s="40">
        <v>0</v>
      </c>
      <c r="AW75" s="40">
        <v>0</v>
      </c>
      <c r="AX75" s="40">
        <v>0</v>
      </c>
      <c r="AY75" s="40">
        <v>0</v>
      </c>
      <c r="AZ75" s="40">
        <v>0</v>
      </c>
      <c r="BA75" s="40">
        <v>0</v>
      </c>
      <c r="BB75" s="40">
        <v>0</v>
      </c>
      <c r="BC75" s="40">
        <v>0</v>
      </c>
      <c r="BD75" s="40">
        <v>0</v>
      </c>
      <c r="BE75" s="40">
        <v>0</v>
      </c>
      <c r="BF75" s="40">
        <v>0</v>
      </c>
      <c r="BG75" s="40">
        <v>0</v>
      </c>
      <c r="BH75" s="40">
        <v>0</v>
      </c>
      <c r="BI75" s="40">
        <v>0</v>
      </c>
      <c r="BJ75" s="40">
        <v>0</v>
      </c>
      <c r="BK75" s="40">
        <v>0</v>
      </c>
      <c r="BL75" s="40">
        <v>0</v>
      </c>
      <c r="BM75" s="40">
        <v>0</v>
      </c>
      <c r="BN75" s="40">
        <v>0</v>
      </c>
      <c r="BO75" s="40">
        <v>0</v>
      </c>
      <c r="BP75" s="40">
        <v>0</v>
      </c>
      <c r="BQ75" s="40">
        <v>0</v>
      </c>
      <c r="BR75" s="40">
        <v>0</v>
      </c>
      <c r="BS75" s="40">
        <v>0</v>
      </c>
      <c r="BT75" s="40">
        <v>0</v>
      </c>
      <c r="BU75" s="40">
        <v>0</v>
      </c>
      <c r="BV75" s="40">
        <v>0</v>
      </c>
      <c r="BW75" s="40">
        <v>0</v>
      </c>
      <c r="BX75" s="40">
        <v>0</v>
      </c>
      <c r="BY75" s="40">
        <v>0</v>
      </c>
      <c r="BZ75" s="40">
        <v>0</v>
      </c>
      <c r="CA75" s="40">
        <v>0</v>
      </c>
      <c r="CB75" s="40">
        <v>0</v>
      </c>
      <c r="CC75" s="40">
        <v>0</v>
      </c>
      <c r="CD75" s="40">
        <v>0</v>
      </c>
      <c r="CE75" s="40">
        <v>0</v>
      </c>
      <c r="CF75" s="41"/>
      <c r="CG75" s="41"/>
      <c r="CH75" s="42"/>
    </row>
    <row r="76" spans="1:86" ht="22.5">
      <c r="A76" s="38">
        <v>70</v>
      </c>
      <c r="B76" s="65"/>
      <c r="C76" s="39" t="s">
        <v>8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40">
        <v>0</v>
      </c>
      <c r="AJ76" s="40">
        <v>0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0</v>
      </c>
      <c r="AQ76" s="40">
        <v>0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40">
        <v>0</v>
      </c>
      <c r="BH76" s="40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  <c r="BO76" s="40">
        <v>0</v>
      </c>
      <c r="BP76" s="40">
        <v>0</v>
      </c>
      <c r="BQ76" s="40">
        <v>0</v>
      </c>
      <c r="BR76" s="40">
        <v>0</v>
      </c>
      <c r="BS76" s="40">
        <v>0</v>
      </c>
      <c r="BT76" s="40">
        <v>0</v>
      </c>
      <c r="BU76" s="40">
        <v>0</v>
      </c>
      <c r="BV76" s="40">
        <v>0</v>
      </c>
      <c r="BW76" s="40">
        <v>0</v>
      </c>
      <c r="BX76" s="40">
        <v>0</v>
      </c>
      <c r="BY76" s="40">
        <v>0</v>
      </c>
      <c r="BZ76" s="40">
        <v>0</v>
      </c>
      <c r="CA76" s="40">
        <v>0</v>
      </c>
      <c r="CB76" s="40">
        <v>0</v>
      </c>
      <c r="CC76" s="40">
        <v>0</v>
      </c>
      <c r="CD76" s="40">
        <v>0</v>
      </c>
      <c r="CE76" s="40">
        <v>0</v>
      </c>
      <c r="CF76" s="41"/>
      <c r="CG76" s="41"/>
      <c r="CH76" s="42"/>
    </row>
    <row r="77" spans="1:86">
      <c r="A77" s="43">
        <v>71</v>
      </c>
      <c r="B77" s="66"/>
      <c r="C77" s="59" t="s">
        <v>7</v>
      </c>
      <c r="D77" s="47">
        <v>116420318</v>
      </c>
      <c r="E77" s="47">
        <v>123313</v>
      </c>
      <c r="F77" s="47">
        <v>2293592</v>
      </c>
      <c r="G77" s="47">
        <v>3812064</v>
      </c>
      <c r="H77" s="47">
        <v>36019013</v>
      </c>
      <c r="I77" s="47">
        <v>538116</v>
      </c>
      <c r="J77" s="47">
        <v>2401077</v>
      </c>
      <c r="K77" s="47">
        <v>17093214</v>
      </c>
      <c r="L77" s="47">
        <v>1270705</v>
      </c>
      <c r="M77" s="47">
        <v>1938964</v>
      </c>
      <c r="N77" s="47">
        <v>49283915</v>
      </c>
      <c r="O77" s="47">
        <v>2066847</v>
      </c>
      <c r="P77" s="47">
        <v>511704</v>
      </c>
      <c r="Q77" s="47">
        <v>1157479</v>
      </c>
      <c r="R77" s="47">
        <v>72796</v>
      </c>
      <c r="S77" s="47">
        <v>266963</v>
      </c>
      <c r="T77" s="47">
        <v>810613</v>
      </c>
      <c r="U77" s="47">
        <v>382755</v>
      </c>
      <c r="V77" s="47">
        <v>945267</v>
      </c>
      <c r="W77" s="47">
        <v>67284831</v>
      </c>
      <c r="X77" s="47">
        <v>3169248</v>
      </c>
      <c r="Y77" s="47">
        <v>9762431</v>
      </c>
      <c r="Z77" s="47">
        <v>3172628</v>
      </c>
      <c r="AA77" s="47">
        <v>5938830</v>
      </c>
      <c r="AB77" s="47">
        <v>9181774</v>
      </c>
      <c r="AC77" s="47">
        <v>390254</v>
      </c>
      <c r="AD77" s="47">
        <v>539519</v>
      </c>
      <c r="AE77" s="47">
        <v>16647864</v>
      </c>
      <c r="AF77" s="47">
        <v>82798</v>
      </c>
      <c r="AG77" s="47">
        <v>1406254</v>
      </c>
      <c r="AH77" s="47">
        <v>374094</v>
      </c>
      <c r="AI77" s="47">
        <v>767658</v>
      </c>
      <c r="AJ77" s="47">
        <v>1353939</v>
      </c>
      <c r="AK77" s="47">
        <v>8828082</v>
      </c>
      <c r="AL77" s="47">
        <v>1366180</v>
      </c>
      <c r="AM77" s="47">
        <v>905636</v>
      </c>
      <c r="AN77" s="47">
        <v>1582958</v>
      </c>
      <c r="AO77" s="47">
        <v>3802292</v>
      </c>
      <c r="AP77" s="47">
        <v>13983437</v>
      </c>
      <c r="AQ77" s="47">
        <v>4733668</v>
      </c>
      <c r="AR77" s="47">
        <v>2594165</v>
      </c>
      <c r="AS77" s="47">
        <v>2890099</v>
      </c>
      <c r="AT77" s="47">
        <v>247980489</v>
      </c>
      <c r="AU77" s="47">
        <v>21919932</v>
      </c>
      <c r="AV77" s="47">
        <v>78500784</v>
      </c>
      <c r="AW77" s="47">
        <v>49098314</v>
      </c>
      <c r="AX77" s="47">
        <v>87567434</v>
      </c>
      <c r="AY77" s="47">
        <v>2298856</v>
      </c>
      <c r="AZ77" s="47">
        <v>35674168</v>
      </c>
      <c r="BA77" s="47">
        <v>58963229</v>
      </c>
      <c r="BB77" s="47">
        <v>847911</v>
      </c>
      <c r="BC77" s="47">
        <v>8329998</v>
      </c>
      <c r="BD77" s="47">
        <v>35257407</v>
      </c>
      <c r="BE77" s="47">
        <v>17477754</v>
      </c>
      <c r="BF77" s="47">
        <v>9930053</v>
      </c>
      <c r="BG77" s="47">
        <v>58758687</v>
      </c>
      <c r="BH77" s="47">
        <v>30261150</v>
      </c>
      <c r="BI77" s="47">
        <v>20847462</v>
      </c>
      <c r="BJ77" s="47">
        <v>135490490</v>
      </c>
      <c r="BK77" s="47">
        <v>29796637</v>
      </c>
      <c r="BL77" s="47">
        <v>25954261</v>
      </c>
      <c r="BM77" s="47">
        <v>51041247</v>
      </c>
      <c r="BN77" s="47">
        <v>196814897</v>
      </c>
      <c r="BO77" s="47">
        <v>159294417</v>
      </c>
      <c r="BP77" s="47">
        <v>4582663</v>
      </c>
      <c r="BQ77" s="47">
        <v>50138104</v>
      </c>
      <c r="BR77" s="47">
        <v>44382778</v>
      </c>
      <c r="BS77" s="44">
        <v>0</v>
      </c>
      <c r="BT77" s="47">
        <v>1859376476</v>
      </c>
      <c r="BU77" s="47">
        <v>3391236072</v>
      </c>
      <c r="BV77" s="44">
        <v>0</v>
      </c>
      <c r="BW77" s="44">
        <v>0</v>
      </c>
      <c r="BX77" s="47">
        <v>3391236072</v>
      </c>
      <c r="BY77" s="47">
        <v>707672014</v>
      </c>
      <c r="BZ77" s="44">
        <v>0</v>
      </c>
      <c r="CA77" s="44">
        <v>0</v>
      </c>
      <c r="CB77" s="47">
        <v>707672014</v>
      </c>
      <c r="CC77" s="47">
        <v>2328205638</v>
      </c>
      <c r="CD77" s="47">
        <v>6427113724</v>
      </c>
      <c r="CE77" s="47">
        <v>8286490200</v>
      </c>
      <c r="CF77" s="41"/>
      <c r="CG77" s="41"/>
      <c r="CH77" s="42"/>
    </row>
    <row r="78" spans="1:86">
      <c r="A78" s="38"/>
      <c r="B78" s="65"/>
      <c r="C78" s="39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1"/>
      <c r="CG78" s="41"/>
      <c r="CH78" s="42"/>
    </row>
  </sheetData>
  <mergeCells count="1">
    <mergeCell ref="A2:K2"/>
  </mergeCells>
  <pageMargins left="0.78740157480314965" right="0.39370078740157483" top="0.39370078740157483" bottom="0.39370078740157483" header="0.11811023622047245" footer="0.11811023622047245"/>
  <pageSetup paperSize="9" firstPageNumber="271" orientation="landscape" useFirstPageNumber="1" r:id="rId1"/>
  <headerFooter>
    <oddFooter>&amp;R&amp;P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H88"/>
  <sheetViews>
    <sheetView workbookViewId="0">
      <pane xSplit="4" ySplit="7" topLeftCell="BN74" activePane="bottomRight" state="frozen"/>
      <selection pane="topRight" activeCell="E1" sqref="E1"/>
      <selection pane="bottomLeft" activeCell="A9" sqref="A9"/>
      <selection pane="bottomRight" activeCell="BR93" sqref="BR93"/>
    </sheetView>
  </sheetViews>
  <sheetFormatPr defaultColWidth="8" defaultRowHeight="11.25"/>
  <cols>
    <col min="1" max="1" width="3.28515625" style="24" customWidth="1"/>
    <col min="2" max="2" width="8" style="62" customWidth="1"/>
    <col min="3" max="3" width="33.85546875" style="27" customWidth="1"/>
    <col min="4" max="4" width="13.85546875" style="24" customWidth="1"/>
    <col min="5" max="5" width="12" style="24" bestFit="1" customWidth="1"/>
    <col min="6" max="6" width="11.28515625" style="24" bestFit="1" customWidth="1"/>
    <col min="7" max="7" width="11" style="24" bestFit="1" customWidth="1"/>
    <col min="8" max="8" width="12.5703125" style="24" bestFit="1" customWidth="1"/>
    <col min="9" max="9" width="11.7109375" style="24" bestFit="1" customWidth="1"/>
    <col min="10" max="11" width="14.140625" style="24" bestFit="1" customWidth="1"/>
    <col min="12" max="12" width="11.85546875" style="24" bestFit="1" customWidth="1"/>
    <col min="13" max="13" width="11" style="24" bestFit="1" customWidth="1"/>
    <col min="14" max="15" width="10.85546875" style="24" bestFit="1" customWidth="1"/>
    <col min="16" max="16" width="12.140625" style="24" customWidth="1"/>
    <col min="17" max="17" width="12.85546875" style="24" customWidth="1"/>
    <col min="18" max="18" width="16.42578125" style="24" customWidth="1"/>
    <col min="19" max="19" width="14.140625" style="24" customWidth="1"/>
    <col min="20" max="24" width="14.28515625" style="24" customWidth="1"/>
    <col min="25" max="25" width="13.7109375" style="24" customWidth="1"/>
    <col min="26" max="26" width="14.28515625" style="24" customWidth="1"/>
    <col min="27" max="27" width="14" style="24" customWidth="1"/>
    <col min="28" max="28" width="12.5703125" style="24" bestFit="1" customWidth="1"/>
    <col min="29" max="29" width="11.28515625" style="24" bestFit="1" customWidth="1"/>
    <col min="30" max="30" width="12.5703125" style="24" customWidth="1"/>
    <col min="31" max="31" width="12.5703125" style="24" bestFit="1" customWidth="1"/>
    <col min="32" max="32" width="14.5703125" style="24" bestFit="1" customWidth="1"/>
    <col min="33" max="33" width="10.85546875" style="24" bestFit="1" customWidth="1"/>
    <col min="34" max="34" width="11.7109375" style="24" customWidth="1"/>
    <col min="35" max="35" width="14" style="24" customWidth="1"/>
    <col min="36" max="36" width="13.5703125" style="24" customWidth="1"/>
    <col min="37" max="37" width="15.5703125" style="24" bestFit="1" customWidth="1"/>
    <col min="38" max="38" width="14.28515625" style="24" customWidth="1"/>
    <col min="39" max="39" width="13.5703125" style="24" customWidth="1"/>
    <col min="40" max="40" width="14.28515625" style="24" customWidth="1"/>
    <col min="41" max="41" width="13.7109375" style="24" customWidth="1"/>
    <col min="42" max="42" width="12.5703125" style="24" bestFit="1" customWidth="1"/>
    <col min="43" max="43" width="15.28515625" style="24" bestFit="1" customWidth="1"/>
    <col min="44" max="44" width="10" style="24" bestFit="1" customWidth="1"/>
    <col min="45" max="45" width="11" style="24" bestFit="1" customWidth="1"/>
    <col min="46" max="46" width="14.28515625" style="24" bestFit="1" customWidth="1"/>
    <col min="47" max="47" width="11.42578125" style="24" customWidth="1"/>
    <col min="48" max="48" width="11.5703125" style="24" customWidth="1"/>
    <col min="49" max="49" width="13.5703125" style="24" customWidth="1"/>
    <col min="50" max="50" width="12.42578125" style="24" customWidth="1"/>
    <col min="51" max="51" width="11.28515625" style="24" customWidth="1"/>
    <col min="52" max="52" width="11.5703125" style="24" customWidth="1"/>
    <col min="53" max="53" width="15.140625" style="24" customWidth="1"/>
    <col min="54" max="54" width="13.42578125" style="24" customWidth="1"/>
    <col min="55" max="55" width="11.28515625" style="24" bestFit="1" customWidth="1"/>
    <col min="56" max="56" width="12.5703125" style="24" bestFit="1" customWidth="1"/>
    <col min="57" max="57" width="12.7109375" style="24" customWidth="1"/>
    <col min="58" max="58" width="17" style="24" bestFit="1" customWidth="1"/>
    <col min="59" max="64" width="13.7109375" style="24" customWidth="1"/>
    <col min="65" max="65" width="16.42578125" style="24" bestFit="1" customWidth="1"/>
    <col min="66" max="66" width="12.5703125" style="24" customWidth="1"/>
    <col min="67" max="67" width="12.7109375" style="24" customWidth="1"/>
    <col min="68" max="68" width="16.28515625" style="24" customWidth="1"/>
    <col min="69" max="69" width="14" style="24" customWidth="1"/>
    <col min="70" max="70" width="11.85546875" style="24" customWidth="1"/>
    <col min="71" max="72" width="15.28515625" style="24" customWidth="1"/>
    <col min="73" max="73" width="16.42578125" style="24" customWidth="1"/>
    <col min="74" max="74" width="16.28515625" style="24" customWidth="1"/>
    <col min="75" max="75" width="15.5703125" style="24" customWidth="1"/>
    <col min="76" max="76" width="15.28515625" style="25" customWidth="1"/>
    <col min="77" max="77" width="15.28515625" style="24" customWidth="1"/>
    <col min="78" max="78" width="14.42578125" style="25" customWidth="1"/>
    <col min="79" max="79" width="13.5703125" style="24" customWidth="1"/>
    <col min="80" max="82" width="14.28515625" style="24" customWidth="1"/>
    <col min="83" max="83" width="13.140625" style="24" customWidth="1"/>
    <col min="84" max="84" width="8" style="24"/>
    <col min="85" max="85" width="9.5703125" style="24" bestFit="1" customWidth="1"/>
    <col min="86" max="16384" width="8" style="24"/>
  </cols>
  <sheetData>
    <row r="2" spans="1:86" ht="12.75">
      <c r="A2" s="122" t="s">
        <v>129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</row>
    <row r="3" spans="1:86">
      <c r="A3" s="26" t="s">
        <v>112</v>
      </c>
      <c r="D3" s="28"/>
      <c r="E3" s="28"/>
      <c r="F3" s="28"/>
      <c r="G3" s="28"/>
      <c r="H3" s="28"/>
      <c r="I3" s="28"/>
      <c r="J3" s="28"/>
      <c r="L3" s="28"/>
      <c r="M3" s="28"/>
      <c r="N3" s="28"/>
      <c r="O3" s="28"/>
      <c r="P3" s="28"/>
      <c r="Q3" s="28"/>
      <c r="R3" s="28"/>
      <c r="S3" s="29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9"/>
      <c r="BN3" s="28"/>
      <c r="BO3" s="28"/>
      <c r="BP3" s="28"/>
      <c r="BQ3" s="28"/>
      <c r="BR3" s="28"/>
      <c r="BS3" s="28"/>
      <c r="BT3" s="28"/>
      <c r="BU3" s="29"/>
      <c r="BV3" s="28"/>
      <c r="BW3" s="28"/>
      <c r="BX3" s="28"/>
      <c r="BY3" s="29"/>
      <c r="BZ3" s="28"/>
      <c r="CA3" s="28"/>
      <c r="CB3" s="28"/>
      <c r="CC3" s="28"/>
      <c r="CD3" s="28"/>
      <c r="CE3" s="28"/>
      <c r="CG3" s="25"/>
    </row>
    <row r="4" spans="1:86" ht="93" customHeight="1">
      <c r="A4" s="30"/>
      <c r="B4" s="63"/>
      <c r="C4" s="31"/>
      <c r="D4" s="32" t="s">
        <v>189</v>
      </c>
      <c r="E4" s="33" t="s">
        <v>134</v>
      </c>
      <c r="F4" s="33" t="s">
        <v>89</v>
      </c>
      <c r="G4" s="33" t="s">
        <v>87</v>
      </c>
      <c r="H4" s="33" t="s">
        <v>187</v>
      </c>
      <c r="I4" s="33" t="s">
        <v>185</v>
      </c>
      <c r="J4" s="33" t="s">
        <v>183</v>
      </c>
      <c r="K4" s="33" t="s">
        <v>181</v>
      </c>
      <c r="L4" s="33" t="s">
        <v>180</v>
      </c>
      <c r="M4" s="33" t="s">
        <v>85</v>
      </c>
      <c r="N4" s="33" t="s">
        <v>178</v>
      </c>
      <c r="O4" s="33" t="s">
        <v>83</v>
      </c>
      <c r="P4" s="33" t="s">
        <v>177</v>
      </c>
      <c r="Q4" s="33" t="s">
        <v>82</v>
      </c>
      <c r="R4" s="33" t="s">
        <v>80</v>
      </c>
      <c r="S4" s="33" t="s">
        <v>78</v>
      </c>
      <c r="T4" s="33" t="s">
        <v>76</v>
      </c>
      <c r="U4" s="33" t="s">
        <v>74</v>
      </c>
      <c r="V4" s="33" t="s">
        <v>72</v>
      </c>
      <c r="W4" s="33" t="s">
        <v>70</v>
      </c>
      <c r="X4" s="33" t="s">
        <v>176</v>
      </c>
      <c r="Y4" s="33" t="s">
        <v>68</v>
      </c>
      <c r="Z4" s="33" t="s">
        <v>175</v>
      </c>
      <c r="AA4" s="33" t="s">
        <v>67</v>
      </c>
      <c r="AB4" s="33" t="s">
        <v>173</v>
      </c>
      <c r="AC4" s="33" t="s">
        <v>171</v>
      </c>
      <c r="AD4" s="33" t="s">
        <v>169</v>
      </c>
      <c r="AE4" s="33" t="s">
        <v>167</v>
      </c>
      <c r="AF4" s="33" t="s">
        <v>165</v>
      </c>
      <c r="AG4" s="33" t="s">
        <v>65</v>
      </c>
      <c r="AH4" s="33" t="s">
        <v>135</v>
      </c>
      <c r="AI4" s="33" t="s">
        <v>164</v>
      </c>
      <c r="AJ4" s="33" t="s">
        <v>163</v>
      </c>
      <c r="AK4" s="33" t="s">
        <v>62</v>
      </c>
      <c r="AL4" s="33" t="s">
        <v>60</v>
      </c>
      <c r="AM4" s="33" t="s">
        <v>58</v>
      </c>
      <c r="AN4" s="33" t="s">
        <v>56</v>
      </c>
      <c r="AO4" s="33" t="s">
        <v>136</v>
      </c>
      <c r="AP4" s="33" t="s">
        <v>53</v>
      </c>
      <c r="AQ4" s="33" t="s">
        <v>51</v>
      </c>
      <c r="AR4" s="33" t="s">
        <v>49</v>
      </c>
      <c r="AS4" s="33" t="s">
        <v>162</v>
      </c>
      <c r="AT4" s="33" t="s">
        <v>47</v>
      </c>
      <c r="AU4" s="33" t="s">
        <v>137</v>
      </c>
      <c r="AV4" s="33" t="s">
        <v>44</v>
      </c>
      <c r="AW4" s="33" t="s">
        <v>42</v>
      </c>
      <c r="AX4" s="33" t="s">
        <v>40</v>
      </c>
      <c r="AY4" s="33" t="s">
        <v>38</v>
      </c>
      <c r="AZ4" s="33" t="s">
        <v>36</v>
      </c>
      <c r="BA4" s="33" t="s">
        <v>34</v>
      </c>
      <c r="BB4" s="33" t="s">
        <v>32</v>
      </c>
      <c r="BC4" s="33" t="s">
        <v>30</v>
      </c>
      <c r="BD4" s="33" t="s">
        <v>28</v>
      </c>
      <c r="BE4" s="33" t="s">
        <v>161</v>
      </c>
      <c r="BF4" s="33" t="s">
        <v>26</v>
      </c>
      <c r="BG4" s="33" t="s">
        <v>24</v>
      </c>
      <c r="BH4" s="33" t="s">
        <v>138</v>
      </c>
      <c r="BI4" s="33" t="s">
        <v>139</v>
      </c>
      <c r="BJ4" s="33" t="s">
        <v>20</v>
      </c>
      <c r="BK4" s="33" t="s">
        <v>159</v>
      </c>
      <c r="BL4" s="33" t="s">
        <v>157</v>
      </c>
      <c r="BM4" s="33" t="s">
        <v>18</v>
      </c>
      <c r="BN4" s="33" t="s">
        <v>16</v>
      </c>
      <c r="BO4" s="33" t="s">
        <v>14</v>
      </c>
      <c r="BP4" s="33" t="s">
        <v>12</v>
      </c>
      <c r="BQ4" s="33" t="s">
        <v>156</v>
      </c>
      <c r="BR4" s="33" t="s">
        <v>155</v>
      </c>
      <c r="BS4" s="33" t="s">
        <v>10</v>
      </c>
      <c r="BT4" s="33" t="s">
        <v>123</v>
      </c>
      <c r="BU4" s="33" t="s">
        <v>122</v>
      </c>
      <c r="BV4" s="33" t="s">
        <v>193</v>
      </c>
      <c r="BW4" s="33" t="s">
        <v>121</v>
      </c>
      <c r="BX4" s="34" t="s">
        <v>120</v>
      </c>
      <c r="BY4" s="33" t="s">
        <v>119</v>
      </c>
      <c r="BZ4" s="35" t="s">
        <v>118</v>
      </c>
      <c r="CA4" s="35" t="s">
        <v>117</v>
      </c>
      <c r="CB4" s="35" t="s">
        <v>116</v>
      </c>
      <c r="CC4" s="35" t="s">
        <v>115</v>
      </c>
      <c r="CD4" s="35" t="s">
        <v>114</v>
      </c>
      <c r="CE4" s="35" t="s">
        <v>113</v>
      </c>
    </row>
    <row r="5" spans="1:86" s="25" customFormat="1" ht="15" customHeight="1">
      <c r="A5" s="36"/>
      <c r="B5" s="64" t="s">
        <v>148</v>
      </c>
      <c r="C5" s="37"/>
      <c r="D5" s="32" t="s">
        <v>103</v>
      </c>
      <c r="E5" s="33" t="s">
        <v>91</v>
      </c>
      <c r="F5" s="33" t="s">
        <v>90</v>
      </c>
      <c r="G5" s="33" t="s">
        <v>88</v>
      </c>
      <c r="H5" s="33" t="s">
        <v>188</v>
      </c>
      <c r="I5" s="33" t="s">
        <v>186</v>
      </c>
      <c r="J5" s="33" t="s">
        <v>184</v>
      </c>
      <c r="K5" s="33" t="s">
        <v>182</v>
      </c>
      <c r="L5" s="33" t="s">
        <v>102</v>
      </c>
      <c r="M5" s="33" t="s">
        <v>86</v>
      </c>
      <c r="N5" s="33" t="s">
        <v>179</v>
      </c>
      <c r="O5" s="33" t="s">
        <v>84</v>
      </c>
      <c r="P5" s="33" t="s">
        <v>101</v>
      </c>
      <c r="Q5" s="33" t="s">
        <v>100</v>
      </c>
      <c r="R5" s="33" t="s">
        <v>81</v>
      </c>
      <c r="S5" s="33" t="s">
        <v>79</v>
      </c>
      <c r="T5" s="33" t="s">
        <v>77</v>
      </c>
      <c r="U5" s="33" t="s">
        <v>75</v>
      </c>
      <c r="V5" s="33" t="s">
        <v>73</v>
      </c>
      <c r="W5" s="33" t="s">
        <v>71</v>
      </c>
      <c r="X5" s="33" t="s">
        <v>99</v>
      </c>
      <c r="Y5" s="33" t="s">
        <v>69</v>
      </c>
      <c r="Z5" s="33" t="s">
        <v>98</v>
      </c>
      <c r="AA5" s="33" t="s">
        <v>97</v>
      </c>
      <c r="AB5" s="33">
        <v>241</v>
      </c>
      <c r="AC5" s="33">
        <v>242</v>
      </c>
      <c r="AD5" s="33">
        <v>243</v>
      </c>
      <c r="AE5" s="33">
        <v>244</v>
      </c>
      <c r="AF5" s="33">
        <v>245</v>
      </c>
      <c r="AG5" s="33" t="s">
        <v>66</v>
      </c>
      <c r="AH5" s="33" t="s">
        <v>64</v>
      </c>
      <c r="AI5" s="33" t="s">
        <v>96</v>
      </c>
      <c r="AJ5" s="33" t="s">
        <v>95</v>
      </c>
      <c r="AK5" s="33" t="s">
        <v>63</v>
      </c>
      <c r="AL5" s="33" t="s">
        <v>61</v>
      </c>
      <c r="AM5" s="33" t="s">
        <v>59</v>
      </c>
      <c r="AN5" s="33" t="s">
        <v>57</v>
      </c>
      <c r="AO5" s="33" t="s">
        <v>55</v>
      </c>
      <c r="AP5" s="33">
        <v>351</v>
      </c>
      <c r="AQ5" s="33">
        <v>352</v>
      </c>
      <c r="AR5" s="33">
        <v>353</v>
      </c>
      <c r="AS5" s="33" t="s">
        <v>94</v>
      </c>
      <c r="AT5" s="33" t="s">
        <v>48</v>
      </c>
      <c r="AU5" s="33" t="s">
        <v>46</v>
      </c>
      <c r="AV5" s="33" t="s">
        <v>45</v>
      </c>
      <c r="AW5" s="33" t="s">
        <v>43</v>
      </c>
      <c r="AX5" s="33" t="s">
        <v>41</v>
      </c>
      <c r="AY5" s="33" t="s">
        <v>39</v>
      </c>
      <c r="AZ5" s="33" t="s">
        <v>37</v>
      </c>
      <c r="BA5" s="33" t="s">
        <v>35</v>
      </c>
      <c r="BB5" s="33" t="s">
        <v>33</v>
      </c>
      <c r="BC5" s="33" t="s">
        <v>31</v>
      </c>
      <c r="BD5" s="33" t="s">
        <v>29</v>
      </c>
      <c r="BE5" s="33" t="s">
        <v>198</v>
      </c>
      <c r="BF5" s="33" t="s">
        <v>27</v>
      </c>
      <c r="BG5" s="33" t="s">
        <v>25</v>
      </c>
      <c r="BH5" s="33" t="s">
        <v>23</v>
      </c>
      <c r="BI5" s="33" t="s">
        <v>22</v>
      </c>
      <c r="BJ5" s="33" t="s">
        <v>21</v>
      </c>
      <c r="BK5" s="33" t="s">
        <v>160</v>
      </c>
      <c r="BL5" s="33" t="s">
        <v>158</v>
      </c>
      <c r="BM5" s="33" t="s">
        <v>19</v>
      </c>
      <c r="BN5" s="33" t="s">
        <v>17</v>
      </c>
      <c r="BO5" s="33" t="s">
        <v>15</v>
      </c>
      <c r="BP5" s="33" t="s">
        <v>13</v>
      </c>
      <c r="BQ5" s="33" t="s">
        <v>93</v>
      </c>
      <c r="BR5" s="33" t="s">
        <v>92</v>
      </c>
      <c r="BS5" s="33" t="s">
        <v>11</v>
      </c>
      <c r="BT5" s="33"/>
      <c r="BU5" s="33"/>
      <c r="BV5" s="33"/>
      <c r="BW5" s="33"/>
      <c r="BX5" s="34"/>
      <c r="BY5" s="33"/>
      <c r="BZ5" s="35"/>
      <c r="CA5" s="35"/>
      <c r="CB5" s="35"/>
      <c r="CC5" s="35"/>
      <c r="CD5" s="35"/>
      <c r="CE5" s="35"/>
    </row>
    <row r="6" spans="1:86" ht="11.25" customHeight="1">
      <c r="A6" s="30" t="s">
        <v>147</v>
      </c>
      <c r="B6" s="63"/>
      <c r="C6" s="30"/>
      <c r="D6" s="35">
        <v>1</v>
      </c>
      <c r="E6" s="35">
        <v>2</v>
      </c>
      <c r="F6" s="35">
        <v>3</v>
      </c>
      <c r="G6" s="35">
        <v>4</v>
      </c>
      <c r="H6" s="35">
        <v>5</v>
      </c>
      <c r="I6" s="35">
        <v>6</v>
      </c>
      <c r="J6" s="35">
        <v>7</v>
      </c>
      <c r="K6" s="35">
        <v>8</v>
      </c>
      <c r="L6" s="35">
        <v>9</v>
      </c>
      <c r="M6" s="35">
        <v>10</v>
      </c>
      <c r="N6" s="35">
        <v>11</v>
      </c>
      <c r="O6" s="35">
        <v>12</v>
      </c>
      <c r="P6" s="35">
        <v>13</v>
      </c>
      <c r="Q6" s="35">
        <v>14</v>
      </c>
      <c r="R6" s="35">
        <v>15</v>
      </c>
      <c r="S6" s="35">
        <v>16</v>
      </c>
      <c r="T6" s="35">
        <v>17</v>
      </c>
      <c r="U6" s="35">
        <v>18</v>
      </c>
      <c r="V6" s="35">
        <v>19</v>
      </c>
      <c r="W6" s="35">
        <v>20</v>
      </c>
      <c r="X6" s="35">
        <v>21</v>
      </c>
      <c r="Y6" s="35">
        <v>22</v>
      </c>
      <c r="Z6" s="35">
        <v>23</v>
      </c>
      <c r="AA6" s="35">
        <v>24</v>
      </c>
      <c r="AB6" s="35">
        <v>25</v>
      </c>
      <c r="AC6" s="35">
        <v>26</v>
      </c>
      <c r="AD6" s="35">
        <v>27</v>
      </c>
      <c r="AE6" s="35">
        <v>28</v>
      </c>
      <c r="AF6" s="35">
        <v>29</v>
      </c>
      <c r="AG6" s="35">
        <v>30</v>
      </c>
      <c r="AH6" s="35">
        <v>31</v>
      </c>
      <c r="AI6" s="35">
        <v>32</v>
      </c>
      <c r="AJ6" s="35">
        <v>33</v>
      </c>
      <c r="AK6" s="35">
        <v>34</v>
      </c>
      <c r="AL6" s="35">
        <v>35</v>
      </c>
      <c r="AM6" s="35">
        <v>36</v>
      </c>
      <c r="AN6" s="35">
        <v>37</v>
      </c>
      <c r="AO6" s="35">
        <v>38</v>
      </c>
      <c r="AP6" s="35">
        <v>39</v>
      </c>
      <c r="AQ6" s="35">
        <v>40</v>
      </c>
      <c r="AR6" s="35">
        <v>41</v>
      </c>
      <c r="AS6" s="35">
        <v>42</v>
      </c>
      <c r="AT6" s="35">
        <v>43</v>
      </c>
      <c r="AU6" s="35">
        <v>44</v>
      </c>
      <c r="AV6" s="35">
        <v>45</v>
      </c>
      <c r="AW6" s="35">
        <v>46</v>
      </c>
      <c r="AX6" s="35">
        <v>47</v>
      </c>
      <c r="AY6" s="35">
        <v>48</v>
      </c>
      <c r="AZ6" s="35">
        <v>49</v>
      </c>
      <c r="BA6" s="35">
        <v>50</v>
      </c>
      <c r="BB6" s="35">
        <v>51</v>
      </c>
      <c r="BC6" s="35">
        <v>52</v>
      </c>
      <c r="BD6" s="35">
        <v>53</v>
      </c>
      <c r="BE6" s="35">
        <v>54</v>
      </c>
      <c r="BF6" s="35">
        <v>55</v>
      </c>
      <c r="BG6" s="35">
        <v>56</v>
      </c>
      <c r="BH6" s="35">
        <v>57</v>
      </c>
      <c r="BI6" s="35">
        <v>58</v>
      </c>
      <c r="BJ6" s="35">
        <v>59</v>
      </c>
      <c r="BK6" s="35">
        <v>60</v>
      </c>
      <c r="BL6" s="35">
        <v>61</v>
      </c>
      <c r="BM6" s="35">
        <v>62</v>
      </c>
      <c r="BN6" s="35">
        <v>63</v>
      </c>
      <c r="BO6" s="35">
        <v>64</v>
      </c>
      <c r="BP6" s="35">
        <v>65</v>
      </c>
      <c r="BQ6" s="35">
        <v>66</v>
      </c>
      <c r="BR6" s="35">
        <v>67</v>
      </c>
      <c r="BS6" s="35">
        <v>68</v>
      </c>
      <c r="BT6" s="35">
        <v>69</v>
      </c>
      <c r="BU6" s="35">
        <v>70</v>
      </c>
      <c r="BV6" s="35">
        <v>71</v>
      </c>
      <c r="BW6" s="35">
        <v>72</v>
      </c>
      <c r="BX6" s="35">
        <v>73</v>
      </c>
      <c r="BY6" s="35">
        <v>74</v>
      </c>
      <c r="BZ6" s="35">
        <v>75</v>
      </c>
      <c r="CA6" s="35">
        <v>76</v>
      </c>
      <c r="CB6" s="35">
        <v>77</v>
      </c>
      <c r="CC6" s="35">
        <v>78</v>
      </c>
      <c r="CD6" s="35">
        <v>79</v>
      </c>
      <c r="CE6" s="35">
        <v>80</v>
      </c>
    </row>
    <row r="7" spans="1:86" ht="11.25" customHeight="1">
      <c r="A7" s="38">
        <v>1</v>
      </c>
      <c r="B7" s="65" t="s">
        <v>103</v>
      </c>
      <c r="C7" s="39" t="s">
        <v>189</v>
      </c>
      <c r="D7" s="40">
        <v>1085966935</v>
      </c>
      <c r="E7" s="40">
        <v>138385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1346009368</v>
      </c>
      <c r="O7" s="40">
        <v>30188015</v>
      </c>
      <c r="P7" s="40">
        <v>5687418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5281140</v>
      </c>
      <c r="Y7" s="40">
        <v>640479</v>
      </c>
      <c r="Z7" s="40">
        <v>2120054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0</v>
      </c>
      <c r="AP7" s="40">
        <v>249</v>
      </c>
      <c r="AQ7" s="40">
        <v>0</v>
      </c>
      <c r="AR7" s="40">
        <v>0</v>
      </c>
      <c r="AS7" s="40">
        <v>105426</v>
      </c>
      <c r="AT7" s="40">
        <v>0</v>
      </c>
      <c r="AU7" s="40">
        <v>0</v>
      </c>
      <c r="AV7" s="40">
        <v>5497753</v>
      </c>
      <c r="AW7" s="40">
        <v>0</v>
      </c>
      <c r="AX7" s="40">
        <v>0</v>
      </c>
      <c r="AY7" s="40">
        <v>0</v>
      </c>
      <c r="AZ7" s="40">
        <v>0</v>
      </c>
      <c r="BA7" s="40">
        <v>0</v>
      </c>
      <c r="BB7" s="40">
        <v>0</v>
      </c>
      <c r="BC7" s="40">
        <v>5381998</v>
      </c>
      <c r="BD7" s="40">
        <v>334538869</v>
      </c>
      <c r="BE7" s="40">
        <v>0</v>
      </c>
      <c r="BF7" s="40">
        <v>0</v>
      </c>
      <c r="BG7" s="40">
        <v>0</v>
      </c>
      <c r="BH7" s="40">
        <v>0</v>
      </c>
      <c r="BI7" s="40">
        <v>0</v>
      </c>
      <c r="BJ7" s="40">
        <v>0</v>
      </c>
      <c r="BK7" s="40">
        <v>8370744</v>
      </c>
      <c r="BL7" s="40">
        <v>6981901</v>
      </c>
      <c r="BM7" s="40">
        <v>14981015</v>
      </c>
      <c r="BN7" s="40">
        <v>51935832</v>
      </c>
      <c r="BO7" s="40">
        <v>28753350</v>
      </c>
      <c r="BP7" s="40">
        <v>745679</v>
      </c>
      <c r="BQ7" s="40">
        <v>1539807</v>
      </c>
      <c r="BR7" s="40">
        <v>0</v>
      </c>
      <c r="BS7" s="40">
        <v>0</v>
      </c>
      <c r="BT7" s="40">
        <v>2934864417</v>
      </c>
      <c r="BU7" s="40">
        <v>4495513412</v>
      </c>
      <c r="BV7" s="40">
        <v>0</v>
      </c>
      <c r="BW7" s="40">
        <v>0</v>
      </c>
      <c r="BX7" s="40">
        <v>4495513412</v>
      </c>
      <c r="BY7" s="40">
        <v>337863564</v>
      </c>
      <c r="BZ7" s="40">
        <v>1033610231</v>
      </c>
      <c r="CA7" s="40">
        <v>0</v>
      </c>
      <c r="CB7" s="40">
        <v>1371473795</v>
      </c>
      <c r="CC7" s="40">
        <v>851181816</v>
      </c>
      <c r="CD7" s="40">
        <v>6718169023</v>
      </c>
      <c r="CE7" s="40">
        <v>9653033440</v>
      </c>
      <c r="CF7" s="41"/>
      <c r="CG7" s="41"/>
      <c r="CH7" s="42"/>
    </row>
    <row r="8" spans="1:86" ht="22.5">
      <c r="A8" s="38">
        <v>2</v>
      </c>
      <c r="B8" s="65" t="s">
        <v>91</v>
      </c>
      <c r="C8" s="39" t="s">
        <v>134</v>
      </c>
      <c r="D8" s="40">
        <v>40277</v>
      </c>
      <c r="E8" s="40">
        <v>9143129</v>
      </c>
      <c r="F8" s="40">
        <v>0</v>
      </c>
      <c r="G8" s="40">
        <v>0</v>
      </c>
      <c r="H8" s="40">
        <v>8620</v>
      </c>
      <c r="I8" s="40">
        <v>407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12491611</v>
      </c>
      <c r="T8" s="40">
        <v>0</v>
      </c>
      <c r="U8" s="40">
        <v>0</v>
      </c>
      <c r="V8" s="40">
        <v>0</v>
      </c>
      <c r="W8" s="40">
        <v>0</v>
      </c>
      <c r="X8" s="40">
        <v>149591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0</v>
      </c>
      <c r="AP8" s="40">
        <v>0</v>
      </c>
      <c r="AQ8" s="40">
        <v>0</v>
      </c>
      <c r="AR8" s="40">
        <v>0</v>
      </c>
      <c r="AS8" s="40">
        <v>0</v>
      </c>
      <c r="AT8" s="40">
        <v>65582</v>
      </c>
      <c r="AU8" s="40">
        <v>0</v>
      </c>
      <c r="AV8" s="40">
        <v>0</v>
      </c>
      <c r="AW8" s="40">
        <v>0</v>
      </c>
      <c r="AX8" s="40">
        <v>0</v>
      </c>
      <c r="AY8" s="40">
        <v>0</v>
      </c>
      <c r="AZ8" s="40">
        <v>0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40">
        <v>0</v>
      </c>
      <c r="BG8" s="40">
        <v>0</v>
      </c>
      <c r="BH8" s="40">
        <v>0</v>
      </c>
      <c r="BI8" s="40">
        <v>0</v>
      </c>
      <c r="BJ8" s="40">
        <v>0</v>
      </c>
      <c r="BK8" s="40">
        <v>1316</v>
      </c>
      <c r="BL8" s="40">
        <v>683821</v>
      </c>
      <c r="BM8" s="40">
        <v>3755509</v>
      </c>
      <c r="BN8" s="40">
        <v>73592</v>
      </c>
      <c r="BO8" s="40">
        <v>0</v>
      </c>
      <c r="BP8" s="40">
        <v>38</v>
      </c>
      <c r="BQ8" s="40">
        <v>0</v>
      </c>
      <c r="BR8" s="40">
        <v>0</v>
      </c>
      <c r="BS8" s="40">
        <v>0</v>
      </c>
      <c r="BT8" s="40">
        <v>26413493</v>
      </c>
      <c r="BU8" s="40">
        <v>1569132</v>
      </c>
      <c r="BV8" s="40">
        <v>0</v>
      </c>
      <c r="BW8" s="40">
        <v>0</v>
      </c>
      <c r="BX8" s="40">
        <v>1569132</v>
      </c>
      <c r="BY8" s="40">
        <v>0</v>
      </c>
      <c r="BZ8" s="40">
        <v>-1357494</v>
      </c>
      <c r="CA8" s="40">
        <v>0</v>
      </c>
      <c r="CB8" s="40">
        <v>-1357494</v>
      </c>
      <c r="CC8" s="40">
        <v>2542999</v>
      </c>
      <c r="CD8" s="40">
        <v>2754637</v>
      </c>
      <c r="CE8" s="40">
        <v>29168130</v>
      </c>
      <c r="CF8" s="41"/>
      <c r="CG8" s="41"/>
      <c r="CH8" s="42"/>
    </row>
    <row r="9" spans="1:86" ht="33.75">
      <c r="A9" s="38">
        <v>3</v>
      </c>
      <c r="B9" s="65" t="s">
        <v>90</v>
      </c>
      <c r="C9" s="39" t="s">
        <v>89</v>
      </c>
      <c r="D9" s="40">
        <v>0</v>
      </c>
      <c r="E9" s="40">
        <v>0</v>
      </c>
      <c r="F9" s="40">
        <v>61268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6982247</v>
      </c>
      <c r="O9" s="40">
        <v>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0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0</v>
      </c>
      <c r="AV9" s="40">
        <v>0</v>
      </c>
      <c r="AW9" s="40">
        <v>0</v>
      </c>
      <c r="AX9" s="40">
        <v>0</v>
      </c>
      <c r="AY9" s="40">
        <v>0</v>
      </c>
      <c r="AZ9" s="40">
        <v>0</v>
      </c>
      <c r="BA9" s="40">
        <v>0</v>
      </c>
      <c r="BB9" s="40">
        <v>0</v>
      </c>
      <c r="BC9" s="40">
        <v>83489</v>
      </c>
      <c r="BD9" s="40">
        <v>10800136</v>
      </c>
      <c r="BE9" s="40">
        <v>0</v>
      </c>
      <c r="BF9" s="40">
        <v>0</v>
      </c>
      <c r="BG9" s="40">
        <v>0</v>
      </c>
      <c r="BH9" s="40">
        <v>0</v>
      </c>
      <c r="BI9" s="40">
        <v>0</v>
      </c>
      <c r="BJ9" s="40">
        <v>0</v>
      </c>
      <c r="BK9" s="40">
        <v>0</v>
      </c>
      <c r="BL9" s="40">
        <v>0</v>
      </c>
      <c r="BM9" s="40">
        <v>4644537</v>
      </c>
      <c r="BN9" s="40">
        <v>6254708</v>
      </c>
      <c r="BO9" s="40">
        <v>2757457</v>
      </c>
      <c r="BP9" s="40">
        <v>154323</v>
      </c>
      <c r="BQ9" s="40">
        <v>0</v>
      </c>
      <c r="BR9" s="40">
        <v>0</v>
      </c>
      <c r="BS9" s="40">
        <v>0</v>
      </c>
      <c r="BT9" s="40">
        <v>31738165</v>
      </c>
      <c r="BU9" s="40">
        <v>204989053</v>
      </c>
      <c r="BV9" s="40">
        <v>0</v>
      </c>
      <c r="BW9" s="40">
        <v>0</v>
      </c>
      <c r="BX9" s="40">
        <v>204989053</v>
      </c>
      <c r="BY9" s="40">
        <v>0</v>
      </c>
      <c r="BZ9" s="40">
        <v>0</v>
      </c>
      <c r="CA9" s="40">
        <v>0</v>
      </c>
      <c r="CB9" s="40">
        <v>0</v>
      </c>
      <c r="CC9" s="40">
        <v>1558776</v>
      </c>
      <c r="CD9" s="40">
        <v>206547829</v>
      </c>
      <c r="CE9" s="40">
        <v>238285994</v>
      </c>
      <c r="CF9" s="41"/>
      <c r="CG9" s="41"/>
      <c r="CH9" s="42"/>
    </row>
    <row r="10" spans="1:86">
      <c r="A10" s="38">
        <v>4</v>
      </c>
      <c r="B10" s="65" t="s">
        <v>88</v>
      </c>
      <c r="C10" s="39" t="s">
        <v>87</v>
      </c>
      <c r="D10" s="40">
        <v>1112721</v>
      </c>
      <c r="E10" s="40">
        <v>0</v>
      </c>
      <c r="F10" s="40">
        <v>0</v>
      </c>
      <c r="G10" s="40">
        <v>12801819</v>
      </c>
      <c r="H10" s="40">
        <v>5118</v>
      </c>
      <c r="I10" s="40">
        <v>245</v>
      </c>
      <c r="J10" s="40">
        <v>1519160</v>
      </c>
      <c r="K10" s="40">
        <v>1037060</v>
      </c>
      <c r="L10" s="40">
        <v>2622</v>
      </c>
      <c r="M10" s="40">
        <v>7967</v>
      </c>
      <c r="N10" s="40">
        <v>45880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1449</v>
      </c>
      <c r="U10" s="40">
        <v>0</v>
      </c>
      <c r="V10" s="40">
        <v>53691589</v>
      </c>
      <c r="W10" s="40">
        <v>0</v>
      </c>
      <c r="X10" s="40">
        <v>6322</v>
      </c>
      <c r="Y10" s="40">
        <v>0</v>
      </c>
      <c r="Z10" s="40">
        <v>0</v>
      </c>
      <c r="AA10" s="40">
        <v>10865238</v>
      </c>
      <c r="AB10" s="40">
        <v>4399891</v>
      </c>
      <c r="AC10" s="40">
        <v>0</v>
      </c>
      <c r="AD10" s="40">
        <v>0</v>
      </c>
      <c r="AE10" s="40">
        <v>452678</v>
      </c>
      <c r="AF10" s="40">
        <v>0</v>
      </c>
      <c r="AG10" s="40">
        <v>962</v>
      </c>
      <c r="AH10" s="40">
        <v>0</v>
      </c>
      <c r="AI10" s="40">
        <v>0</v>
      </c>
      <c r="AJ10" s="40">
        <v>13432</v>
      </c>
      <c r="AK10" s="40">
        <v>0</v>
      </c>
      <c r="AL10" s="40">
        <v>5795</v>
      </c>
      <c r="AM10" s="40">
        <v>0</v>
      </c>
      <c r="AN10" s="40">
        <v>260</v>
      </c>
      <c r="AO10" s="40">
        <v>19158</v>
      </c>
      <c r="AP10" s="40">
        <v>122022945</v>
      </c>
      <c r="AQ10" s="40">
        <v>0</v>
      </c>
      <c r="AR10" s="40">
        <v>23888600</v>
      </c>
      <c r="AS10" s="40">
        <v>3137968</v>
      </c>
      <c r="AT10" s="40">
        <v>113661</v>
      </c>
      <c r="AU10" s="40">
        <v>0</v>
      </c>
      <c r="AV10" s="40">
        <v>45416</v>
      </c>
      <c r="AW10" s="40">
        <v>22510</v>
      </c>
      <c r="AX10" s="40">
        <v>88084626</v>
      </c>
      <c r="AY10" s="40">
        <v>0</v>
      </c>
      <c r="AZ10" s="40">
        <v>0</v>
      </c>
      <c r="BA10" s="40">
        <v>124912</v>
      </c>
      <c r="BB10" s="40">
        <v>0</v>
      </c>
      <c r="BC10" s="40">
        <v>0</v>
      </c>
      <c r="BD10" s="40">
        <v>0</v>
      </c>
      <c r="BE10" s="40">
        <v>0</v>
      </c>
      <c r="BF10" s="40">
        <v>0</v>
      </c>
      <c r="BG10" s="40">
        <v>0</v>
      </c>
      <c r="BH10" s="40">
        <v>0</v>
      </c>
      <c r="BI10" s="40">
        <v>0</v>
      </c>
      <c r="BJ10" s="40">
        <v>9770</v>
      </c>
      <c r="BK10" s="40">
        <v>225391</v>
      </c>
      <c r="BL10" s="40">
        <v>116937</v>
      </c>
      <c r="BM10" s="40">
        <v>22166479</v>
      </c>
      <c r="BN10" s="40">
        <v>73599345</v>
      </c>
      <c r="BO10" s="40">
        <v>55055206</v>
      </c>
      <c r="BP10" s="40">
        <v>364972</v>
      </c>
      <c r="BQ10" s="40">
        <v>279470</v>
      </c>
      <c r="BR10" s="40">
        <v>0</v>
      </c>
      <c r="BS10" s="40">
        <v>0</v>
      </c>
      <c r="BT10" s="40">
        <v>475247574</v>
      </c>
      <c r="BU10" s="40">
        <v>170938170</v>
      </c>
      <c r="BV10" s="40">
        <v>0</v>
      </c>
      <c r="BW10" s="40">
        <v>0</v>
      </c>
      <c r="BX10" s="40">
        <v>170938170</v>
      </c>
      <c r="BY10" s="40">
        <v>0</v>
      </c>
      <c r="BZ10" s="40">
        <v>38745804</v>
      </c>
      <c r="CA10" s="40">
        <v>0</v>
      </c>
      <c r="CB10" s="40">
        <v>38745804</v>
      </c>
      <c r="CC10" s="40">
        <v>225712908</v>
      </c>
      <c r="CD10" s="40">
        <v>435396882</v>
      </c>
      <c r="CE10" s="40">
        <v>910644456</v>
      </c>
      <c r="CF10" s="41"/>
      <c r="CG10" s="41"/>
      <c r="CH10" s="42"/>
    </row>
    <row r="11" spans="1:86">
      <c r="A11" s="38">
        <v>5</v>
      </c>
      <c r="B11" s="65" t="s">
        <v>188</v>
      </c>
      <c r="C11" s="39" t="s">
        <v>187</v>
      </c>
      <c r="D11" s="40">
        <v>0</v>
      </c>
      <c r="E11" s="40">
        <v>0</v>
      </c>
      <c r="F11" s="40">
        <v>0</v>
      </c>
      <c r="G11" s="40">
        <v>0</v>
      </c>
      <c r="H11" s="40">
        <v>53609340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213110083</v>
      </c>
      <c r="X11" s="40">
        <v>60578</v>
      </c>
      <c r="Y11" s="40">
        <v>0</v>
      </c>
      <c r="Z11" s="40">
        <v>75182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40">
        <v>0</v>
      </c>
      <c r="AN11" s="40">
        <v>0</v>
      </c>
      <c r="AO11" s="40">
        <v>0</v>
      </c>
      <c r="AP11" s="40">
        <v>0</v>
      </c>
      <c r="AQ11" s="40">
        <v>0</v>
      </c>
      <c r="AR11" s="40">
        <v>0</v>
      </c>
      <c r="AS11" s="40">
        <v>0</v>
      </c>
      <c r="AT11" s="40">
        <v>0</v>
      </c>
      <c r="AU11" s="40">
        <v>0</v>
      </c>
      <c r="AV11" s="40">
        <v>0</v>
      </c>
      <c r="AW11" s="40">
        <v>0</v>
      </c>
      <c r="AX11" s="40">
        <v>0</v>
      </c>
      <c r="AY11" s="40">
        <v>0</v>
      </c>
      <c r="AZ11" s="40">
        <v>0</v>
      </c>
      <c r="BA11" s="40">
        <v>0</v>
      </c>
      <c r="BB11" s="40">
        <v>0</v>
      </c>
      <c r="BC11" s="40">
        <v>0</v>
      </c>
      <c r="BD11" s="40">
        <v>0</v>
      </c>
      <c r="BE11" s="40">
        <v>0</v>
      </c>
      <c r="BF11" s="40">
        <v>0</v>
      </c>
      <c r="BG11" s="40">
        <v>0</v>
      </c>
      <c r="BH11" s="40">
        <v>0</v>
      </c>
      <c r="BI11" s="40">
        <v>0</v>
      </c>
      <c r="BJ11" s="40">
        <v>0</v>
      </c>
      <c r="BK11" s="40">
        <v>0</v>
      </c>
      <c r="BL11" s="40">
        <v>0</v>
      </c>
      <c r="BM11" s="40">
        <v>0</v>
      </c>
      <c r="BN11" s="40">
        <v>0</v>
      </c>
      <c r="BO11" s="40">
        <v>0</v>
      </c>
      <c r="BP11" s="40">
        <v>0</v>
      </c>
      <c r="BQ11" s="40">
        <v>0</v>
      </c>
      <c r="BR11" s="40">
        <v>0</v>
      </c>
      <c r="BS11" s="40">
        <v>0</v>
      </c>
      <c r="BT11" s="40">
        <v>266855183</v>
      </c>
      <c r="BU11" s="40">
        <v>0</v>
      </c>
      <c r="BV11" s="40">
        <v>0</v>
      </c>
      <c r="BW11" s="40">
        <v>0</v>
      </c>
      <c r="BX11" s="40">
        <v>0</v>
      </c>
      <c r="BY11" s="40">
        <v>0</v>
      </c>
      <c r="BZ11" s="40">
        <v>-52577805</v>
      </c>
      <c r="CA11" s="40">
        <v>0</v>
      </c>
      <c r="CB11" s="40">
        <v>-52577805</v>
      </c>
      <c r="CC11" s="40">
        <v>16168491756</v>
      </c>
      <c r="CD11" s="40">
        <v>16115913951</v>
      </c>
      <c r="CE11" s="40">
        <v>16382769134</v>
      </c>
      <c r="CF11" s="41"/>
      <c r="CG11" s="41"/>
      <c r="CH11" s="42"/>
    </row>
    <row r="12" spans="1:86" ht="22.5">
      <c r="A12" s="38">
        <v>6</v>
      </c>
      <c r="B12" s="65" t="s">
        <v>186</v>
      </c>
      <c r="C12" s="39" t="s">
        <v>185</v>
      </c>
      <c r="D12" s="40">
        <v>534852</v>
      </c>
      <c r="E12" s="40">
        <v>0</v>
      </c>
      <c r="F12" s="40">
        <v>0</v>
      </c>
      <c r="G12" s="40">
        <v>0</v>
      </c>
      <c r="H12" s="40">
        <v>14295386</v>
      </c>
      <c r="I12" s="40">
        <v>678693</v>
      </c>
      <c r="J12" s="40">
        <v>290370</v>
      </c>
      <c r="K12" s="40">
        <v>671</v>
      </c>
      <c r="L12" s="40">
        <v>11015</v>
      </c>
      <c r="M12" s="40">
        <v>525376</v>
      </c>
      <c r="N12" s="40">
        <v>1317791</v>
      </c>
      <c r="O12" s="40">
        <v>0</v>
      </c>
      <c r="P12" s="40">
        <v>1061</v>
      </c>
      <c r="Q12" s="40">
        <v>814</v>
      </c>
      <c r="R12" s="40">
        <v>1091</v>
      </c>
      <c r="S12" s="40">
        <v>0</v>
      </c>
      <c r="T12" s="40">
        <v>41858</v>
      </c>
      <c r="U12" s="40">
        <v>0</v>
      </c>
      <c r="V12" s="40">
        <v>0</v>
      </c>
      <c r="W12" s="40">
        <v>2925266</v>
      </c>
      <c r="X12" s="40">
        <v>213840</v>
      </c>
      <c r="Y12" s="40">
        <v>114374</v>
      </c>
      <c r="Z12" s="40">
        <v>43</v>
      </c>
      <c r="AA12" s="40">
        <v>177493</v>
      </c>
      <c r="AB12" s="40">
        <v>3345</v>
      </c>
      <c r="AC12" s="40">
        <v>0</v>
      </c>
      <c r="AD12" s="40">
        <v>112</v>
      </c>
      <c r="AE12" s="40">
        <v>105</v>
      </c>
      <c r="AF12" s="40">
        <v>0</v>
      </c>
      <c r="AG12" s="40">
        <v>2161</v>
      </c>
      <c r="AH12" s="40">
        <v>0</v>
      </c>
      <c r="AI12" s="40">
        <v>0</v>
      </c>
      <c r="AJ12" s="40">
        <v>220</v>
      </c>
      <c r="AK12" s="40">
        <v>1910</v>
      </c>
      <c r="AL12" s="40">
        <v>0</v>
      </c>
      <c r="AM12" s="40">
        <v>0</v>
      </c>
      <c r="AN12" s="40">
        <v>0</v>
      </c>
      <c r="AO12" s="40">
        <v>6021</v>
      </c>
      <c r="AP12" s="40">
        <v>23676593</v>
      </c>
      <c r="AQ12" s="40">
        <v>75795170</v>
      </c>
      <c r="AR12" s="40">
        <v>3792224</v>
      </c>
      <c r="AS12" s="40">
        <v>39025</v>
      </c>
      <c r="AT12" s="40">
        <v>55893</v>
      </c>
      <c r="AU12" s="40">
        <v>0</v>
      </c>
      <c r="AV12" s="40">
        <v>112587</v>
      </c>
      <c r="AW12" s="40">
        <v>23297</v>
      </c>
      <c r="AX12" s="40">
        <v>32208409</v>
      </c>
      <c r="AY12" s="40">
        <v>0</v>
      </c>
      <c r="AZ12" s="40">
        <v>0</v>
      </c>
      <c r="BA12" s="40">
        <v>60852</v>
      </c>
      <c r="BB12" s="40">
        <v>0</v>
      </c>
      <c r="BC12" s="40">
        <v>257250</v>
      </c>
      <c r="BD12" s="40">
        <v>1652</v>
      </c>
      <c r="BE12" s="40">
        <v>0</v>
      </c>
      <c r="BF12" s="40">
        <v>0</v>
      </c>
      <c r="BG12" s="40">
        <v>0</v>
      </c>
      <c r="BH12" s="40">
        <v>0</v>
      </c>
      <c r="BI12" s="40">
        <v>0</v>
      </c>
      <c r="BJ12" s="40">
        <v>5037109</v>
      </c>
      <c r="BK12" s="40">
        <v>4174</v>
      </c>
      <c r="BL12" s="40">
        <v>175412</v>
      </c>
      <c r="BM12" s="40">
        <v>0</v>
      </c>
      <c r="BN12" s="40">
        <v>0</v>
      </c>
      <c r="BO12" s="40">
        <v>0</v>
      </c>
      <c r="BP12" s="40">
        <v>0</v>
      </c>
      <c r="BQ12" s="40">
        <v>0</v>
      </c>
      <c r="BR12" s="40">
        <v>0</v>
      </c>
      <c r="BS12" s="40">
        <v>0</v>
      </c>
      <c r="BT12" s="40">
        <v>162383515</v>
      </c>
      <c r="BU12" s="40">
        <v>0</v>
      </c>
      <c r="BV12" s="40">
        <v>0</v>
      </c>
      <c r="BW12" s="40">
        <v>0</v>
      </c>
      <c r="BX12" s="40">
        <v>0</v>
      </c>
      <c r="BY12" s="40">
        <v>0</v>
      </c>
      <c r="BZ12" s="40">
        <v>564993</v>
      </c>
      <c r="CA12" s="40">
        <v>0</v>
      </c>
      <c r="CB12" s="40">
        <v>564993</v>
      </c>
      <c r="CC12" s="40">
        <v>662476345</v>
      </c>
      <c r="CD12" s="40">
        <v>663041338</v>
      </c>
      <c r="CE12" s="40">
        <v>825424853</v>
      </c>
      <c r="CF12" s="41"/>
      <c r="CG12" s="41"/>
      <c r="CH12" s="42"/>
    </row>
    <row r="13" spans="1:86">
      <c r="A13" s="38">
        <v>7</v>
      </c>
      <c r="B13" s="65" t="s">
        <v>184</v>
      </c>
      <c r="C13" s="39" t="s">
        <v>183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556288765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>
        <v>0</v>
      </c>
      <c r="AL13" s="40">
        <v>0</v>
      </c>
      <c r="AM13" s="40">
        <v>0</v>
      </c>
      <c r="AN13" s="40">
        <v>0</v>
      </c>
      <c r="AO13" s="40">
        <v>0</v>
      </c>
      <c r="AP13" s="40">
        <v>0</v>
      </c>
      <c r="AQ13" s="40">
        <v>0</v>
      </c>
      <c r="AR13" s="40">
        <v>0</v>
      </c>
      <c r="AS13" s="40">
        <v>0</v>
      </c>
      <c r="AT13" s="40">
        <v>0</v>
      </c>
      <c r="AU13" s="40">
        <v>0</v>
      </c>
      <c r="AV13" s="40">
        <v>0</v>
      </c>
      <c r="AW13" s="40">
        <v>0</v>
      </c>
      <c r="AX13" s="40">
        <v>0</v>
      </c>
      <c r="AY13" s="40">
        <v>0</v>
      </c>
      <c r="AZ13" s="40">
        <v>0</v>
      </c>
      <c r="BA13" s="40">
        <v>0</v>
      </c>
      <c r="BB13" s="40">
        <v>0</v>
      </c>
      <c r="BC13" s="40">
        <v>0</v>
      </c>
      <c r="BD13" s="40">
        <v>0</v>
      </c>
      <c r="BE13" s="40">
        <v>0</v>
      </c>
      <c r="BF13" s="40">
        <v>0</v>
      </c>
      <c r="BG13" s="40">
        <v>0</v>
      </c>
      <c r="BH13" s="40">
        <v>0</v>
      </c>
      <c r="BI13" s="40">
        <v>0</v>
      </c>
      <c r="BJ13" s="40">
        <v>0</v>
      </c>
      <c r="BK13" s="40">
        <v>0</v>
      </c>
      <c r="BL13" s="40">
        <v>0</v>
      </c>
      <c r="BM13" s="40">
        <v>0</v>
      </c>
      <c r="BN13" s="40">
        <v>0</v>
      </c>
      <c r="BO13" s="40">
        <v>0</v>
      </c>
      <c r="BP13" s="40">
        <v>0</v>
      </c>
      <c r="BQ13" s="40">
        <v>0</v>
      </c>
      <c r="BR13" s="40">
        <v>0</v>
      </c>
      <c r="BS13" s="40">
        <v>0</v>
      </c>
      <c r="BT13" s="40">
        <v>556288765</v>
      </c>
      <c r="BU13" s="40">
        <v>0</v>
      </c>
      <c r="BV13" s="40">
        <v>0</v>
      </c>
      <c r="BW13" s="40">
        <v>0</v>
      </c>
      <c r="BX13" s="40">
        <v>0</v>
      </c>
      <c r="BY13" s="40">
        <v>0</v>
      </c>
      <c r="BZ13" s="40">
        <v>30461135</v>
      </c>
      <c r="CA13" s="40">
        <v>0</v>
      </c>
      <c r="CB13" s="40">
        <v>30461135</v>
      </c>
      <c r="CC13" s="40">
        <v>346926884</v>
      </c>
      <c r="CD13" s="40">
        <v>377388019</v>
      </c>
      <c r="CE13" s="40">
        <v>933676784</v>
      </c>
      <c r="CF13" s="41"/>
      <c r="CG13" s="41"/>
      <c r="CH13" s="42"/>
    </row>
    <row r="14" spans="1:86">
      <c r="A14" s="38">
        <v>8</v>
      </c>
      <c r="B14" s="65" t="s">
        <v>182</v>
      </c>
      <c r="C14" s="39" t="s">
        <v>181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230442910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452857422</v>
      </c>
      <c r="Y14" s="40">
        <v>0</v>
      </c>
      <c r="Z14" s="40">
        <v>0</v>
      </c>
      <c r="AA14" s="40">
        <v>0</v>
      </c>
      <c r="AB14" s="40">
        <v>212659722</v>
      </c>
      <c r="AC14" s="40">
        <v>0</v>
      </c>
      <c r="AD14" s="40">
        <v>0</v>
      </c>
      <c r="AE14" s="40">
        <v>4913998729</v>
      </c>
      <c r="AF14" s="40">
        <v>0</v>
      </c>
      <c r="AG14" s="40">
        <v>0</v>
      </c>
      <c r="AH14" s="40">
        <v>0</v>
      </c>
      <c r="AI14" s="40">
        <v>0</v>
      </c>
      <c r="AJ14" s="40">
        <v>0</v>
      </c>
      <c r="AK14" s="40">
        <v>0</v>
      </c>
      <c r="AL14" s="40">
        <v>0</v>
      </c>
      <c r="AM14" s="40">
        <v>0</v>
      </c>
      <c r="AN14" s="40">
        <v>0</v>
      </c>
      <c r="AO14" s="40">
        <v>0</v>
      </c>
      <c r="AP14" s="40">
        <v>0</v>
      </c>
      <c r="AQ14" s="40">
        <v>0</v>
      </c>
      <c r="AR14" s="40">
        <v>0</v>
      </c>
      <c r="AS14" s="40">
        <v>0</v>
      </c>
      <c r="AT14" s="40">
        <v>0</v>
      </c>
      <c r="AU14" s="40">
        <v>0</v>
      </c>
      <c r="AV14" s="40">
        <v>0</v>
      </c>
      <c r="AW14" s="40">
        <v>0</v>
      </c>
      <c r="AX14" s="40">
        <v>0</v>
      </c>
      <c r="AY14" s="40">
        <v>0</v>
      </c>
      <c r="AZ14" s="40">
        <v>0</v>
      </c>
      <c r="BA14" s="40">
        <v>0</v>
      </c>
      <c r="BB14" s="40">
        <v>0</v>
      </c>
      <c r="BC14" s="40">
        <v>0</v>
      </c>
      <c r="BD14" s="40">
        <v>0</v>
      </c>
      <c r="BE14" s="40">
        <v>0</v>
      </c>
      <c r="BF14" s="40">
        <v>0</v>
      </c>
      <c r="BG14" s="40">
        <v>0</v>
      </c>
      <c r="BH14" s="40">
        <v>0</v>
      </c>
      <c r="BI14" s="40">
        <v>0</v>
      </c>
      <c r="BJ14" s="40">
        <v>0</v>
      </c>
      <c r="BK14" s="40">
        <v>0</v>
      </c>
      <c r="BL14" s="40">
        <v>0</v>
      </c>
      <c r="BM14" s="40">
        <v>0</v>
      </c>
      <c r="BN14" s="40">
        <v>0</v>
      </c>
      <c r="BO14" s="40">
        <v>0</v>
      </c>
      <c r="BP14" s="40">
        <v>0</v>
      </c>
      <c r="BQ14" s="40">
        <v>0</v>
      </c>
      <c r="BR14" s="40">
        <v>0</v>
      </c>
      <c r="BS14" s="40">
        <v>0</v>
      </c>
      <c r="BT14" s="40">
        <v>5809958783</v>
      </c>
      <c r="BU14" s="40">
        <v>0</v>
      </c>
      <c r="BV14" s="40">
        <v>0</v>
      </c>
      <c r="BW14" s="40">
        <v>0</v>
      </c>
      <c r="BX14" s="40">
        <v>0</v>
      </c>
      <c r="BY14" s="40">
        <v>0</v>
      </c>
      <c r="BZ14" s="40">
        <v>750423169</v>
      </c>
      <c r="CA14" s="40">
        <v>0</v>
      </c>
      <c r="CB14" s="40">
        <v>750423169</v>
      </c>
      <c r="CC14" s="40">
        <v>1842296047</v>
      </c>
      <c r="CD14" s="40">
        <v>2592719216</v>
      </c>
      <c r="CE14" s="40">
        <v>8402677999</v>
      </c>
      <c r="CF14" s="41"/>
      <c r="CG14" s="41"/>
      <c r="CH14" s="42"/>
    </row>
    <row r="15" spans="1:86" ht="22.5">
      <c r="A15" s="38">
        <v>9</v>
      </c>
      <c r="B15" s="65" t="s">
        <v>102</v>
      </c>
      <c r="C15" s="39" t="s">
        <v>180</v>
      </c>
      <c r="D15" s="40">
        <v>1789987</v>
      </c>
      <c r="E15" s="40">
        <v>78</v>
      </c>
      <c r="F15" s="40">
        <v>15667</v>
      </c>
      <c r="G15" s="40">
        <v>0</v>
      </c>
      <c r="H15" s="40">
        <v>61402180</v>
      </c>
      <c r="I15" s="40">
        <v>2921230</v>
      </c>
      <c r="J15" s="40">
        <v>0</v>
      </c>
      <c r="K15" s="40">
        <v>1205</v>
      </c>
      <c r="L15" s="40">
        <v>10037477</v>
      </c>
      <c r="M15" s="40">
        <v>499127</v>
      </c>
      <c r="N15" s="40">
        <v>49590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1344578</v>
      </c>
      <c r="U15" s="40">
        <v>0</v>
      </c>
      <c r="V15" s="40">
        <v>0</v>
      </c>
      <c r="W15" s="40">
        <v>40</v>
      </c>
      <c r="X15" s="40">
        <v>24498967</v>
      </c>
      <c r="Y15" s="40">
        <v>68112</v>
      </c>
      <c r="Z15" s="40">
        <v>415413</v>
      </c>
      <c r="AA15" s="40">
        <v>103385947</v>
      </c>
      <c r="AB15" s="40">
        <v>3384586</v>
      </c>
      <c r="AC15" s="40">
        <v>67</v>
      </c>
      <c r="AD15" s="40">
        <v>166</v>
      </c>
      <c r="AE15" s="40">
        <v>1930</v>
      </c>
      <c r="AF15" s="40">
        <v>0</v>
      </c>
      <c r="AG15" s="40">
        <v>0</v>
      </c>
      <c r="AH15" s="40">
        <v>0</v>
      </c>
      <c r="AI15" s="40">
        <v>62</v>
      </c>
      <c r="AJ15" s="40">
        <v>181</v>
      </c>
      <c r="AK15" s="40">
        <v>6502</v>
      </c>
      <c r="AL15" s="40">
        <v>2771</v>
      </c>
      <c r="AM15" s="40">
        <v>0</v>
      </c>
      <c r="AN15" s="40">
        <v>681930</v>
      </c>
      <c r="AO15" s="40">
        <v>0</v>
      </c>
      <c r="AP15" s="40">
        <v>427116</v>
      </c>
      <c r="AQ15" s="40">
        <v>0</v>
      </c>
      <c r="AR15" s="40">
        <v>187833</v>
      </c>
      <c r="AS15" s="40">
        <v>515296</v>
      </c>
      <c r="AT15" s="40">
        <v>73718737</v>
      </c>
      <c r="AU15" s="40">
        <v>0</v>
      </c>
      <c r="AV15" s="40">
        <v>0</v>
      </c>
      <c r="AW15" s="40">
        <v>0</v>
      </c>
      <c r="AX15" s="40">
        <v>0</v>
      </c>
      <c r="AY15" s="40">
        <v>0</v>
      </c>
      <c r="AZ15" s="40">
        <v>0</v>
      </c>
      <c r="BA15" s="40">
        <v>0</v>
      </c>
      <c r="BB15" s="40">
        <v>0</v>
      </c>
      <c r="BC15" s="40">
        <v>0</v>
      </c>
      <c r="BD15" s="40">
        <v>0</v>
      </c>
      <c r="BE15" s="40">
        <v>0</v>
      </c>
      <c r="BF15" s="40">
        <v>0</v>
      </c>
      <c r="BG15" s="40">
        <v>0</v>
      </c>
      <c r="BH15" s="40">
        <v>0</v>
      </c>
      <c r="BI15" s="40">
        <v>0</v>
      </c>
      <c r="BJ15" s="40">
        <v>0</v>
      </c>
      <c r="BK15" s="40">
        <v>4066500</v>
      </c>
      <c r="BL15" s="40">
        <v>785335</v>
      </c>
      <c r="BM15" s="40">
        <v>77963</v>
      </c>
      <c r="BN15" s="40">
        <v>2256290</v>
      </c>
      <c r="BO15" s="40">
        <v>4886830</v>
      </c>
      <c r="BP15" s="40">
        <v>4152</v>
      </c>
      <c r="BQ15" s="40">
        <v>3697248</v>
      </c>
      <c r="BR15" s="40">
        <v>0</v>
      </c>
      <c r="BS15" s="40">
        <v>0</v>
      </c>
      <c r="BT15" s="40">
        <v>301131093</v>
      </c>
      <c r="BU15" s="40">
        <v>10102486</v>
      </c>
      <c r="BV15" s="40">
        <v>0</v>
      </c>
      <c r="BW15" s="40">
        <v>0</v>
      </c>
      <c r="BX15" s="40">
        <v>10102486</v>
      </c>
      <c r="BY15" s="40">
        <v>0</v>
      </c>
      <c r="BZ15" s="40">
        <v>19865177</v>
      </c>
      <c r="CA15" s="40">
        <v>0</v>
      </c>
      <c r="CB15" s="40">
        <v>19865177</v>
      </c>
      <c r="CC15" s="40">
        <v>184784011</v>
      </c>
      <c r="CD15" s="40">
        <v>214751674</v>
      </c>
      <c r="CE15" s="40">
        <v>515882767</v>
      </c>
      <c r="CF15" s="41"/>
      <c r="CG15" s="41"/>
      <c r="CH15" s="42"/>
    </row>
    <row r="16" spans="1:86" ht="22.5">
      <c r="A16" s="38">
        <v>10</v>
      </c>
      <c r="B16" s="65" t="s">
        <v>86</v>
      </c>
      <c r="C16" s="39" t="s">
        <v>85</v>
      </c>
      <c r="D16" s="40">
        <v>0</v>
      </c>
      <c r="E16" s="40">
        <v>0</v>
      </c>
      <c r="F16" s="40">
        <v>0</v>
      </c>
      <c r="G16" s="40">
        <v>113493071</v>
      </c>
      <c r="H16" s="40">
        <v>716690984</v>
      </c>
      <c r="I16" s="40">
        <v>33965835</v>
      </c>
      <c r="J16" s="40">
        <v>24715001</v>
      </c>
      <c r="K16" s="40">
        <v>87808745</v>
      </c>
      <c r="L16" s="40">
        <v>70417584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40">
        <v>0</v>
      </c>
      <c r="AR16" s="40">
        <v>0</v>
      </c>
      <c r="AS16" s="40">
        <v>0</v>
      </c>
      <c r="AT16" s="40">
        <v>0</v>
      </c>
      <c r="AU16" s="40">
        <v>0</v>
      </c>
      <c r="AV16" s="40">
        <v>0</v>
      </c>
      <c r="AW16" s="40">
        <v>0</v>
      </c>
      <c r="AX16" s="40">
        <v>0</v>
      </c>
      <c r="AY16" s="40">
        <v>0</v>
      </c>
      <c r="AZ16" s="40">
        <v>0</v>
      </c>
      <c r="BA16" s="40">
        <v>0</v>
      </c>
      <c r="BB16" s="40">
        <v>0</v>
      </c>
      <c r="BC16" s="40">
        <v>0</v>
      </c>
      <c r="BD16" s="40">
        <v>0</v>
      </c>
      <c r="BE16" s="40">
        <v>0</v>
      </c>
      <c r="BF16" s="40">
        <v>0</v>
      </c>
      <c r="BG16" s="40">
        <v>0</v>
      </c>
      <c r="BH16" s="40">
        <v>0</v>
      </c>
      <c r="BI16" s="40">
        <v>0</v>
      </c>
      <c r="BJ16" s="40">
        <v>0</v>
      </c>
      <c r="BK16" s="40">
        <v>0</v>
      </c>
      <c r="BL16" s="40">
        <v>0</v>
      </c>
      <c r="BM16" s="40">
        <v>0</v>
      </c>
      <c r="BN16" s="40">
        <v>0</v>
      </c>
      <c r="BO16" s="40">
        <v>0</v>
      </c>
      <c r="BP16" s="40">
        <v>0</v>
      </c>
      <c r="BQ16" s="40">
        <v>0</v>
      </c>
      <c r="BR16" s="40">
        <v>0</v>
      </c>
      <c r="BS16" s="40">
        <v>0</v>
      </c>
      <c r="BT16" s="40">
        <v>1047091220</v>
      </c>
      <c r="BU16" s="40">
        <v>0</v>
      </c>
      <c r="BV16" s="40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0</v>
      </c>
      <c r="CC16" s="40">
        <v>5685087</v>
      </c>
      <c r="CD16" s="40">
        <v>5685087</v>
      </c>
      <c r="CE16" s="40">
        <v>1052776307</v>
      </c>
      <c r="CF16" s="41"/>
      <c r="CG16" s="41"/>
      <c r="CH16" s="42"/>
    </row>
    <row r="17" spans="1:86">
      <c r="A17" s="38">
        <v>11</v>
      </c>
      <c r="B17" s="65" t="s">
        <v>179</v>
      </c>
      <c r="C17" s="39" t="s">
        <v>178</v>
      </c>
      <c r="D17" s="40">
        <v>201030722</v>
      </c>
      <c r="E17" s="40">
        <v>0</v>
      </c>
      <c r="F17" s="40">
        <v>2571299</v>
      </c>
      <c r="G17" s="40">
        <v>96412</v>
      </c>
      <c r="H17" s="40">
        <v>989270</v>
      </c>
      <c r="I17" s="40">
        <v>33557</v>
      </c>
      <c r="J17" s="40">
        <v>22205</v>
      </c>
      <c r="K17" s="40">
        <v>42211</v>
      </c>
      <c r="L17" s="40">
        <v>970</v>
      </c>
      <c r="M17" s="40">
        <v>1021</v>
      </c>
      <c r="N17" s="40">
        <v>344679094</v>
      </c>
      <c r="O17" s="40">
        <v>0</v>
      </c>
      <c r="P17" s="40">
        <v>1387022</v>
      </c>
      <c r="Q17" s="40">
        <v>0</v>
      </c>
      <c r="R17" s="40">
        <v>469748</v>
      </c>
      <c r="S17" s="40">
        <v>0</v>
      </c>
      <c r="T17" s="40">
        <v>282338</v>
      </c>
      <c r="U17" s="40">
        <v>0</v>
      </c>
      <c r="V17" s="40">
        <v>0</v>
      </c>
      <c r="W17" s="40">
        <v>3246</v>
      </c>
      <c r="X17" s="40">
        <v>28672114</v>
      </c>
      <c r="Y17" s="40">
        <v>33604020</v>
      </c>
      <c r="Z17" s="40">
        <v>5</v>
      </c>
      <c r="AA17" s="40">
        <v>818</v>
      </c>
      <c r="AB17" s="40">
        <v>8473</v>
      </c>
      <c r="AC17" s="40">
        <v>11841</v>
      </c>
      <c r="AD17" s="40">
        <v>2086</v>
      </c>
      <c r="AE17" s="40">
        <v>24007</v>
      </c>
      <c r="AF17" s="40">
        <v>573</v>
      </c>
      <c r="AG17" s="40">
        <v>9680</v>
      </c>
      <c r="AH17" s="40">
        <v>0</v>
      </c>
      <c r="AI17" s="40">
        <v>20</v>
      </c>
      <c r="AJ17" s="40">
        <v>0</v>
      </c>
      <c r="AK17" s="40">
        <v>0</v>
      </c>
      <c r="AL17" s="40">
        <v>1552</v>
      </c>
      <c r="AM17" s="40">
        <v>1035</v>
      </c>
      <c r="AN17" s="40">
        <v>0</v>
      </c>
      <c r="AO17" s="40">
        <v>2566</v>
      </c>
      <c r="AP17" s="40">
        <v>4244</v>
      </c>
      <c r="AQ17" s="40">
        <v>89</v>
      </c>
      <c r="AR17" s="40">
        <v>694</v>
      </c>
      <c r="AS17" s="40">
        <v>95671</v>
      </c>
      <c r="AT17" s="40">
        <v>46764</v>
      </c>
      <c r="AU17" s="40">
        <v>43417</v>
      </c>
      <c r="AV17" s="40">
        <v>281897</v>
      </c>
      <c r="AW17" s="40">
        <v>501016</v>
      </c>
      <c r="AX17" s="40">
        <v>12418</v>
      </c>
      <c r="AY17" s="40">
        <v>46241</v>
      </c>
      <c r="AZ17" s="40">
        <v>601</v>
      </c>
      <c r="BA17" s="40">
        <v>137923</v>
      </c>
      <c r="BB17" s="40">
        <v>0</v>
      </c>
      <c r="BC17" s="40">
        <v>21096972</v>
      </c>
      <c r="BD17" s="40">
        <v>364392480</v>
      </c>
      <c r="BE17" s="40">
        <v>379032</v>
      </c>
      <c r="BF17" s="40">
        <v>0</v>
      </c>
      <c r="BG17" s="40">
        <v>22483717</v>
      </c>
      <c r="BH17" s="40">
        <v>0</v>
      </c>
      <c r="BI17" s="40">
        <v>493</v>
      </c>
      <c r="BJ17" s="40">
        <v>2564517</v>
      </c>
      <c r="BK17" s="40">
        <v>53554727</v>
      </c>
      <c r="BL17" s="40">
        <v>3110266</v>
      </c>
      <c r="BM17" s="40">
        <v>9141708</v>
      </c>
      <c r="BN17" s="40">
        <v>157292037</v>
      </c>
      <c r="BO17" s="40">
        <v>86284002</v>
      </c>
      <c r="BP17" s="40">
        <v>3098512</v>
      </c>
      <c r="BQ17" s="40">
        <v>25829729</v>
      </c>
      <c r="BR17" s="40">
        <v>187031</v>
      </c>
      <c r="BS17" s="40">
        <v>0</v>
      </c>
      <c r="BT17" s="40">
        <v>1364534103</v>
      </c>
      <c r="BU17" s="40">
        <v>5630992373</v>
      </c>
      <c r="BV17" s="40">
        <v>0</v>
      </c>
      <c r="BW17" s="40">
        <v>0</v>
      </c>
      <c r="BX17" s="40">
        <v>5630992373</v>
      </c>
      <c r="BY17" s="40">
        <v>0</v>
      </c>
      <c r="BZ17" s="40">
        <v>73242022</v>
      </c>
      <c r="CA17" s="40">
        <v>0</v>
      </c>
      <c r="CB17" s="40">
        <v>73242022</v>
      </c>
      <c r="CC17" s="40">
        <v>1143345317</v>
      </c>
      <c r="CD17" s="40">
        <v>6847579712</v>
      </c>
      <c r="CE17" s="40">
        <v>8212113815</v>
      </c>
      <c r="CF17" s="41"/>
      <c r="CG17" s="41"/>
      <c r="CH17" s="42"/>
    </row>
    <row r="18" spans="1:86">
      <c r="A18" s="38">
        <v>12</v>
      </c>
      <c r="B18" s="65" t="s">
        <v>84</v>
      </c>
      <c r="C18" s="39" t="s">
        <v>83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3541448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0</v>
      </c>
      <c r="AP18" s="40">
        <v>0</v>
      </c>
      <c r="AQ18" s="40">
        <v>0</v>
      </c>
      <c r="AR18" s="40">
        <v>0</v>
      </c>
      <c r="AS18" s="40">
        <v>0</v>
      </c>
      <c r="AT18" s="40">
        <v>0</v>
      </c>
      <c r="AU18" s="40">
        <v>0</v>
      </c>
      <c r="AV18" s="40">
        <v>0</v>
      </c>
      <c r="AW18" s="40">
        <v>0</v>
      </c>
      <c r="AX18" s="40">
        <v>0</v>
      </c>
      <c r="AY18" s="40">
        <v>0</v>
      </c>
      <c r="AZ18" s="40">
        <v>0</v>
      </c>
      <c r="BA18" s="40">
        <v>0</v>
      </c>
      <c r="BB18" s="40">
        <v>0</v>
      </c>
      <c r="BC18" s="40">
        <v>0</v>
      </c>
      <c r="BD18" s="40">
        <v>0</v>
      </c>
      <c r="BE18" s="40">
        <v>0</v>
      </c>
      <c r="BF18" s="40">
        <v>0</v>
      </c>
      <c r="BG18" s="40">
        <v>0</v>
      </c>
      <c r="BH18" s="40">
        <v>0</v>
      </c>
      <c r="BI18" s="40">
        <v>0</v>
      </c>
      <c r="BJ18" s="40">
        <v>0</v>
      </c>
      <c r="BK18" s="40">
        <v>0</v>
      </c>
      <c r="BL18" s="40">
        <v>0</v>
      </c>
      <c r="BM18" s="40">
        <v>0</v>
      </c>
      <c r="BN18" s="40">
        <v>0</v>
      </c>
      <c r="BO18" s="40">
        <v>0</v>
      </c>
      <c r="BP18" s="40">
        <v>0</v>
      </c>
      <c r="BQ18" s="40">
        <v>0</v>
      </c>
      <c r="BR18" s="40">
        <v>0</v>
      </c>
      <c r="BS18" s="40">
        <v>0</v>
      </c>
      <c r="BT18" s="40">
        <v>3541448</v>
      </c>
      <c r="BU18" s="40">
        <v>398388572</v>
      </c>
      <c r="BV18" s="40">
        <v>0</v>
      </c>
      <c r="BW18" s="40">
        <v>0</v>
      </c>
      <c r="BX18" s="40">
        <v>398388572</v>
      </c>
      <c r="BY18" s="40">
        <v>0</v>
      </c>
      <c r="BZ18" s="40">
        <v>-24005315</v>
      </c>
      <c r="CA18" s="40">
        <v>0</v>
      </c>
      <c r="CB18" s="40">
        <v>-24005315</v>
      </c>
      <c r="CC18" s="40">
        <v>112145210</v>
      </c>
      <c r="CD18" s="40">
        <v>486528467</v>
      </c>
      <c r="CE18" s="40">
        <v>490069915</v>
      </c>
      <c r="CF18" s="41"/>
      <c r="CG18" s="41"/>
      <c r="CH18" s="42"/>
    </row>
    <row r="19" spans="1:86">
      <c r="A19" s="38">
        <v>13</v>
      </c>
      <c r="B19" s="65" t="s">
        <v>101</v>
      </c>
      <c r="C19" s="39" t="s">
        <v>177</v>
      </c>
      <c r="D19" s="40">
        <v>3843213</v>
      </c>
      <c r="E19" s="40">
        <v>15338</v>
      </c>
      <c r="F19" s="40">
        <v>1951352</v>
      </c>
      <c r="G19" s="40">
        <v>162159</v>
      </c>
      <c r="H19" s="40">
        <v>4070569</v>
      </c>
      <c r="I19" s="40">
        <v>192148</v>
      </c>
      <c r="J19" s="40">
        <v>37326</v>
      </c>
      <c r="K19" s="40">
        <v>119573</v>
      </c>
      <c r="L19" s="40">
        <v>5459</v>
      </c>
      <c r="M19" s="40">
        <v>18089</v>
      </c>
      <c r="N19" s="40">
        <v>1499958</v>
      </c>
      <c r="O19" s="40">
        <v>0</v>
      </c>
      <c r="P19" s="40">
        <v>55864168</v>
      </c>
      <c r="Q19" s="40">
        <v>26078350</v>
      </c>
      <c r="R19" s="40">
        <v>1082717</v>
      </c>
      <c r="S19" s="40">
        <v>0</v>
      </c>
      <c r="T19" s="40">
        <v>0</v>
      </c>
      <c r="U19" s="40">
        <v>0</v>
      </c>
      <c r="V19" s="40">
        <v>0</v>
      </c>
      <c r="W19" s="40">
        <v>655903</v>
      </c>
      <c r="X19" s="40">
        <v>10372503</v>
      </c>
      <c r="Y19" s="40">
        <v>310591</v>
      </c>
      <c r="Z19" s="40">
        <v>428643</v>
      </c>
      <c r="AA19" s="40">
        <v>292629</v>
      </c>
      <c r="AB19" s="40">
        <v>9390</v>
      </c>
      <c r="AC19" s="40">
        <v>0</v>
      </c>
      <c r="AD19" s="40">
        <v>0</v>
      </c>
      <c r="AE19" s="40">
        <v>9093</v>
      </c>
      <c r="AF19" s="40">
        <v>0</v>
      </c>
      <c r="AG19" s="40">
        <v>103</v>
      </c>
      <c r="AH19" s="40">
        <v>0</v>
      </c>
      <c r="AI19" s="40">
        <v>8</v>
      </c>
      <c r="AJ19" s="40">
        <v>11123</v>
      </c>
      <c r="AK19" s="40">
        <v>16172994</v>
      </c>
      <c r="AL19" s="40">
        <v>83975</v>
      </c>
      <c r="AM19" s="40">
        <v>3691137</v>
      </c>
      <c r="AN19" s="40">
        <v>13559</v>
      </c>
      <c r="AO19" s="40">
        <v>59297</v>
      </c>
      <c r="AP19" s="40">
        <v>29375</v>
      </c>
      <c r="AQ19" s="40">
        <v>0</v>
      </c>
      <c r="AR19" s="40">
        <v>2313</v>
      </c>
      <c r="AS19" s="40">
        <v>165</v>
      </c>
      <c r="AT19" s="40">
        <v>4863975</v>
      </c>
      <c r="AU19" s="40">
        <v>0</v>
      </c>
      <c r="AV19" s="40">
        <v>5692995</v>
      </c>
      <c r="AW19" s="40">
        <v>3661992</v>
      </c>
      <c r="AX19" s="40">
        <v>219434</v>
      </c>
      <c r="AY19" s="40">
        <v>1168758</v>
      </c>
      <c r="AZ19" s="40">
        <v>0</v>
      </c>
      <c r="BA19" s="40">
        <v>485209</v>
      </c>
      <c r="BB19" s="40">
        <v>306326</v>
      </c>
      <c r="BC19" s="40">
        <v>28190774</v>
      </c>
      <c r="BD19" s="40">
        <v>139227</v>
      </c>
      <c r="BE19" s="40">
        <v>474</v>
      </c>
      <c r="BF19" s="40">
        <v>0</v>
      </c>
      <c r="BG19" s="40">
        <v>42586</v>
      </c>
      <c r="BH19" s="40">
        <v>0</v>
      </c>
      <c r="BI19" s="40">
        <v>0</v>
      </c>
      <c r="BJ19" s="40">
        <v>1322683</v>
      </c>
      <c r="BK19" s="40">
        <v>278727</v>
      </c>
      <c r="BL19" s="40">
        <v>511221</v>
      </c>
      <c r="BM19" s="40">
        <v>17632401</v>
      </c>
      <c r="BN19" s="40">
        <v>19798389</v>
      </c>
      <c r="BO19" s="40">
        <v>41010234</v>
      </c>
      <c r="BP19" s="40">
        <v>2930621</v>
      </c>
      <c r="BQ19" s="40">
        <v>32720781</v>
      </c>
      <c r="BR19" s="40">
        <v>2571287</v>
      </c>
      <c r="BS19" s="40">
        <v>0</v>
      </c>
      <c r="BT19" s="40">
        <v>290631314</v>
      </c>
      <c r="BU19" s="40">
        <v>430560193</v>
      </c>
      <c r="BV19" s="40">
        <v>0</v>
      </c>
      <c r="BW19" s="40">
        <v>0</v>
      </c>
      <c r="BX19" s="40">
        <v>430560193</v>
      </c>
      <c r="BY19" s="40">
        <v>38606164</v>
      </c>
      <c r="BZ19" s="40">
        <v>13649843</v>
      </c>
      <c r="CA19" s="40">
        <v>0</v>
      </c>
      <c r="CB19" s="40">
        <v>52256007</v>
      </c>
      <c r="CC19" s="40">
        <v>36868804</v>
      </c>
      <c r="CD19" s="40">
        <v>519685004</v>
      </c>
      <c r="CE19" s="40">
        <v>810316318</v>
      </c>
      <c r="CF19" s="41"/>
      <c r="CG19" s="41"/>
      <c r="CH19" s="42"/>
    </row>
    <row r="20" spans="1:86">
      <c r="A20" s="38">
        <v>14</v>
      </c>
      <c r="B20" s="65" t="s">
        <v>100</v>
      </c>
      <c r="C20" s="39" t="s">
        <v>82</v>
      </c>
      <c r="D20" s="40">
        <v>167447</v>
      </c>
      <c r="E20" s="40">
        <v>2960</v>
      </c>
      <c r="F20" s="40">
        <v>0</v>
      </c>
      <c r="G20" s="40">
        <v>90081</v>
      </c>
      <c r="H20" s="40">
        <v>3248151</v>
      </c>
      <c r="I20" s="40">
        <v>153949</v>
      </c>
      <c r="J20" s="40">
        <v>27852</v>
      </c>
      <c r="K20" s="40">
        <v>105937</v>
      </c>
      <c r="L20" s="40">
        <v>5835</v>
      </c>
      <c r="M20" s="40">
        <v>58452</v>
      </c>
      <c r="N20" s="40">
        <v>48117</v>
      </c>
      <c r="O20" s="40">
        <v>0</v>
      </c>
      <c r="P20" s="40">
        <v>5</v>
      </c>
      <c r="Q20" s="40">
        <v>0</v>
      </c>
      <c r="R20" s="40">
        <v>0</v>
      </c>
      <c r="S20" s="40">
        <v>0</v>
      </c>
      <c r="T20" s="40">
        <v>318</v>
      </c>
      <c r="U20" s="40">
        <v>0</v>
      </c>
      <c r="V20" s="40">
        <v>1068</v>
      </c>
      <c r="W20" s="40">
        <v>189923</v>
      </c>
      <c r="X20" s="40">
        <v>82304</v>
      </c>
      <c r="Y20" s="40">
        <v>717018</v>
      </c>
      <c r="Z20" s="40">
        <v>10305</v>
      </c>
      <c r="AA20" s="40">
        <v>32434</v>
      </c>
      <c r="AB20" s="40">
        <v>2978</v>
      </c>
      <c r="AC20" s="40">
        <v>287</v>
      </c>
      <c r="AD20" s="40">
        <v>0</v>
      </c>
      <c r="AE20" s="40">
        <v>5545</v>
      </c>
      <c r="AF20" s="40">
        <v>0</v>
      </c>
      <c r="AG20" s="40">
        <v>5194</v>
      </c>
      <c r="AH20" s="40">
        <v>0</v>
      </c>
      <c r="AI20" s="40">
        <v>397</v>
      </c>
      <c r="AJ20" s="40">
        <v>2588</v>
      </c>
      <c r="AK20" s="40">
        <v>0</v>
      </c>
      <c r="AL20" s="40">
        <v>24834</v>
      </c>
      <c r="AM20" s="40">
        <v>0</v>
      </c>
      <c r="AN20" s="40">
        <v>0</v>
      </c>
      <c r="AO20" s="40">
        <v>187933</v>
      </c>
      <c r="AP20" s="40">
        <v>166853</v>
      </c>
      <c r="AQ20" s="40">
        <v>3470</v>
      </c>
      <c r="AR20" s="40">
        <v>21876</v>
      </c>
      <c r="AS20" s="40">
        <v>69745</v>
      </c>
      <c r="AT20" s="40">
        <v>2084747</v>
      </c>
      <c r="AU20" s="40">
        <v>9898</v>
      </c>
      <c r="AV20" s="40">
        <v>41691</v>
      </c>
      <c r="AW20" s="40">
        <v>334431</v>
      </c>
      <c r="AX20" s="40">
        <v>660757</v>
      </c>
      <c r="AY20" s="40">
        <v>4896</v>
      </c>
      <c r="AZ20" s="40">
        <v>880667</v>
      </c>
      <c r="BA20" s="40">
        <v>536166</v>
      </c>
      <c r="BB20" s="40">
        <v>11591</v>
      </c>
      <c r="BC20" s="40">
        <v>794438</v>
      </c>
      <c r="BD20" s="40">
        <v>23388</v>
      </c>
      <c r="BE20" s="40">
        <v>47324</v>
      </c>
      <c r="BF20" s="40">
        <v>40609</v>
      </c>
      <c r="BG20" s="40">
        <v>132037</v>
      </c>
      <c r="BH20" s="40">
        <v>127405</v>
      </c>
      <c r="BI20" s="40">
        <v>174307</v>
      </c>
      <c r="BJ20" s="40">
        <v>138812</v>
      </c>
      <c r="BK20" s="40">
        <v>507228</v>
      </c>
      <c r="BL20" s="40">
        <v>5444904</v>
      </c>
      <c r="BM20" s="40">
        <v>5880720</v>
      </c>
      <c r="BN20" s="40">
        <v>12574694</v>
      </c>
      <c r="BO20" s="40">
        <v>7120374</v>
      </c>
      <c r="BP20" s="40">
        <v>113858</v>
      </c>
      <c r="BQ20" s="40">
        <v>27797054</v>
      </c>
      <c r="BR20" s="40">
        <v>177019</v>
      </c>
      <c r="BS20" s="40">
        <v>0</v>
      </c>
      <c r="BT20" s="40">
        <v>71092871</v>
      </c>
      <c r="BU20" s="40">
        <v>1482335322</v>
      </c>
      <c r="BV20" s="40">
        <v>0</v>
      </c>
      <c r="BW20" s="40">
        <v>0</v>
      </c>
      <c r="BX20" s="40">
        <v>1482335322</v>
      </c>
      <c r="BY20" s="40">
        <v>0</v>
      </c>
      <c r="BZ20" s="40">
        <v>5569076</v>
      </c>
      <c r="CA20" s="40">
        <v>0</v>
      </c>
      <c r="CB20" s="40">
        <v>5569076</v>
      </c>
      <c r="CC20" s="40">
        <v>152951638</v>
      </c>
      <c r="CD20" s="40">
        <v>1640856036</v>
      </c>
      <c r="CE20" s="40">
        <v>1711948907</v>
      </c>
      <c r="CF20" s="41"/>
      <c r="CG20" s="41"/>
      <c r="CH20" s="42"/>
    </row>
    <row r="21" spans="1:86">
      <c r="A21" s="38">
        <v>15</v>
      </c>
      <c r="B21" s="65" t="s">
        <v>81</v>
      </c>
      <c r="C21" s="39" t="s">
        <v>80</v>
      </c>
      <c r="D21" s="40">
        <v>2559</v>
      </c>
      <c r="E21" s="40">
        <v>88</v>
      </c>
      <c r="F21" s="40">
        <v>0</v>
      </c>
      <c r="G21" s="40">
        <v>0</v>
      </c>
      <c r="H21" s="40">
        <v>10529</v>
      </c>
      <c r="I21" s="40">
        <v>462</v>
      </c>
      <c r="J21" s="40">
        <v>0</v>
      </c>
      <c r="K21" s="40">
        <v>2864</v>
      </c>
      <c r="L21" s="40">
        <v>32</v>
      </c>
      <c r="M21" s="40">
        <v>1748</v>
      </c>
      <c r="N21" s="40">
        <v>0</v>
      </c>
      <c r="O21" s="40">
        <v>0</v>
      </c>
      <c r="P21" s="40">
        <v>0</v>
      </c>
      <c r="Q21" s="40">
        <v>0</v>
      </c>
      <c r="R21" s="40">
        <v>687424</v>
      </c>
      <c r="S21" s="40">
        <v>0</v>
      </c>
      <c r="T21" s="40">
        <v>0</v>
      </c>
      <c r="U21" s="40">
        <v>0</v>
      </c>
      <c r="V21" s="40">
        <v>0</v>
      </c>
      <c r="W21" s="40">
        <v>172</v>
      </c>
      <c r="X21" s="40">
        <v>5543</v>
      </c>
      <c r="Y21" s="40">
        <v>0</v>
      </c>
      <c r="Z21" s="40">
        <v>195</v>
      </c>
      <c r="AA21" s="40">
        <v>826</v>
      </c>
      <c r="AB21" s="40">
        <v>90</v>
      </c>
      <c r="AC21" s="40">
        <v>0</v>
      </c>
      <c r="AD21" s="40">
        <v>0</v>
      </c>
      <c r="AE21" s="40">
        <v>870</v>
      </c>
      <c r="AF21" s="40">
        <v>0</v>
      </c>
      <c r="AG21" s="40">
        <v>146</v>
      </c>
      <c r="AH21" s="40">
        <v>0</v>
      </c>
      <c r="AI21" s="40">
        <v>35</v>
      </c>
      <c r="AJ21" s="40">
        <v>120</v>
      </c>
      <c r="AK21" s="40">
        <v>0</v>
      </c>
      <c r="AL21" s="40">
        <v>0</v>
      </c>
      <c r="AM21" s="40">
        <v>0</v>
      </c>
      <c r="AN21" s="40">
        <v>0</v>
      </c>
      <c r="AO21" s="40">
        <v>4592</v>
      </c>
      <c r="AP21" s="40">
        <v>8309</v>
      </c>
      <c r="AQ21" s="40">
        <v>0</v>
      </c>
      <c r="AR21" s="40">
        <v>1173</v>
      </c>
      <c r="AS21" s="40">
        <v>1298</v>
      </c>
      <c r="AT21" s="40">
        <v>275266</v>
      </c>
      <c r="AU21" s="40">
        <v>0</v>
      </c>
      <c r="AV21" s="40">
        <v>0</v>
      </c>
      <c r="AW21" s="40">
        <v>0</v>
      </c>
      <c r="AX21" s="40">
        <v>8495</v>
      </c>
      <c r="AY21" s="40">
        <v>0</v>
      </c>
      <c r="AZ21" s="40">
        <v>0</v>
      </c>
      <c r="BA21" s="40">
        <v>0</v>
      </c>
      <c r="BB21" s="40">
        <v>0</v>
      </c>
      <c r="BC21" s="40">
        <v>20315</v>
      </c>
      <c r="BD21" s="40">
        <v>0</v>
      </c>
      <c r="BE21" s="40">
        <v>151589</v>
      </c>
      <c r="BF21" s="40">
        <v>0</v>
      </c>
      <c r="BG21" s="40">
        <v>0</v>
      </c>
      <c r="BH21" s="40">
        <v>0</v>
      </c>
      <c r="BI21" s="40">
        <v>0</v>
      </c>
      <c r="BJ21" s="40">
        <v>0</v>
      </c>
      <c r="BK21" s="40">
        <v>134816</v>
      </c>
      <c r="BL21" s="40">
        <v>122870</v>
      </c>
      <c r="BM21" s="40">
        <v>1500453</v>
      </c>
      <c r="BN21" s="40">
        <v>2385126</v>
      </c>
      <c r="BO21" s="40">
        <v>366786</v>
      </c>
      <c r="BP21" s="40">
        <v>35991</v>
      </c>
      <c r="BQ21" s="40">
        <v>13647</v>
      </c>
      <c r="BR21" s="40">
        <v>0</v>
      </c>
      <c r="BS21" s="40">
        <v>0</v>
      </c>
      <c r="BT21" s="40">
        <v>5744429</v>
      </c>
      <c r="BU21" s="40">
        <v>424231484</v>
      </c>
      <c r="BV21" s="40">
        <v>0</v>
      </c>
      <c r="BW21" s="40">
        <v>0</v>
      </c>
      <c r="BX21" s="40">
        <v>424231484</v>
      </c>
      <c r="BY21" s="40">
        <v>0</v>
      </c>
      <c r="BZ21" s="40">
        <v>1179095</v>
      </c>
      <c r="CA21" s="40">
        <v>0</v>
      </c>
      <c r="CB21" s="40">
        <v>1179095</v>
      </c>
      <c r="CC21" s="40">
        <v>52786797</v>
      </c>
      <c r="CD21" s="40">
        <v>478197376</v>
      </c>
      <c r="CE21" s="40">
        <v>483941805</v>
      </c>
      <c r="CF21" s="41"/>
      <c r="CG21" s="41"/>
      <c r="CH21" s="42"/>
    </row>
    <row r="22" spans="1:86" ht="33.75">
      <c r="A22" s="38">
        <v>16</v>
      </c>
      <c r="B22" s="65" t="s">
        <v>79</v>
      </c>
      <c r="C22" s="39" t="s">
        <v>78</v>
      </c>
      <c r="D22" s="40">
        <v>1020945</v>
      </c>
      <c r="E22" s="40">
        <v>0</v>
      </c>
      <c r="F22" s="40">
        <v>2922</v>
      </c>
      <c r="G22" s="40">
        <v>1045744</v>
      </c>
      <c r="H22" s="40">
        <v>232247</v>
      </c>
      <c r="I22" s="40">
        <v>11048</v>
      </c>
      <c r="J22" s="40">
        <v>122177</v>
      </c>
      <c r="K22" s="40">
        <v>585385</v>
      </c>
      <c r="L22" s="40">
        <v>67867</v>
      </c>
      <c r="M22" s="40">
        <v>1247771</v>
      </c>
      <c r="N22" s="40">
        <v>345687</v>
      </c>
      <c r="O22" s="40">
        <v>0</v>
      </c>
      <c r="P22" s="40">
        <v>0</v>
      </c>
      <c r="Q22" s="40">
        <v>0</v>
      </c>
      <c r="R22" s="40">
        <v>0</v>
      </c>
      <c r="S22" s="40">
        <v>6869997</v>
      </c>
      <c r="T22" s="40">
        <v>9709789</v>
      </c>
      <c r="U22" s="40">
        <v>1221</v>
      </c>
      <c r="V22" s="40">
        <v>0</v>
      </c>
      <c r="W22" s="40">
        <v>0</v>
      </c>
      <c r="X22" s="40">
        <v>557</v>
      </c>
      <c r="Y22" s="40">
        <v>0</v>
      </c>
      <c r="Z22" s="40">
        <v>0</v>
      </c>
      <c r="AA22" s="40">
        <v>1295254</v>
      </c>
      <c r="AB22" s="40">
        <v>42591</v>
      </c>
      <c r="AC22" s="40">
        <v>16</v>
      </c>
      <c r="AD22" s="40">
        <v>1890</v>
      </c>
      <c r="AE22" s="40">
        <v>12919</v>
      </c>
      <c r="AF22" s="40">
        <v>0</v>
      </c>
      <c r="AG22" s="40">
        <v>59119</v>
      </c>
      <c r="AH22" s="40">
        <v>0</v>
      </c>
      <c r="AI22" s="40">
        <v>5842</v>
      </c>
      <c r="AJ22" s="40">
        <v>3165</v>
      </c>
      <c r="AK22" s="40">
        <v>22698</v>
      </c>
      <c r="AL22" s="40">
        <v>3053</v>
      </c>
      <c r="AM22" s="40">
        <v>28005130</v>
      </c>
      <c r="AN22" s="40">
        <v>60553</v>
      </c>
      <c r="AO22" s="40">
        <v>106951</v>
      </c>
      <c r="AP22" s="40">
        <v>721992</v>
      </c>
      <c r="AQ22" s="40">
        <v>0</v>
      </c>
      <c r="AR22" s="40">
        <v>25327</v>
      </c>
      <c r="AS22" s="40">
        <v>28287</v>
      </c>
      <c r="AT22" s="40">
        <v>212194471</v>
      </c>
      <c r="AU22" s="40">
        <v>0</v>
      </c>
      <c r="AV22" s="40">
        <v>2123736</v>
      </c>
      <c r="AW22" s="40">
        <v>971462</v>
      </c>
      <c r="AX22" s="40">
        <v>101486</v>
      </c>
      <c r="AY22" s="40">
        <v>0</v>
      </c>
      <c r="AZ22" s="40">
        <v>0</v>
      </c>
      <c r="BA22" s="40">
        <v>1576981</v>
      </c>
      <c r="BB22" s="40">
        <v>95353</v>
      </c>
      <c r="BC22" s="40">
        <v>0</v>
      </c>
      <c r="BD22" s="40">
        <v>1463674</v>
      </c>
      <c r="BE22" s="40">
        <v>53</v>
      </c>
      <c r="BF22" s="40">
        <v>0</v>
      </c>
      <c r="BG22" s="40">
        <v>15214</v>
      </c>
      <c r="BH22" s="40">
        <v>0</v>
      </c>
      <c r="BI22" s="40">
        <v>0</v>
      </c>
      <c r="BJ22" s="40">
        <v>1766105</v>
      </c>
      <c r="BK22" s="40">
        <v>50969</v>
      </c>
      <c r="BL22" s="40">
        <v>58137</v>
      </c>
      <c r="BM22" s="40">
        <v>288876</v>
      </c>
      <c r="BN22" s="40">
        <v>332436</v>
      </c>
      <c r="BO22" s="40">
        <v>123085</v>
      </c>
      <c r="BP22" s="40">
        <v>17772</v>
      </c>
      <c r="BQ22" s="40">
        <v>684978</v>
      </c>
      <c r="BR22" s="40">
        <v>0</v>
      </c>
      <c r="BS22" s="40">
        <v>0</v>
      </c>
      <c r="BT22" s="40">
        <v>273522932</v>
      </c>
      <c r="BU22" s="40">
        <v>15801712</v>
      </c>
      <c r="BV22" s="40">
        <v>0</v>
      </c>
      <c r="BW22" s="40">
        <v>0</v>
      </c>
      <c r="BX22" s="40">
        <v>15801712</v>
      </c>
      <c r="BY22" s="40">
        <v>6172346</v>
      </c>
      <c r="BZ22" s="40">
        <v>43106360</v>
      </c>
      <c r="CA22" s="40">
        <v>0</v>
      </c>
      <c r="CB22" s="40">
        <v>49278706</v>
      </c>
      <c r="CC22" s="40">
        <v>27759740</v>
      </c>
      <c r="CD22" s="40">
        <v>92840158</v>
      </c>
      <c r="CE22" s="40">
        <v>366363090</v>
      </c>
      <c r="CF22" s="41"/>
      <c r="CG22" s="41"/>
      <c r="CH22" s="42"/>
    </row>
    <row r="23" spans="1:86">
      <c r="A23" s="38">
        <v>17</v>
      </c>
      <c r="B23" s="65" t="s">
        <v>77</v>
      </c>
      <c r="C23" s="39" t="s">
        <v>76</v>
      </c>
      <c r="D23" s="40">
        <v>3597448</v>
      </c>
      <c r="E23" s="40">
        <v>582</v>
      </c>
      <c r="F23" s="40">
        <v>3192</v>
      </c>
      <c r="G23" s="40">
        <v>0</v>
      </c>
      <c r="H23" s="40">
        <v>20085</v>
      </c>
      <c r="I23" s="40">
        <v>936</v>
      </c>
      <c r="J23" s="40">
        <v>185</v>
      </c>
      <c r="K23" s="40">
        <v>3021</v>
      </c>
      <c r="L23" s="40">
        <v>2241</v>
      </c>
      <c r="M23" s="40">
        <v>979</v>
      </c>
      <c r="N23" s="40">
        <v>12282349</v>
      </c>
      <c r="O23" s="40">
        <v>18505500</v>
      </c>
      <c r="P23" s="40">
        <v>527</v>
      </c>
      <c r="Q23" s="40">
        <v>10789</v>
      </c>
      <c r="R23" s="40">
        <v>122798</v>
      </c>
      <c r="S23" s="40">
        <v>0</v>
      </c>
      <c r="T23" s="40">
        <v>18717711</v>
      </c>
      <c r="U23" s="40">
        <v>16830900</v>
      </c>
      <c r="V23" s="40">
        <v>0</v>
      </c>
      <c r="W23" s="40">
        <v>118750</v>
      </c>
      <c r="X23" s="40">
        <v>143200</v>
      </c>
      <c r="Y23" s="40">
        <v>976600</v>
      </c>
      <c r="Z23" s="40">
        <v>117267</v>
      </c>
      <c r="AA23" s="40">
        <v>400544</v>
      </c>
      <c r="AB23" s="40">
        <v>71567</v>
      </c>
      <c r="AC23" s="40">
        <v>64</v>
      </c>
      <c r="AD23" s="40">
        <v>8</v>
      </c>
      <c r="AE23" s="40">
        <v>153</v>
      </c>
      <c r="AF23" s="40">
        <v>0</v>
      </c>
      <c r="AG23" s="40">
        <v>75852</v>
      </c>
      <c r="AH23" s="40">
        <v>403405</v>
      </c>
      <c r="AI23" s="40">
        <v>64850</v>
      </c>
      <c r="AJ23" s="40">
        <v>243556</v>
      </c>
      <c r="AK23" s="40">
        <v>0</v>
      </c>
      <c r="AL23" s="40">
        <v>113</v>
      </c>
      <c r="AM23" s="40">
        <v>180</v>
      </c>
      <c r="AN23" s="40">
        <v>845</v>
      </c>
      <c r="AO23" s="40">
        <v>81976</v>
      </c>
      <c r="AP23" s="40">
        <v>177147</v>
      </c>
      <c r="AQ23" s="40">
        <v>22</v>
      </c>
      <c r="AR23" s="40">
        <v>3887</v>
      </c>
      <c r="AS23" s="40">
        <v>40035</v>
      </c>
      <c r="AT23" s="40">
        <v>24824336</v>
      </c>
      <c r="AU23" s="40">
        <v>62175</v>
      </c>
      <c r="AV23" s="40">
        <v>80431406</v>
      </c>
      <c r="AW23" s="40">
        <v>27872409</v>
      </c>
      <c r="AX23" s="40">
        <v>111681</v>
      </c>
      <c r="AY23" s="40">
        <v>0</v>
      </c>
      <c r="AZ23" s="40">
        <v>87246</v>
      </c>
      <c r="BA23" s="40">
        <v>4644237</v>
      </c>
      <c r="BB23" s="40">
        <v>3951835</v>
      </c>
      <c r="BC23" s="40">
        <v>7857309</v>
      </c>
      <c r="BD23" s="40">
        <v>1905675</v>
      </c>
      <c r="BE23" s="40">
        <v>13659457</v>
      </c>
      <c r="BF23" s="40">
        <v>521520</v>
      </c>
      <c r="BG23" s="40">
        <v>13538614</v>
      </c>
      <c r="BH23" s="40">
        <v>3103556</v>
      </c>
      <c r="BI23" s="40">
        <v>1177475</v>
      </c>
      <c r="BJ23" s="40">
        <v>1485513</v>
      </c>
      <c r="BK23" s="40">
        <v>49421742</v>
      </c>
      <c r="BL23" s="40">
        <v>5440314</v>
      </c>
      <c r="BM23" s="40">
        <v>6868032</v>
      </c>
      <c r="BN23" s="40">
        <v>14567678</v>
      </c>
      <c r="BO23" s="40">
        <v>22194528</v>
      </c>
      <c r="BP23" s="40">
        <v>7781115</v>
      </c>
      <c r="BQ23" s="40">
        <v>3375509</v>
      </c>
      <c r="BR23" s="40">
        <v>8429309</v>
      </c>
      <c r="BS23" s="40">
        <v>0</v>
      </c>
      <c r="BT23" s="40">
        <v>376331935</v>
      </c>
      <c r="BU23" s="40">
        <v>154521957</v>
      </c>
      <c r="BV23" s="40">
        <v>0</v>
      </c>
      <c r="BW23" s="40">
        <v>0</v>
      </c>
      <c r="BX23" s="40">
        <v>154521957</v>
      </c>
      <c r="BY23" s="40">
        <v>0</v>
      </c>
      <c r="BZ23" s="40">
        <v>5616422</v>
      </c>
      <c r="CA23" s="40">
        <v>0</v>
      </c>
      <c r="CB23" s="40">
        <v>5616422</v>
      </c>
      <c r="CC23" s="40">
        <v>42532592</v>
      </c>
      <c r="CD23" s="40">
        <v>202670971</v>
      </c>
      <c r="CE23" s="40">
        <v>579002906</v>
      </c>
      <c r="CF23" s="41"/>
      <c r="CG23" s="41"/>
      <c r="CH23" s="42"/>
    </row>
    <row r="24" spans="1:86">
      <c r="A24" s="38">
        <v>18</v>
      </c>
      <c r="B24" s="65" t="s">
        <v>75</v>
      </c>
      <c r="C24" s="39" t="s">
        <v>74</v>
      </c>
      <c r="D24" s="40">
        <v>192</v>
      </c>
      <c r="E24" s="40">
        <v>181</v>
      </c>
      <c r="F24" s="40">
        <v>0</v>
      </c>
      <c r="G24" s="40">
        <v>0</v>
      </c>
      <c r="H24" s="40">
        <v>4759</v>
      </c>
      <c r="I24" s="40">
        <v>226</v>
      </c>
      <c r="J24" s="40">
        <v>0</v>
      </c>
      <c r="K24" s="40">
        <v>37</v>
      </c>
      <c r="L24" s="40">
        <v>0</v>
      </c>
      <c r="M24" s="40">
        <v>1304</v>
      </c>
      <c r="N24" s="40">
        <v>118729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3969696</v>
      </c>
      <c r="V24" s="40">
        <v>0</v>
      </c>
      <c r="W24" s="40">
        <v>0</v>
      </c>
      <c r="X24" s="40">
        <v>590</v>
      </c>
      <c r="Y24" s="40">
        <v>0</v>
      </c>
      <c r="Z24" s="40">
        <v>0</v>
      </c>
      <c r="AA24" s="40">
        <v>4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94</v>
      </c>
      <c r="AP24" s="40">
        <v>7809</v>
      </c>
      <c r="AQ24" s="40">
        <v>0</v>
      </c>
      <c r="AR24" s="40">
        <v>0</v>
      </c>
      <c r="AS24" s="40">
        <v>0</v>
      </c>
      <c r="AT24" s="40">
        <v>557507</v>
      </c>
      <c r="AU24" s="40">
        <v>24548</v>
      </c>
      <c r="AV24" s="40">
        <v>507939</v>
      </c>
      <c r="AW24" s="40">
        <v>344645</v>
      </c>
      <c r="AX24" s="40">
        <v>0</v>
      </c>
      <c r="AY24" s="40">
        <v>0</v>
      </c>
      <c r="AZ24" s="40">
        <v>0</v>
      </c>
      <c r="BA24" s="40">
        <v>99511</v>
      </c>
      <c r="BB24" s="40">
        <v>0</v>
      </c>
      <c r="BC24" s="40">
        <v>35817</v>
      </c>
      <c r="BD24" s="40">
        <v>1868</v>
      </c>
      <c r="BE24" s="40">
        <v>2182393</v>
      </c>
      <c r="BF24" s="40">
        <v>259316</v>
      </c>
      <c r="BG24" s="40">
        <v>723252</v>
      </c>
      <c r="BH24" s="40">
        <v>623541</v>
      </c>
      <c r="BI24" s="40">
        <v>1792958</v>
      </c>
      <c r="BJ24" s="40">
        <v>883243</v>
      </c>
      <c r="BK24" s="40">
        <v>349927</v>
      </c>
      <c r="BL24" s="40">
        <v>351511</v>
      </c>
      <c r="BM24" s="40">
        <v>34486366</v>
      </c>
      <c r="BN24" s="40">
        <v>26790408</v>
      </c>
      <c r="BO24" s="40">
        <v>7918978</v>
      </c>
      <c r="BP24" s="40">
        <v>117070</v>
      </c>
      <c r="BQ24" s="40">
        <v>53412</v>
      </c>
      <c r="BR24" s="40">
        <v>3214112</v>
      </c>
      <c r="BS24" s="40">
        <v>0</v>
      </c>
      <c r="BT24" s="40">
        <v>85421943</v>
      </c>
      <c r="BU24" s="40">
        <v>0</v>
      </c>
      <c r="BV24" s="40">
        <v>0</v>
      </c>
      <c r="BW24" s="40">
        <v>0</v>
      </c>
      <c r="BX24" s="40">
        <v>0</v>
      </c>
      <c r="BY24" s="40">
        <v>0</v>
      </c>
      <c r="BZ24" s="40">
        <v>0</v>
      </c>
      <c r="CA24" s="40">
        <v>0</v>
      </c>
      <c r="CB24" s="40">
        <v>0</v>
      </c>
      <c r="CC24" s="40">
        <v>50652</v>
      </c>
      <c r="CD24" s="40">
        <v>50652</v>
      </c>
      <c r="CE24" s="40">
        <v>85472595</v>
      </c>
      <c r="CF24" s="41"/>
      <c r="CG24" s="41"/>
      <c r="CH24" s="42"/>
    </row>
    <row r="25" spans="1:86">
      <c r="A25" s="38">
        <v>19</v>
      </c>
      <c r="B25" s="65" t="s">
        <v>73</v>
      </c>
      <c r="C25" s="39" t="s">
        <v>72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349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3159310</v>
      </c>
      <c r="Y25" s="40">
        <v>0</v>
      </c>
      <c r="Z25" s="40">
        <v>0</v>
      </c>
      <c r="AA25" s="40">
        <v>153640410</v>
      </c>
      <c r="AB25" s="40">
        <v>99456010</v>
      </c>
      <c r="AC25" s="40">
        <v>0</v>
      </c>
      <c r="AD25" s="40">
        <v>0</v>
      </c>
      <c r="AE25" s="40">
        <v>5087683</v>
      </c>
      <c r="AF25" s="40">
        <v>0</v>
      </c>
      <c r="AG25" s="40">
        <v>6044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0</v>
      </c>
      <c r="AP25" s="40">
        <v>13500707</v>
      </c>
      <c r="AQ25" s="40">
        <v>0</v>
      </c>
      <c r="AR25" s="40">
        <v>7241398</v>
      </c>
      <c r="AS25" s="40">
        <v>0</v>
      </c>
      <c r="AT25" s="40">
        <v>0</v>
      </c>
      <c r="AU25" s="40">
        <v>0</v>
      </c>
      <c r="AV25" s="40">
        <v>0</v>
      </c>
      <c r="AW25" s="40">
        <v>0</v>
      </c>
      <c r="AX25" s="40">
        <v>0</v>
      </c>
      <c r="AY25" s="40">
        <v>0</v>
      </c>
      <c r="AZ25" s="40">
        <v>0</v>
      </c>
      <c r="BA25" s="40">
        <v>0</v>
      </c>
      <c r="BB25" s="40">
        <v>0</v>
      </c>
      <c r="BC25" s="40">
        <v>0</v>
      </c>
      <c r="BD25" s="40">
        <v>0</v>
      </c>
      <c r="BE25" s="40">
        <v>0</v>
      </c>
      <c r="BF25" s="40">
        <v>0</v>
      </c>
      <c r="BG25" s="40">
        <v>0</v>
      </c>
      <c r="BH25" s="40">
        <v>0</v>
      </c>
      <c r="BI25" s="40">
        <v>0</v>
      </c>
      <c r="BJ25" s="40">
        <v>0</v>
      </c>
      <c r="BK25" s="40">
        <v>0</v>
      </c>
      <c r="BL25" s="40">
        <v>0</v>
      </c>
      <c r="BM25" s="40">
        <v>438</v>
      </c>
      <c r="BN25" s="40">
        <v>62485</v>
      </c>
      <c r="BO25" s="40">
        <v>1</v>
      </c>
      <c r="BP25" s="40">
        <v>0</v>
      </c>
      <c r="BQ25" s="40">
        <v>0</v>
      </c>
      <c r="BR25" s="40">
        <v>0</v>
      </c>
      <c r="BS25" s="40">
        <v>0</v>
      </c>
      <c r="BT25" s="40">
        <v>282154835</v>
      </c>
      <c r="BU25" s="40">
        <v>0</v>
      </c>
      <c r="BV25" s="40">
        <v>0</v>
      </c>
      <c r="BW25" s="40">
        <v>0</v>
      </c>
      <c r="BX25" s="40">
        <v>0</v>
      </c>
      <c r="BY25" s="40">
        <v>0</v>
      </c>
      <c r="BZ25" s="40">
        <v>19264578</v>
      </c>
      <c r="CA25" s="40">
        <v>0</v>
      </c>
      <c r="CB25" s="40">
        <v>19264578</v>
      </c>
      <c r="CC25" s="40">
        <v>9493930</v>
      </c>
      <c r="CD25" s="40">
        <v>28758508</v>
      </c>
      <c r="CE25" s="40">
        <v>310913343</v>
      </c>
      <c r="CF25" s="41"/>
      <c r="CG25" s="41"/>
      <c r="CH25" s="42"/>
    </row>
    <row r="26" spans="1:86">
      <c r="A26" s="38">
        <v>20</v>
      </c>
      <c r="B26" s="65" t="s">
        <v>71</v>
      </c>
      <c r="C26" s="39" t="s">
        <v>70</v>
      </c>
      <c r="D26" s="40">
        <v>63126693</v>
      </c>
      <c r="E26" s="40">
        <v>76703</v>
      </c>
      <c r="F26" s="40">
        <v>45113</v>
      </c>
      <c r="G26" s="40">
        <v>9141691</v>
      </c>
      <c r="H26" s="40">
        <v>109113311</v>
      </c>
      <c r="I26" s="40">
        <v>5306792</v>
      </c>
      <c r="J26" s="40">
        <v>1257013</v>
      </c>
      <c r="K26" s="40">
        <v>1860360</v>
      </c>
      <c r="L26" s="40">
        <v>2485052</v>
      </c>
      <c r="M26" s="40">
        <v>1548435</v>
      </c>
      <c r="N26" s="40">
        <v>2871103</v>
      </c>
      <c r="O26" s="40">
        <v>0</v>
      </c>
      <c r="P26" s="40">
        <v>9633</v>
      </c>
      <c r="Q26" s="40">
        <v>8032</v>
      </c>
      <c r="R26" s="40">
        <v>1062</v>
      </c>
      <c r="S26" s="40">
        <v>7921</v>
      </c>
      <c r="T26" s="40">
        <v>210783</v>
      </c>
      <c r="U26" s="40">
        <v>992</v>
      </c>
      <c r="V26" s="40">
        <v>381168</v>
      </c>
      <c r="W26" s="40">
        <v>7052992</v>
      </c>
      <c r="X26" s="40">
        <v>689945</v>
      </c>
      <c r="Y26" s="40">
        <v>76341</v>
      </c>
      <c r="Z26" s="40">
        <v>30798</v>
      </c>
      <c r="AA26" s="40">
        <v>7008483</v>
      </c>
      <c r="AB26" s="40">
        <v>538111</v>
      </c>
      <c r="AC26" s="40">
        <v>587</v>
      </c>
      <c r="AD26" s="40">
        <v>742</v>
      </c>
      <c r="AE26" s="40">
        <v>354151</v>
      </c>
      <c r="AF26" s="40">
        <v>525</v>
      </c>
      <c r="AG26" s="40">
        <v>19117</v>
      </c>
      <c r="AH26" s="40">
        <v>855</v>
      </c>
      <c r="AI26" s="40">
        <v>5789</v>
      </c>
      <c r="AJ26" s="40">
        <v>10339</v>
      </c>
      <c r="AK26" s="40">
        <v>70795</v>
      </c>
      <c r="AL26" s="40">
        <v>116826</v>
      </c>
      <c r="AM26" s="40">
        <v>15061</v>
      </c>
      <c r="AN26" s="40">
        <v>6490</v>
      </c>
      <c r="AO26" s="40">
        <v>635864</v>
      </c>
      <c r="AP26" s="40">
        <v>6038722</v>
      </c>
      <c r="AQ26" s="40">
        <v>39421782</v>
      </c>
      <c r="AR26" s="40">
        <v>3391671</v>
      </c>
      <c r="AS26" s="40">
        <v>4680656</v>
      </c>
      <c r="AT26" s="40">
        <v>99223527</v>
      </c>
      <c r="AU26" s="40">
        <v>3353941</v>
      </c>
      <c r="AV26" s="40">
        <v>76255406</v>
      </c>
      <c r="AW26" s="40">
        <v>37312528</v>
      </c>
      <c r="AX26" s="40">
        <v>238084237</v>
      </c>
      <c r="AY26" s="40">
        <v>440221</v>
      </c>
      <c r="AZ26" s="40">
        <v>127618310</v>
      </c>
      <c r="BA26" s="40">
        <v>160170311</v>
      </c>
      <c r="BB26" s="40">
        <v>890889</v>
      </c>
      <c r="BC26" s="40">
        <v>1249425</v>
      </c>
      <c r="BD26" s="40">
        <v>224007</v>
      </c>
      <c r="BE26" s="40">
        <v>2930628</v>
      </c>
      <c r="BF26" s="40">
        <v>5597508</v>
      </c>
      <c r="BG26" s="40">
        <v>834579</v>
      </c>
      <c r="BH26" s="40">
        <v>373942</v>
      </c>
      <c r="BI26" s="40">
        <v>143444</v>
      </c>
      <c r="BJ26" s="40">
        <v>2725892</v>
      </c>
      <c r="BK26" s="40">
        <v>10507315</v>
      </c>
      <c r="BL26" s="40">
        <v>16270455</v>
      </c>
      <c r="BM26" s="40">
        <v>87768841</v>
      </c>
      <c r="BN26" s="40">
        <v>17875919</v>
      </c>
      <c r="BO26" s="40">
        <v>28501724</v>
      </c>
      <c r="BP26" s="40">
        <v>716977</v>
      </c>
      <c r="BQ26" s="40">
        <v>3019632</v>
      </c>
      <c r="BR26" s="40">
        <v>4055669</v>
      </c>
      <c r="BS26" s="40">
        <v>0</v>
      </c>
      <c r="BT26" s="40">
        <v>1193763826</v>
      </c>
      <c r="BU26" s="40">
        <v>244575017</v>
      </c>
      <c r="BV26" s="40">
        <v>0</v>
      </c>
      <c r="BW26" s="40">
        <v>0</v>
      </c>
      <c r="BX26" s="40">
        <v>244575017</v>
      </c>
      <c r="BY26" s="40">
        <v>0</v>
      </c>
      <c r="BZ26" s="40">
        <v>-54299117</v>
      </c>
      <c r="CA26" s="40">
        <v>0</v>
      </c>
      <c r="CB26" s="40">
        <v>-54299117</v>
      </c>
      <c r="CC26" s="40">
        <v>438639560</v>
      </c>
      <c r="CD26" s="40">
        <v>628915460</v>
      </c>
      <c r="CE26" s="40">
        <v>1822679286</v>
      </c>
      <c r="CF26" s="41"/>
      <c r="CG26" s="41"/>
      <c r="CH26" s="42"/>
    </row>
    <row r="27" spans="1:86" ht="22.5">
      <c r="A27" s="38">
        <v>21</v>
      </c>
      <c r="B27" s="65" t="s">
        <v>99</v>
      </c>
      <c r="C27" s="39" t="s">
        <v>176</v>
      </c>
      <c r="D27" s="40">
        <v>376218687</v>
      </c>
      <c r="E27" s="40">
        <v>27</v>
      </c>
      <c r="F27" s="40">
        <v>478702</v>
      </c>
      <c r="G27" s="40">
        <v>4616276</v>
      </c>
      <c r="H27" s="40">
        <v>199158736</v>
      </c>
      <c r="I27" s="40">
        <v>9470403</v>
      </c>
      <c r="J27" s="40">
        <v>92780847</v>
      </c>
      <c r="K27" s="40">
        <v>305222895</v>
      </c>
      <c r="L27" s="40">
        <v>375694</v>
      </c>
      <c r="M27" s="40">
        <v>6322839</v>
      </c>
      <c r="N27" s="40">
        <v>14694778</v>
      </c>
      <c r="O27" s="40">
        <v>0</v>
      </c>
      <c r="P27" s="40">
        <v>540657</v>
      </c>
      <c r="Q27" s="40">
        <v>333100</v>
      </c>
      <c r="R27" s="40">
        <v>2961229</v>
      </c>
      <c r="S27" s="40">
        <v>2284775</v>
      </c>
      <c r="T27" s="40">
        <v>13228161</v>
      </c>
      <c r="U27" s="40">
        <v>2167197</v>
      </c>
      <c r="V27" s="40">
        <v>1751</v>
      </c>
      <c r="W27" s="40">
        <v>86509233</v>
      </c>
      <c r="X27" s="40">
        <v>150019367</v>
      </c>
      <c r="Y27" s="40">
        <v>20308156</v>
      </c>
      <c r="Z27" s="40">
        <v>173225725</v>
      </c>
      <c r="AA27" s="40">
        <v>33428407</v>
      </c>
      <c r="AB27" s="40">
        <v>593862</v>
      </c>
      <c r="AC27" s="40">
        <v>10831</v>
      </c>
      <c r="AD27" s="40">
        <v>132531</v>
      </c>
      <c r="AE27" s="40">
        <v>4979178</v>
      </c>
      <c r="AF27" s="40">
        <v>0</v>
      </c>
      <c r="AG27" s="40">
        <v>74521</v>
      </c>
      <c r="AH27" s="40">
        <v>42682</v>
      </c>
      <c r="AI27" s="40">
        <v>904550</v>
      </c>
      <c r="AJ27" s="40">
        <v>2324673</v>
      </c>
      <c r="AK27" s="40">
        <v>47100952</v>
      </c>
      <c r="AL27" s="40">
        <v>41368442</v>
      </c>
      <c r="AM27" s="40">
        <v>1218689</v>
      </c>
      <c r="AN27" s="40">
        <v>16444</v>
      </c>
      <c r="AO27" s="40">
        <v>2090904</v>
      </c>
      <c r="AP27" s="40">
        <v>13416473</v>
      </c>
      <c r="AQ27" s="40">
        <v>3374885</v>
      </c>
      <c r="AR27" s="40">
        <v>7232293</v>
      </c>
      <c r="AS27" s="40">
        <v>1011316</v>
      </c>
      <c r="AT27" s="40">
        <v>75439068</v>
      </c>
      <c r="AU27" s="40">
        <v>135077</v>
      </c>
      <c r="AV27" s="40">
        <v>35735187</v>
      </c>
      <c r="AW27" s="40">
        <v>4992608</v>
      </c>
      <c r="AX27" s="40">
        <v>49816031</v>
      </c>
      <c r="AY27" s="40">
        <v>0</v>
      </c>
      <c r="AZ27" s="40">
        <v>6620296</v>
      </c>
      <c r="BA27" s="40">
        <v>3122088</v>
      </c>
      <c r="BB27" s="40">
        <v>51516</v>
      </c>
      <c r="BC27" s="40">
        <v>3927223</v>
      </c>
      <c r="BD27" s="40">
        <v>3624601</v>
      </c>
      <c r="BE27" s="40">
        <v>2721818</v>
      </c>
      <c r="BF27" s="40">
        <v>0</v>
      </c>
      <c r="BG27" s="40">
        <v>1450707</v>
      </c>
      <c r="BH27" s="40">
        <v>162772</v>
      </c>
      <c r="BI27" s="40">
        <v>60616</v>
      </c>
      <c r="BJ27" s="40">
        <v>19403014</v>
      </c>
      <c r="BK27" s="40">
        <v>74063324</v>
      </c>
      <c r="BL27" s="40">
        <v>21673805</v>
      </c>
      <c r="BM27" s="40">
        <v>14643774</v>
      </c>
      <c r="BN27" s="40">
        <v>73120250</v>
      </c>
      <c r="BO27" s="40">
        <v>232823321</v>
      </c>
      <c r="BP27" s="40">
        <v>673443</v>
      </c>
      <c r="BQ27" s="40">
        <v>22017795</v>
      </c>
      <c r="BR27" s="40">
        <v>3174017</v>
      </c>
      <c r="BS27" s="40">
        <v>0</v>
      </c>
      <c r="BT27" s="40">
        <v>2269693219</v>
      </c>
      <c r="BU27" s="40">
        <v>550534726</v>
      </c>
      <c r="BV27" s="40">
        <v>0</v>
      </c>
      <c r="BW27" s="40">
        <v>0</v>
      </c>
      <c r="BX27" s="40">
        <v>550534726</v>
      </c>
      <c r="BY27" s="40">
        <v>0</v>
      </c>
      <c r="BZ27" s="40">
        <v>338540835</v>
      </c>
      <c r="CA27" s="40">
        <v>0</v>
      </c>
      <c r="CB27" s="40">
        <v>338540835</v>
      </c>
      <c r="CC27" s="40">
        <v>839263810</v>
      </c>
      <c r="CD27" s="40">
        <v>1728339371</v>
      </c>
      <c r="CE27" s="40">
        <v>3998032590</v>
      </c>
      <c r="CF27" s="41"/>
      <c r="CG27" s="41"/>
      <c r="CH27" s="42"/>
    </row>
    <row r="28" spans="1:86" ht="22.5">
      <c r="A28" s="38">
        <v>22</v>
      </c>
      <c r="B28" s="65" t="s">
        <v>69</v>
      </c>
      <c r="C28" s="39" t="s">
        <v>68</v>
      </c>
      <c r="D28" s="40">
        <v>1957047</v>
      </c>
      <c r="E28" s="40">
        <v>28</v>
      </c>
      <c r="F28" s="40">
        <v>0</v>
      </c>
      <c r="G28" s="40">
        <v>0</v>
      </c>
      <c r="H28" s="40">
        <v>81341</v>
      </c>
      <c r="I28" s="40">
        <v>3868</v>
      </c>
      <c r="J28" s="40">
        <v>0</v>
      </c>
      <c r="K28" s="40">
        <v>55484</v>
      </c>
      <c r="L28" s="40">
        <v>0</v>
      </c>
      <c r="M28" s="40">
        <v>7460</v>
      </c>
      <c r="N28" s="40">
        <v>1055797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127610</v>
      </c>
      <c r="X28" s="40">
        <v>4</v>
      </c>
      <c r="Y28" s="40">
        <v>0</v>
      </c>
      <c r="Z28" s="40">
        <v>0</v>
      </c>
      <c r="AA28" s="40">
        <v>303</v>
      </c>
      <c r="AB28" s="40">
        <v>11</v>
      </c>
      <c r="AC28" s="40">
        <v>0</v>
      </c>
      <c r="AD28" s="40">
        <v>0</v>
      </c>
      <c r="AE28" s="40">
        <v>237</v>
      </c>
      <c r="AF28" s="40">
        <v>0</v>
      </c>
      <c r="AG28" s="40">
        <v>2</v>
      </c>
      <c r="AH28" s="40">
        <v>0</v>
      </c>
      <c r="AI28" s="40">
        <v>9</v>
      </c>
      <c r="AJ28" s="40">
        <v>29</v>
      </c>
      <c r="AK28" s="40">
        <v>0</v>
      </c>
      <c r="AL28" s="40">
        <v>0</v>
      </c>
      <c r="AM28" s="40">
        <v>0</v>
      </c>
      <c r="AN28" s="40">
        <v>0</v>
      </c>
      <c r="AO28" s="40">
        <v>92187</v>
      </c>
      <c r="AP28" s="40">
        <v>16526</v>
      </c>
      <c r="AQ28" s="40">
        <v>120</v>
      </c>
      <c r="AR28" s="40">
        <v>2136</v>
      </c>
      <c r="AS28" s="40">
        <v>76391</v>
      </c>
      <c r="AT28" s="40">
        <v>6750</v>
      </c>
      <c r="AU28" s="40">
        <v>3269</v>
      </c>
      <c r="AV28" s="40">
        <v>497796</v>
      </c>
      <c r="AW28" s="40">
        <v>1869105</v>
      </c>
      <c r="AX28" s="40">
        <v>1648</v>
      </c>
      <c r="AY28" s="40">
        <v>0</v>
      </c>
      <c r="AZ28" s="40">
        <v>8971</v>
      </c>
      <c r="BA28" s="40">
        <v>7749</v>
      </c>
      <c r="BB28" s="40">
        <v>0</v>
      </c>
      <c r="BC28" s="40">
        <v>462</v>
      </c>
      <c r="BD28" s="40">
        <v>247</v>
      </c>
      <c r="BE28" s="40">
        <v>47</v>
      </c>
      <c r="BF28" s="40">
        <v>0</v>
      </c>
      <c r="BG28" s="40">
        <v>1164</v>
      </c>
      <c r="BH28" s="40">
        <v>0</v>
      </c>
      <c r="BI28" s="40">
        <v>0</v>
      </c>
      <c r="BJ28" s="40">
        <v>0</v>
      </c>
      <c r="BK28" s="40">
        <v>31856593</v>
      </c>
      <c r="BL28" s="40">
        <v>12402</v>
      </c>
      <c r="BM28" s="40">
        <v>9756604</v>
      </c>
      <c r="BN28" s="40">
        <v>4725797</v>
      </c>
      <c r="BO28" s="40">
        <v>568267399</v>
      </c>
      <c r="BP28" s="40">
        <v>1185206</v>
      </c>
      <c r="BQ28" s="40">
        <v>233470</v>
      </c>
      <c r="BR28" s="40">
        <v>118850</v>
      </c>
      <c r="BS28" s="40">
        <v>0</v>
      </c>
      <c r="BT28" s="40">
        <v>622030119</v>
      </c>
      <c r="BU28" s="40">
        <v>1004858094</v>
      </c>
      <c r="BV28" s="40">
        <v>0</v>
      </c>
      <c r="BW28" s="40">
        <v>0</v>
      </c>
      <c r="BX28" s="40">
        <v>1004858094</v>
      </c>
      <c r="BY28" s="40">
        <v>0</v>
      </c>
      <c r="BZ28" s="40">
        <v>163436857</v>
      </c>
      <c r="CA28" s="40">
        <v>0</v>
      </c>
      <c r="CB28" s="40">
        <v>163436857</v>
      </c>
      <c r="CC28" s="40">
        <v>23659928</v>
      </c>
      <c r="CD28" s="40">
        <v>1191954879</v>
      </c>
      <c r="CE28" s="40">
        <v>1813984998</v>
      </c>
      <c r="CF28" s="41"/>
      <c r="CG28" s="41"/>
      <c r="CH28" s="42"/>
    </row>
    <row r="29" spans="1:86">
      <c r="A29" s="38">
        <v>23</v>
      </c>
      <c r="B29" s="65" t="s">
        <v>98</v>
      </c>
      <c r="C29" s="39" t="s">
        <v>175</v>
      </c>
      <c r="D29" s="40">
        <v>1809551</v>
      </c>
      <c r="E29" s="40">
        <v>589</v>
      </c>
      <c r="F29" s="40">
        <v>681</v>
      </c>
      <c r="G29" s="40">
        <v>4164763</v>
      </c>
      <c r="H29" s="40">
        <v>34081415</v>
      </c>
      <c r="I29" s="40">
        <v>1708014</v>
      </c>
      <c r="J29" s="40">
        <v>857133</v>
      </c>
      <c r="K29" s="40">
        <v>6830725</v>
      </c>
      <c r="L29" s="40">
        <v>868553</v>
      </c>
      <c r="M29" s="40">
        <v>2624456</v>
      </c>
      <c r="N29" s="40">
        <v>18750135</v>
      </c>
      <c r="O29" s="40">
        <v>0</v>
      </c>
      <c r="P29" s="40">
        <v>708</v>
      </c>
      <c r="Q29" s="40">
        <v>2915</v>
      </c>
      <c r="R29" s="40">
        <v>193994</v>
      </c>
      <c r="S29" s="40">
        <v>644</v>
      </c>
      <c r="T29" s="40">
        <v>3902883</v>
      </c>
      <c r="U29" s="40">
        <v>9125</v>
      </c>
      <c r="V29" s="40">
        <v>14985</v>
      </c>
      <c r="W29" s="40">
        <v>1420586</v>
      </c>
      <c r="X29" s="40">
        <v>143702</v>
      </c>
      <c r="Y29" s="40">
        <v>194491</v>
      </c>
      <c r="Z29" s="40">
        <v>35597814</v>
      </c>
      <c r="AA29" s="40">
        <v>8158188</v>
      </c>
      <c r="AB29" s="40">
        <v>39146</v>
      </c>
      <c r="AC29" s="40">
        <v>13914</v>
      </c>
      <c r="AD29" s="40">
        <v>4</v>
      </c>
      <c r="AE29" s="40">
        <v>106740</v>
      </c>
      <c r="AF29" s="40">
        <v>2212</v>
      </c>
      <c r="AG29" s="40">
        <v>862926</v>
      </c>
      <c r="AH29" s="40">
        <v>231885</v>
      </c>
      <c r="AI29" s="40">
        <v>21876</v>
      </c>
      <c r="AJ29" s="40">
        <v>5276755</v>
      </c>
      <c r="AK29" s="40">
        <v>146479371</v>
      </c>
      <c r="AL29" s="40">
        <v>8607295</v>
      </c>
      <c r="AM29" s="40">
        <v>300503</v>
      </c>
      <c r="AN29" s="40">
        <v>438625</v>
      </c>
      <c r="AO29" s="40">
        <v>641380</v>
      </c>
      <c r="AP29" s="40">
        <v>1554180</v>
      </c>
      <c r="AQ29" s="40">
        <v>1493</v>
      </c>
      <c r="AR29" s="40">
        <v>768937</v>
      </c>
      <c r="AS29" s="40">
        <v>17085153</v>
      </c>
      <c r="AT29" s="40">
        <v>347588257</v>
      </c>
      <c r="AU29" s="40">
        <v>1143414</v>
      </c>
      <c r="AV29" s="40">
        <v>247818607</v>
      </c>
      <c r="AW29" s="40">
        <v>43837420</v>
      </c>
      <c r="AX29" s="40">
        <v>34990558</v>
      </c>
      <c r="AY29" s="40">
        <v>9965022</v>
      </c>
      <c r="AZ29" s="40">
        <v>12535469</v>
      </c>
      <c r="BA29" s="40">
        <v>2372444</v>
      </c>
      <c r="BB29" s="40">
        <v>85185</v>
      </c>
      <c r="BC29" s="40">
        <v>70249</v>
      </c>
      <c r="BD29" s="40">
        <v>6129833</v>
      </c>
      <c r="BE29" s="40">
        <v>1389832</v>
      </c>
      <c r="BF29" s="40">
        <v>9409560</v>
      </c>
      <c r="BG29" s="40">
        <v>818136</v>
      </c>
      <c r="BH29" s="40">
        <v>611842</v>
      </c>
      <c r="BI29" s="40">
        <v>324536</v>
      </c>
      <c r="BJ29" s="40">
        <v>3474157</v>
      </c>
      <c r="BK29" s="40">
        <v>7081444</v>
      </c>
      <c r="BL29" s="40">
        <v>49168326</v>
      </c>
      <c r="BM29" s="40">
        <v>17438919</v>
      </c>
      <c r="BN29" s="40">
        <v>25114963</v>
      </c>
      <c r="BO29" s="40">
        <v>59860612</v>
      </c>
      <c r="BP29" s="40">
        <v>413045</v>
      </c>
      <c r="BQ29" s="40">
        <v>993231</v>
      </c>
      <c r="BR29" s="40">
        <v>4391771</v>
      </c>
      <c r="BS29" s="40">
        <v>0</v>
      </c>
      <c r="BT29" s="40">
        <v>1190795277</v>
      </c>
      <c r="BU29" s="40">
        <v>275651858</v>
      </c>
      <c r="BV29" s="40">
        <v>0</v>
      </c>
      <c r="BW29" s="40">
        <v>0</v>
      </c>
      <c r="BX29" s="40">
        <v>275651858</v>
      </c>
      <c r="BY29" s="40">
        <v>0</v>
      </c>
      <c r="BZ29" s="40">
        <v>103169861</v>
      </c>
      <c r="CA29" s="40">
        <v>0</v>
      </c>
      <c r="CB29" s="40">
        <v>103169861</v>
      </c>
      <c r="CC29" s="40">
        <v>89788677</v>
      </c>
      <c r="CD29" s="40">
        <v>468610396</v>
      </c>
      <c r="CE29" s="40">
        <v>1659405673</v>
      </c>
      <c r="CF29" s="41"/>
      <c r="CG29" s="41"/>
      <c r="CH29" s="42"/>
    </row>
    <row r="30" spans="1:86" ht="22.5">
      <c r="A30" s="38">
        <v>24</v>
      </c>
      <c r="B30" s="65" t="s">
        <v>97</v>
      </c>
      <c r="C30" s="39" t="s">
        <v>67</v>
      </c>
      <c r="D30" s="40">
        <v>2315194</v>
      </c>
      <c r="E30" s="40">
        <v>8</v>
      </c>
      <c r="F30" s="40">
        <v>22164</v>
      </c>
      <c r="G30" s="40">
        <v>29968</v>
      </c>
      <c r="H30" s="40">
        <v>7548133</v>
      </c>
      <c r="I30" s="40">
        <v>359135</v>
      </c>
      <c r="J30" s="40">
        <v>514673</v>
      </c>
      <c r="K30" s="40">
        <v>16412474</v>
      </c>
      <c r="L30" s="40">
        <v>5887515</v>
      </c>
      <c r="M30" s="40">
        <v>6656864</v>
      </c>
      <c r="N30" s="40">
        <v>9772349</v>
      </c>
      <c r="O30" s="40">
        <v>0</v>
      </c>
      <c r="P30" s="40">
        <v>0</v>
      </c>
      <c r="Q30" s="40">
        <v>0</v>
      </c>
      <c r="R30" s="40">
        <v>501</v>
      </c>
      <c r="S30" s="40">
        <v>0</v>
      </c>
      <c r="T30" s="40">
        <v>0</v>
      </c>
      <c r="U30" s="40">
        <v>0</v>
      </c>
      <c r="V30" s="40">
        <v>218105</v>
      </c>
      <c r="W30" s="40">
        <v>1224260</v>
      </c>
      <c r="X30" s="40">
        <v>86733</v>
      </c>
      <c r="Y30" s="40">
        <v>2087203</v>
      </c>
      <c r="Z30" s="40">
        <v>44797</v>
      </c>
      <c r="AA30" s="40">
        <v>174991513</v>
      </c>
      <c r="AB30" s="40">
        <v>10543833</v>
      </c>
      <c r="AC30" s="40">
        <v>0</v>
      </c>
      <c r="AD30" s="40">
        <v>329594</v>
      </c>
      <c r="AE30" s="40">
        <v>550751</v>
      </c>
      <c r="AF30" s="40">
        <v>20381</v>
      </c>
      <c r="AG30" s="40">
        <v>92634</v>
      </c>
      <c r="AH30" s="40">
        <v>445</v>
      </c>
      <c r="AI30" s="40">
        <v>69387</v>
      </c>
      <c r="AJ30" s="40">
        <v>236476</v>
      </c>
      <c r="AK30" s="40">
        <v>27506485</v>
      </c>
      <c r="AL30" s="40">
        <v>2723830</v>
      </c>
      <c r="AM30" s="40">
        <v>59307</v>
      </c>
      <c r="AN30" s="40">
        <v>11424</v>
      </c>
      <c r="AO30" s="40">
        <v>2052777</v>
      </c>
      <c r="AP30" s="40">
        <v>13081018</v>
      </c>
      <c r="AQ30" s="40">
        <v>0</v>
      </c>
      <c r="AR30" s="40">
        <v>742131</v>
      </c>
      <c r="AS30" s="40">
        <v>558253</v>
      </c>
      <c r="AT30" s="40">
        <v>1617720305</v>
      </c>
      <c r="AU30" s="40">
        <v>0</v>
      </c>
      <c r="AV30" s="40">
        <v>55865290</v>
      </c>
      <c r="AW30" s="40">
        <v>3300203</v>
      </c>
      <c r="AX30" s="40">
        <v>5262614</v>
      </c>
      <c r="AY30" s="40">
        <v>0</v>
      </c>
      <c r="AZ30" s="40">
        <v>3328056</v>
      </c>
      <c r="BA30" s="40">
        <v>7246751</v>
      </c>
      <c r="BB30" s="40">
        <v>0</v>
      </c>
      <c r="BC30" s="40">
        <v>15219304</v>
      </c>
      <c r="BD30" s="40">
        <v>13360736</v>
      </c>
      <c r="BE30" s="40">
        <v>981</v>
      </c>
      <c r="BF30" s="40">
        <v>58780</v>
      </c>
      <c r="BG30" s="40">
        <v>8977</v>
      </c>
      <c r="BH30" s="40">
        <v>0</v>
      </c>
      <c r="BI30" s="40">
        <v>1639</v>
      </c>
      <c r="BJ30" s="40">
        <v>2280047</v>
      </c>
      <c r="BK30" s="40">
        <v>4939635</v>
      </c>
      <c r="BL30" s="40">
        <v>14937906</v>
      </c>
      <c r="BM30" s="40">
        <v>2179859</v>
      </c>
      <c r="BN30" s="40">
        <v>9377469</v>
      </c>
      <c r="BO30" s="40">
        <v>25056892</v>
      </c>
      <c r="BP30" s="40">
        <v>101573</v>
      </c>
      <c r="BQ30" s="40">
        <v>30731253</v>
      </c>
      <c r="BR30" s="40">
        <v>28878878</v>
      </c>
      <c r="BS30" s="40">
        <v>0</v>
      </c>
      <c r="BT30" s="40">
        <v>2126607463</v>
      </c>
      <c r="BU30" s="40">
        <v>87438836</v>
      </c>
      <c r="BV30" s="40">
        <v>0</v>
      </c>
      <c r="BW30" s="40">
        <v>0</v>
      </c>
      <c r="BX30" s="40">
        <v>87438836</v>
      </c>
      <c r="BY30" s="40">
        <v>11099275</v>
      </c>
      <c r="BZ30" s="40">
        <v>136703215</v>
      </c>
      <c r="CA30" s="40">
        <v>0</v>
      </c>
      <c r="CB30" s="40">
        <v>147802490</v>
      </c>
      <c r="CC30" s="40">
        <v>87535223</v>
      </c>
      <c r="CD30" s="40">
        <v>322776549</v>
      </c>
      <c r="CE30" s="40">
        <v>2449384012</v>
      </c>
      <c r="CF30" s="41"/>
      <c r="CG30" s="41"/>
      <c r="CH30" s="42"/>
    </row>
    <row r="31" spans="1:86" ht="22.5">
      <c r="A31" s="38">
        <v>25</v>
      </c>
      <c r="B31" s="65" t="s">
        <v>174</v>
      </c>
      <c r="C31" s="39" t="s">
        <v>173</v>
      </c>
      <c r="D31" s="40">
        <v>840001</v>
      </c>
      <c r="E31" s="40">
        <v>0</v>
      </c>
      <c r="F31" s="40">
        <v>0</v>
      </c>
      <c r="G31" s="40">
        <v>9711315</v>
      </c>
      <c r="H31" s="40">
        <v>5568155</v>
      </c>
      <c r="I31" s="40">
        <v>0</v>
      </c>
      <c r="J31" s="40">
        <v>107893650</v>
      </c>
      <c r="K31" s="40">
        <v>51230314</v>
      </c>
      <c r="L31" s="40">
        <v>18025218</v>
      </c>
      <c r="M31" s="40">
        <v>128826549</v>
      </c>
      <c r="N31" s="40">
        <v>112216331</v>
      </c>
      <c r="O31" s="40">
        <v>0</v>
      </c>
      <c r="P31" s="40">
        <v>1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35222219</v>
      </c>
      <c r="W31" s="40">
        <v>54674849</v>
      </c>
      <c r="X31" s="40">
        <v>19159567</v>
      </c>
      <c r="Y31" s="40">
        <v>0</v>
      </c>
      <c r="Z31" s="40">
        <v>875133</v>
      </c>
      <c r="AA31" s="40">
        <v>97764876</v>
      </c>
      <c r="AB31" s="40">
        <v>498673695</v>
      </c>
      <c r="AC31" s="40">
        <v>56591839</v>
      </c>
      <c r="AD31" s="40">
        <v>66363465</v>
      </c>
      <c r="AE31" s="40">
        <v>2198903</v>
      </c>
      <c r="AF31" s="40">
        <v>2007705</v>
      </c>
      <c r="AG31" s="40">
        <v>126417432</v>
      </c>
      <c r="AH31" s="40">
        <v>54649</v>
      </c>
      <c r="AI31" s="40">
        <v>15014272</v>
      </c>
      <c r="AJ31" s="40">
        <v>127389207</v>
      </c>
      <c r="AK31" s="40">
        <v>166810383</v>
      </c>
      <c r="AL31" s="40">
        <v>114963835</v>
      </c>
      <c r="AM31" s="40">
        <v>0</v>
      </c>
      <c r="AN31" s="40">
        <v>1646520</v>
      </c>
      <c r="AO31" s="40">
        <v>278329071</v>
      </c>
      <c r="AP31" s="40">
        <v>178880579</v>
      </c>
      <c r="AQ31" s="40">
        <v>0</v>
      </c>
      <c r="AR31" s="40">
        <v>53521057</v>
      </c>
      <c r="AS31" s="40">
        <v>35481475</v>
      </c>
      <c r="AT31" s="40">
        <v>480370897</v>
      </c>
      <c r="AU31" s="40">
        <v>0</v>
      </c>
      <c r="AV31" s="40">
        <v>106907718</v>
      </c>
      <c r="AW31" s="40">
        <v>26789685</v>
      </c>
      <c r="AX31" s="40">
        <v>202411684</v>
      </c>
      <c r="AY31" s="40">
        <v>0</v>
      </c>
      <c r="AZ31" s="40">
        <v>0</v>
      </c>
      <c r="BA31" s="40">
        <v>56432566</v>
      </c>
      <c r="BB31" s="40">
        <v>0</v>
      </c>
      <c r="BC31" s="40">
        <v>0</v>
      </c>
      <c r="BD31" s="40">
        <v>0</v>
      </c>
      <c r="BE31" s="40">
        <v>667</v>
      </c>
      <c r="BF31" s="40">
        <v>0</v>
      </c>
      <c r="BG31" s="40">
        <v>0</v>
      </c>
      <c r="BH31" s="40">
        <v>0</v>
      </c>
      <c r="BI31" s="40">
        <v>0</v>
      </c>
      <c r="BJ31" s="40">
        <v>187971</v>
      </c>
      <c r="BK31" s="40">
        <v>69848460</v>
      </c>
      <c r="BL31" s="40">
        <v>1268381</v>
      </c>
      <c r="BM31" s="40">
        <v>0</v>
      </c>
      <c r="BN31" s="40">
        <v>0</v>
      </c>
      <c r="BO31" s="40">
        <v>0</v>
      </c>
      <c r="BP31" s="40">
        <v>0</v>
      </c>
      <c r="BQ31" s="40">
        <v>0</v>
      </c>
      <c r="BR31" s="40">
        <v>0</v>
      </c>
      <c r="BS31" s="40">
        <v>0</v>
      </c>
      <c r="BT31" s="40">
        <v>3310570294</v>
      </c>
      <c r="BU31" s="40">
        <v>0</v>
      </c>
      <c r="BV31" s="40">
        <v>0</v>
      </c>
      <c r="BW31" s="40">
        <v>0</v>
      </c>
      <c r="BX31" s="40">
        <v>0</v>
      </c>
      <c r="BY31" s="40">
        <v>0</v>
      </c>
      <c r="BZ31" s="40">
        <v>171452770</v>
      </c>
      <c r="CA31" s="40">
        <v>0</v>
      </c>
      <c r="CB31" s="40">
        <v>171452770</v>
      </c>
      <c r="CC31" s="40">
        <v>1316832966</v>
      </c>
      <c r="CD31" s="40">
        <v>1488285736</v>
      </c>
      <c r="CE31" s="40">
        <v>4798856030</v>
      </c>
      <c r="CF31" s="41"/>
      <c r="CG31" s="41"/>
      <c r="CH31" s="42"/>
    </row>
    <row r="32" spans="1:86" ht="33.75">
      <c r="A32" s="38">
        <v>26</v>
      </c>
      <c r="B32" s="65" t="s">
        <v>172</v>
      </c>
      <c r="C32" s="39" t="s">
        <v>171</v>
      </c>
      <c r="D32" s="40">
        <v>538872</v>
      </c>
      <c r="E32" s="40">
        <v>0</v>
      </c>
      <c r="F32" s="40">
        <v>0</v>
      </c>
      <c r="G32" s="40">
        <v>362893</v>
      </c>
      <c r="H32" s="40">
        <v>286057756</v>
      </c>
      <c r="I32" s="40">
        <v>0</v>
      </c>
      <c r="J32" s="40">
        <v>5522306</v>
      </c>
      <c r="K32" s="40">
        <v>770453</v>
      </c>
      <c r="L32" s="40">
        <v>738306</v>
      </c>
      <c r="M32" s="40">
        <v>37065629</v>
      </c>
      <c r="N32" s="40">
        <v>51513</v>
      </c>
      <c r="O32" s="40">
        <v>0</v>
      </c>
      <c r="P32" s="40">
        <v>0</v>
      </c>
      <c r="Q32" s="40">
        <v>0</v>
      </c>
      <c r="R32" s="40">
        <v>15372</v>
      </c>
      <c r="S32" s="40">
        <v>0</v>
      </c>
      <c r="T32" s="40">
        <v>0</v>
      </c>
      <c r="U32" s="40">
        <v>0</v>
      </c>
      <c r="V32" s="40">
        <v>3453252</v>
      </c>
      <c r="W32" s="40">
        <v>15427791</v>
      </c>
      <c r="X32" s="40">
        <v>239850</v>
      </c>
      <c r="Y32" s="40">
        <v>0</v>
      </c>
      <c r="Z32" s="40">
        <v>0</v>
      </c>
      <c r="AA32" s="40">
        <v>327441</v>
      </c>
      <c r="AB32" s="40">
        <v>30626</v>
      </c>
      <c r="AC32" s="40">
        <v>4452624</v>
      </c>
      <c r="AD32" s="40">
        <v>833290</v>
      </c>
      <c r="AE32" s="40">
        <v>194996</v>
      </c>
      <c r="AF32" s="40">
        <v>0</v>
      </c>
      <c r="AG32" s="40">
        <v>1480502</v>
      </c>
      <c r="AH32" s="40">
        <v>0</v>
      </c>
      <c r="AI32" s="40">
        <v>2240</v>
      </c>
      <c r="AJ32" s="40">
        <v>8182778</v>
      </c>
      <c r="AK32" s="40">
        <v>1488281</v>
      </c>
      <c r="AL32" s="40">
        <v>75556</v>
      </c>
      <c r="AM32" s="40">
        <v>0</v>
      </c>
      <c r="AN32" s="40">
        <v>125472</v>
      </c>
      <c r="AO32" s="40">
        <v>13827428</v>
      </c>
      <c r="AP32" s="40">
        <v>22749276</v>
      </c>
      <c r="AQ32" s="40">
        <v>161064</v>
      </c>
      <c r="AR32" s="40">
        <v>8548756</v>
      </c>
      <c r="AS32" s="40">
        <v>1541951</v>
      </c>
      <c r="AT32" s="40">
        <v>39565973</v>
      </c>
      <c r="AU32" s="40">
        <v>0</v>
      </c>
      <c r="AV32" s="40">
        <v>2021139</v>
      </c>
      <c r="AW32" s="40">
        <v>327010</v>
      </c>
      <c r="AX32" s="40">
        <v>102947168</v>
      </c>
      <c r="AY32" s="40">
        <v>0</v>
      </c>
      <c r="AZ32" s="40">
        <v>0</v>
      </c>
      <c r="BA32" s="40">
        <v>212599</v>
      </c>
      <c r="BB32" s="40">
        <v>0</v>
      </c>
      <c r="BC32" s="40">
        <v>0</v>
      </c>
      <c r="BD32" s="40">
        <v>0</v>
      </c>
      <c r="BE32" s="40">
        <v>0</v>
      </c>
      <c r="BF32" s="40">
        <v>0</v>
      </c>
      <c r="BG32" s="40">
        <v>0</v>
      </c>
      <c r="BH32" s="40">
        <v>0</v>
      </c>
      <c r="BI32" s="40">
        <v>0</v>
      </c>
      <c r="BJ32" s="40">
        <v>498924</v>
      </c>
      <c r="BK32" s="40">
        <v>33622705</v>
      </c>
      <c r="BL32" s="40">
        <v>1150558</v>
      </c>
      <c r="BM32" s="40">
        <v>0</v>
      </c>
      <c r="BN32" s="40">
        <v>0</v>
      </c>
      <c r="BO32" s="40">
        <v>0</v>
      </c>
      <c r="BP32" s="40">
        <v>0</v>
      </c>
      <c r="BQ32" s="40">
        <v>992909</v>
      </c>
      <c r="BR32" s="40">
        <v>0</v>
      </c>
      <c r="BS32" s="40">
        <v>0</v>
      </c>
      <c r="BT32" s="40">
        <v>595605259</v>
      </c>
      <c r="BU32" s="40">
        <v>871283</v>
      </c>
      <c r="BV32" s="40">
        <v>0</v>
      </c>
      <c r="BW32" s="40">
        <v>0</v>
      </c>
      <c r="BX32" s="40">
        <v>871283</v>
      </c>
      <c r="BY32" s="40">
        <v>0</v>
      </c>
      <c r="BZ32" s="40">
        <v>-3568049</v>
      </c>
      <c r="CA32" s="40">
        <v>0</v>
      </c>
      <c r="CB32" s="40">
        <v>-3568049</v>
      </c>
      <c r="CC32" s="40">
        <v>32779423</v>
      </c>
      <c r="CD32" s="40">
        <v>30082657</v>
      </c>
      <c r="CE32" s="40">
        <v>625687916</v>
      </c>
      <c r="CF32" s="41"/>
      <c r="CG32" s="41"/>
      <c r="CH32" s="42"/>
    </row>
    <row r="33" spans="1:86" ht="22.5">
      <c r="A33" s="38">
        <v>27</v>
      </c>
      <c r="B33" s="65" t="s">
        <v>170</v>
      </c>
      <c r="C33" s="39" t="s">
        <v>169</v>
      </c>
      <c r="D33" s="40">
        <v>1782076</v>
      </c>
      <c r="E33" s="40">
        <v>0</v>
      </c>
      <c r="F33" s="40">
        <v>1265511</v>
      </c>
      <c r="G33" s="40">
        <v>0</v>
      </c>
      <c r="H33" s="40">
        <v>19606717</v>
      </c>
      <c r="I33" s="40">
        <v>0</v>
      </c>
      <c r="J33" s="40">
        <v>0</v>
      </c>
      <c r="K33" s="40">
        <v>5482787</v>
      </c>
      <c r="L33" s="40">
        <v>3852910</v>
      </c>
      <c r="M33" s="40">
        <v>2</v>
      </c>
      <c r="N33" s="40">
        <v>177018</v>
      </c>
      <c r="O33" s="40">
        <v>0</v>
      </c>
      <c r="P33" s="40">
        <v>77795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320502</v>
      </c>
      <c r="Y33" s="40">
        <v>0</v>
      </c>
      <c r="Z33" s="40">
        <v>0</v>
      </c>
      <c r="AA33" s="40">
        <v>12562174</v>
      </c>
      <c r="AB33" s="40">
        <v>1252200</v>
      </c>
      <c r="AC33" s="40">
        <v>0</v>
      </c>
      <c r="AD33" s="40">
        <v>11090184</v>
      </c>
      <c r="AE33" s="40">
        <v>536</v>
      </c>
      <c r="AF33" s="40">
        <v>398918</v>
      </c>
      <c r="AG33" s="40">
        <v>15461302</v>
      </c>
      <c r="AH33" s="40">
        <v>1494</v>
      </c>
      <c r="AI33" s="40">
        <v>282867</v>
      </c>
      <c r="AJ33" s="40">
        <v>6494061</v>
      </c>
      <c r="AK33" s="40">
        <v>0</v>
      </c>
      <c r="AL33" s="40">
        <v>263</v>
      </c>
      <c r="AM33" s="40">
        <v>0</v>
      </c>
      <c r="AN33" s="40">
        <v>0</v>
      </c>
      <c r="AO33" s="40">
        <v>22565364</v>
      </c>
      <c r="AP33" s="40">
        <v>7206204</v>
      </c>
      <c r="AQ33" s="40">
        <v>0</v>
      </c>
      <c r="AR33" s="40">
        <v>3417653</v>
      </c>
      <c r="AS33" s="40">
        <v>2462826</v>
      </c>
      <c r="AT33" s="40">
        <v>135693896</v>
      </c>
      <c r="AU33" s="40">
        <v>0</v>
      </c>
      <c r="AV33" s="40">
        <v>3186008</v>
      </c>
      <c r="AW33" s="40">
        <v>1603070</v>
      </c>
      <c r="AX33" s="40">
        <v>1664609</v>
      </c>
      <c r="AY33" s="40">
        <v>0</v>
      </c>
      <c r="AZ33" s="40">
        <v>0</v>
      </c>
      <c r="BA33" s="40">
        <v>1971</v>
      </c>
      <c r="BB33" s="40">
        <v>0</v>
      </c>
      <c r="BC33" s="40">
        <v>0</v>
      </c>
      <c r="BD33" s="40">
        <v>0</v>
      </c>
      <c r="BE33" s="40">
        <v>100653</v>
      </c>
      <c r="BF33" s="40">
        <v>0</v>
      </c>
      <c r="BG33" s="40">
        <v>0</v>
      </c>
      <c r="BH33" s="40">
        <v>0</v>
      </c>
      <c r="BI33" s="40">
        <v>0</v>
      </c>
      <c r="BJ33" s="40">
        <v>162686</v>
      </c>
      <c r="BK33" s="40">
        <v>7265580</v>
      </c>
      <c r="BL33" s="40">
        <v>297550</v>
      </c>
      <c r="BM33" s="40">
        <v>0</v>
      </c>
      <c r="BN33" s="40">
        <v>0</v>
      </c>
      <c r="BO33" s="40">
        <v>0</v>
      </c>
      <c r="BP33" s="40">
        <v>0</v>
      </c>
      <c r="BQ33" s="40">
        <v>0</v>
      </c>
      <c r="BR33" s="40">
        <v>0</v>
      </c>
      <c r="BS33" s="40">
        <v>0</v>
      </c>
      <c r="BT33" s="40">
        <v>265737387</v>
      </c>
      <c r="BU33" s="40">
        <v>0</v>
      </c>
      <c r="BV33" s="40">
        <v>0</v>
      </c>
      <c r="BW33" s="40">
        <v>0</v>
      </c>
      <c r="BX33" s="40">
        <v>0</v>
      </c>
      <c r="BY33" s="40">
        <v>0</v>
      </c>
      <c r="BZ33" s="40">
        <v>-2569481</v>
      </c>
      <c r="CA33" s="40">
        <v>0</v>
      </c>
      <c r="CB33" s="40">
        <v>-2569481</v>
      </c>
      <c r="CC33" s="40">
        <v>9570146</v>
      </c>
      <c r="CD33" s="40">
        <v>7000665</v>
      </c>
      <c r="CE33" s="40">
        <v>272738052</v>
      </c>
      <c r="CF33" s="41"/>
      <c r="CG33" s="41"/>
      <c r="CH33" s="42"/>
    </row>
    <row r="34" spans="1:86" ht="22.5">
      <c r="A34" s="38">
        <v>28</v>
      </c>
      <c r="B34" s="65" t="s">
        <v>168</v>
      </c>
      <c r="C34" s="39" t="s">
        <v>167</v>
      </c>
      <c r="D34" s="40">
        <v>53350</v>
      </c>
      <c r="E34" s="40">
        <v>819</v>
      </c>
      <c r="F34" s="40">
        <v>0</v>
      </c>
      <c r="G34" s="40">
        <v>0</v>
      </c>
      <c r="H34" s="40">
        <v>7159393</v>
      </c>
      <c r="I34" s="40">
        <v>0</v>
      </c>
      <c r="J34" s="40">
        <v>21986892</v>
      </c>
      <c r="K34" s="40">
        <v>1433859339</v>
      </c>
      <c r="L34" s="40">
        <v>380</v>
      </c>
      <c r="M34" s="40">
        <v>1004138</v>
      </c>
      <c r="N34" s="40">
        <v>1894297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167084</v>
      </c>
      <c r="U34" s="40">
        <v>0</v>
      </c>
      <c r="V34" s="40">
        <v>0</v>
      </c>
      <c r="W34" s="40">
        <v>4761146</v>
      </c>
      <c r="X34" s="40">
        <v>4042264</v>
      </c>
      <c r="Y34" s="40">
        <v>2594219</v>
      </c>
      <c r="Z34" s="40">
        <v>1116925</v>
      </c>
      <c r="AA34" s="40">
        <v>23517230</v>
      </c>
      <c r="AB34" s="40">
        <v>217516756</v>
      </c>
      <c r="AC34" s="40">
        <v>0</v>
      </c>
      <c r="AD34" s="40">
        <v>1077552</v>
      </c>
      <c r="AE34" s="40">
        <v>382553448</v>
      </c>
      <c r="AF34" s="40">
        <v>11824924</v>
      </c>
      <c r="AG34" s="40">
        <v>60466733</v>
      </c>
      <c r="AH34" s="40">
        <v>20001785</v>
      </c>
      <c r="AI34" s="40">
        <v>113294180</v>
      </c>
      <c r="AJ34" s="40">
        <v>31961754</v>
      </c>
      <c r="AK34" s="40">
        <v>67842286</v>
      </c>
      <c r="AL34" s="40">
        <v>27521195</v>
      </c>
      <c r="AM34" s="40">
        <v>2818919</v>
      </c>
      <c r="AN34" s="40">
        <v>17368554</v>
      </c>
      <c r="AO34" s="40">
        <v>7040814</v>
      </c>
      <c r="AP34" s="40">
        <v>83772434</v>
      </c>
      <c r="AQ34" s="40">
        <v>0</v>
      </c>
      <c r="AR34" s="40">
        <v>150944</v>
      </c>
      <c r="AS34" s="40">
        <v>43259084</v>
      </c>
      <c r="AT34" s="40">
        <v>1325276341</v>
      </c>
      <c r="AU34" s="40">
        <v>10786624</v>
      </c>
      <c r="AV34" s="40">
        <v>0</v>
      </c>
      <c r="AW34" s="40">
        <v>0</v>
      </c>
      <c r="AX34" s="40">
        <v>2147154</v>
      </c>
      <c r="AY34" s="40">
        <v>0</v>
      </c>
      <c r="AZ34" s="40">
        <v>0</v>
      </c>
      <c r="BA34" s="40">
        <v>0</v>
      </c>
      <c r="BB34" s="40">
        <v>0</v>
      </c>
      <c r="BC34" s="40">
        <v>0</v>
      </c>
      <c r="BD34" s="40">
        <v>0</v>
      </c>
      <c r="BE34" s="40">
        <v>25652</v>
      </c>
      <c r="BF34" s="40">
        <v>2773217</v>
      </c>
      <c r="BG34" s="40">
        <v>345958028</v>
      </c>
      <c r="BH34" s="40">
        <v>0</v>
      </c>
      <c r="BI34" s="40">
        <v>0</v>
      </c>
      <c r="BJ34" s="40">
        <v>1112970</v>
      </c>
      <c r="BK34" s="40">
        <v>161432329</v>
      </c>
      <c r="BL34" s="40">
        <v>234297</v>
      </c>
      <c r="BM34" s="40">
        <v>0</v>
      </c>
      <c r="BN34" s="40">
        <v>70624</v>
      </c>
      <c r="BO34" s="40">
        <v>188378</v>
      </c>
      <c r="BP34" s="40">
        <v>242</v>
      </c>
      <c r="BQ34" s="40">
        <v>543079</v>
      </c>
      <c r="BR34" s="40">
        <v>0</v>
      </c>
      <c r="BS34" s="40">
        <v>0</v>
      </c>
      <c r="BT34" s="40">
        <v>4441177773</v>
      </c>
      <c r="BU34" s="40">
        <v>0</v>
      </c>
      <c r="BV34" s="40">
        <v>0</v>
      </c>
      <c r="BW34" s="40">
        <v>0</v>
      </c>
      <c r="BX34" s="40">
        <v>0</v>
      </c>
      <c r="BY34" s="40">
        <v>0</v>
      </c>
      <c r="BZ34" s="40">
        <v>1643988279</v>
      </c>
      <c r="CA34" s="40">
        <v>66780654</v>
      </c>
      <c r="CB34" s="40">
        <v>1710768933</v>
      </c>
      <c r="CC34" s="40">
        <v>3574778496</v>
      </c>
      <c r="CD34" s="40">
        <v>5285547429</v>
      </c>
      <c r="CE34" s="40">
        <v>9726725202</v>
      </c>
      <c r="CF34" s="41"/>
      <c r="CG34" s="41"/>
      <c r="CH34" s="42"/>
    </row>
    <row r="35" spans="1:86">
      <c r="A35" s="38">
        <v>29</v>
      </c>
      <c r="B35" s="65" t="s">
        <v>166</v>
      </c>
      <c r="C35" s="39" t="s">
        <v>165</v>
      </c>
      <c r="D35" s="40">
        <v>43768</v>
      </c>
      <c r="E35" s="40">
        <v>0</v>
      </c>
      <c r="F35" s="40">
        <v>111</v>
      </c>
      <c r="G35" s="40">
        <v>0</v>
      </c>
      <c r="H35" s="40">
        <v>23636759</v>
      </c>
      <c r="I35" s="40">
        <v>1123110</v>
      </c>
      <c r="J35" s="40">
        <v>0</v>
      </c>
      <c r="K35" s="40">
        <v>47605</v>
      </c>
      <c r="L35" s="40">
        <v>0</v>
      </c>
      <c r="M35" s="40">
        <v>1369266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9959467</v>
      </c>
      <c r="X35" s="40">
        <v>0</v>
      </c>
      <c r="Y35" s="40">
        <v>0</v>
      </c>
      <c r="Z35" s="40">
        <v>2851</v>
      </c>
      <c r="AA35" s="40">
        <v>84344</v>
      </c>
      <c r="AB35" s="40">
        <v>0</v>
      </c>
      <c r="AC35" s="40">
        <v>0</v>
      </c>
      <c r="AD35" s="40">
        <v>0</v>
      </c>
      <c r="AE35" s="40">
        <v>934</v>
      </c>
      <c r="AF35" s="40">
        <v>0</v>
      </c>
      <c r="AG35" s="40">
        <v>3106095</v>
      </c>
      <c r="AH35" s="40">
        <v>0</v>
      </c>
      <c r="AI35" s="40">
        <v>3509</v>
      </c>
      <c r="AJ35" s="40">
        <v>35365</v>
      </c>
      <c r="AK35" s="40">
        <v>1332901</v>
      </c>
      <c r="AL35" s="40">
        <v>559861</v>
      </c>
      <c r="AM35" s="40">
        <v>0</v>
      </c>
      <c r="AN35" s="40">
        <v>0</v>
      </c>
      <c r="AO35" s="40">
        <v>36318</v>
      </c>
      <c r="AP35" s="40">
        <v>108049</v>
      </c>
      <c r="AQ35" s="40">
        <v>476750</v>
      </c>
      <c r="AR35" s="40">
        <v>588870</v>
      </c>
      <c r="AS35" s="40">
        <v>1613508</v>
      </c>
      <c r="AT35" s="40">
        <v>3607211</v>
      </c>
      <c r="AU35" s="40">
        <v>0</v>
      </c>
      <c r="AV35" s="40">
        <v>1337694</v>
      </c>
      <c r="AW35" s="40">
        <v>0</v>
      </c>
      <c r="AX35" s="40">
        <v>4737054</v>
      </c>
      <c r="AY35" s="40">
        <v>0</v>
      </c>
      <c r="AZ35" s="40">
        <v>0</v>
      </c>
      <c r="BA35" s="40">
        <v>0</v>
      </c>
      <c r="BB35" s="40">
        <v>0</v>
      </c>
      <c r="BC35" s="40">
        <v>0</v>
      </c>
      <c r="BD35" s="40">
        <v>0</v>
      </c>
      <c r="BE35" s="40">
        <v>0</v>
      </c>
      <c r="BF35" s="40">
        <v>0</v>
      </c>
      <c r="BG35" s="40">
        <v>0</v>
      </c>
      <c r="BH35" s="40">
        <v>0</v>
      </c>
      <c r="BI35" s="40">
        <v>0</v>
      </c>
      <c r="BJ35" s="40">
        <v>213281</v>
      </c>
      <c r="BK35" s="40">
        <v>468409</v>
      </c>
      <c r="BL35" s="40">
        <v>0</v>
      </c>
      <c r="BM35" s="40">
        <v>0</v>
      </c>
      <c r="BN35" s="40">
        <v>0</v>
      </c>
      <c r="BO35" s="40">
        <v>0</v>
      </c>
      <c r="BP35" s="40">
        <v>0</v>
      </c>
      <c r="BQ35" s="40">
        <v>0</v>
      </c>
      <c r="BR35" s="40">
        <v>0</v>
      </c>
      <c r="BS35" s="40">
        <v>0</v>
      </c>
      <c r="BT35" s="40">
        <v>54493090</v>
      </c>
      <c r="BU35" s="40">
        <v>0</v>
      </c>
      <c r="BV35" s="40">
        <v>0</v>
      </c>
      <c r="BW35" s="40">
        <v>0</v>
      </c>
      <c r="BX35" s="40">
        <v>0</v>
      </c>
      <c r="BY35" s="40">
        <v>0</v>
      </c>
      <c r="BZ35" s="40">
        <v>0</v>
      </c>
      <c r="CA35" s="40">
        <v>0</v>
      </c>
      <c r="CB35" s="40">
        <v>0</v>
      </c>
      <c r="CC35" s="40">
        <v>306334</v>
      </c>
      <c r="CD35" s="40">
        <v>306334</v>
      </c>
      <c r="CE35" s="40">
        <v>54799424</v>
      </c>
      <c r="CF35" s="41"/>
      <c r="CG35" s="41"/>
      <c r="CH35" s="42"/>
    </row>
    <row r="36" spans="1:86" ht="22.5">
      <c r="A36" s="38">
        <v>30</v>
      </c>
      <c r="B36" s="65" t="s">
        <v>66</v>
      </c>
      <c r="C36" s="39" t="s">
        <v>65</v>
      </c>
      <c r="D36" s="40">
        <v>10071270</v>
      </c>
      <c r="E36" s="40">
        <v>305415</v>
      </c>
      <c r="F36" s="40">
        <v>370946</v>
      </c>
      <c r="G36" s="40">
        <v>16348192</v>
      </c>
      <c r="H36" s="40">
        <v>92017464</v>
      </c>
      <c r="I36" s="40">
        <v>4222199</v>
      </c>
      <c r="J36" s="40">
        <v>713250</v>
      </c>
      <c r="K36" s="40">
        <v>4179172</v>
      </c>
      <c r="L36" s="40">
        <v>16333308</v>
      </c>
      <c r="M36" s="40">
        <v>2914509</v>
      </c>
      <c r="N36" s="40">
        <v>10223654</v>
      </c>
      <c r="O36" s="40">
        <v>0</v>
      </c>
      <c r="P36" s="40">
        <v>34218</v>
      </c>
      <c r="Q36" s="40">
        <v>22828</v>
      </c>
      <c r="R36" s="40">
        <v>11374</v>
      </c>
      <c r="S36" s="40">
        <v>772100</v>
      </c>
      <c r="T36" s="40">
        <v>0</v>
      </c>
      <c r="U36" s="40">
        <v>0</v>
      </c>
      <c r="V36" s="40">
        <v>273957</v>
      </c>
      <c r="W36" s="40">
        <v>1030606</v>
      </c>
      <c r="X36" s="40">
        <v>60153</v>
      </c>
      <c r="Y36" s="40">
        <v>1334</v>
      </c>
      <c r="Z36" s="40">
        <v>21352</v>
      </c>
      <c r="AA36" s="40">
        <v>11242235</v>
      </c>
      <c r="AB36" s="40">
        <v>448984</v>
      </c>
      <c r="AC36" s="40">
        <v>662</v>
      </c>
      <c r="AD36" s="40">
        <v>2063</v>
      </c>
      <c r="AE36" s="40">
        <v>71162</v>
      </c>
      <c r="AF36" s="40">
        <v>602</v>
      </c>
      <c r="AG36" s="40">
        <v>688401</v>
      </c>
      <c r="AH36" s="40">
        <v>2778</v>
      </c>
      <c r="AI36" s="40">
        <v>76331</v>
      </c>
      <c r="AJ36" s="40">
        <v>155679</v>
      </c>
      <c r="AK36" s="40">
        <v>6710799</v>
      </c>
      <c r="AL36" s="40">
        <v>2743868</v>
      </c>
      <c r="AM36" s="40">
        <v>2087391</v>
      </c>
      <c r="AN36" s="40">
        <v>65914</v>
      </c>
      <c r="AO36" s="40">
        <v>5935557</v>
      </c>
      <c r="AP36" s="40">
        <v>5695411</v>
      </c>
      <c r="AQ36" s="40">
        <v>3625361</v>
      </c>
      <c r="AR36" s="40">
        <v>8494041</v>
      </c>
      <c r="AS36" s="40">
        <v>5495976</v>
      </c>
      <c r="AT36" s="40">
        <v>75142563</v>
      </c>
      <c r="AU36" s="40">
        <v>54659322</v>
      </c>
      <c r="AV36" s="40">
        <v>69997497</v>
      </c>
      <c r="AW36" s="40">
        <v>105588319</v>
      </c>
      <c r="AX36" s="40">
        <v>37063818</v>
      </c>
      <c r="AY36" s="40">
        <v>226876</v>
      </c>
      <c r="AZ36" s="40">
        <v>464587</v>
      </c>
      <c r="BA36" s="40">
        <v>15869910</v>
      </c>
      <c r="BB36" s="40">
        <v>451215</v>
      </c>
      <c r="BC36" s="40">
        <v>2806602</v>
      </c>
      <c r="BD36" s="40">
        <v>3727236</v>
      </c>
      <c r="BE36" s="40">
        <v>20647793</v>
      </c>
      <c r="BF36" s="40">
        <v>102969142</v>
      </c>
      <c r="BG36" s="40">
        <v>61127</v>
      </c>
      <c r="BH36" s="40">
        <v>472191</v>
      </c>
      <c r="BI36" s="40">
        <v>9067</v>
      </c>
      <c r="BJ36" s="40">
        <v>107073334</v>
      </c>
      <c r="BK36" s="40">
        <v>70616318</v>
      </c>
      <c r="BL36" s="40">
        <v>13444171</v>
      </c>
      <c r="BM36" s="40">
        <v>37372094</v>
      </c>
      <c r="BN36" s="40">
        <v>33306839</v>
      </c>
      <c r="BO36" s="40">
        <v>9896363</v>
      </c>
      <c r="BP36" s="40">
        <v>746108</v>
      </c>
      <c r="BQ36" s="40">
        <v>24093816</v>
      </c>
      <c r="BR36" s="40">
        <v>6829197</v>
      </c>
      <c r="BS36" s="40">
        <v>0</v>
      </c>
      <c r="BT36" s="40">
        <v>1007006021</v>
      </c>
      <c r="BU36" s="40">
        <v>79584735</v>
      </c>
      <c r="BV36" s="40">
        <v>0</v>
      </c>
      <c r="BW36" s="40">
        <v>0</v>
      </c>
      <c r="BX36" s="40">
        <v>79584735</v>
      </c>
      <c r="BY36" s="40">
        <v>465108827</v>
      </c>
      <c r="BZ36" s="40">
        <v>24181827</v>
      </c>
      <c r="CA36" s="40">
        <v>0</v>
      </c>
      <c r="CB36" s="40">
        <v>489290654</v>
      </c>
      <c r="CC36" s="40">
        <v>151918864</v>
      </c>
      <c r="CD36" s="40">
        <v>720794253</v>
      </c>
      <c r="CE36" s="40">
        <v>1727800274</v>
      </c>
      <c r="CF36" s="41"/>
      <c r="CG36" s="41"/>
      <c r="CH36" s="42"/>
    </row>
    <row r="37" spans="1:86" ht="22.5">
      <c r="A37" s="38">
        <v>31</v>
      </c>
      <c r="B37" s="65" t="s">
        <v>64</v>
      </c>
      <c r="C37" s="39" t="s">
        <v>135</v>
      </c>
      <c r="D37" s="40">
        <v>66386</v>
      </c>
      <c r="E37" s="40">
        <v>14173</v>
      </c>
      <c r="F37" s="40">
        <v>0</v>
      </c>
      <c r="G37" s="40">
        <v>6</v>
      </c>
      <c r="H37" s="40">
        <v>10467687</v>
      </c>
      <c r="I37" s="40">
        <v>499755</v>
      </c>
      <c r="J37" s="40">
        <v>11907</v>
      </c>
      <c r="K37" s="40">
        <v>28476</v>
      </c>
      <c r="L37" s="40">
        <v>608</v>
      </c>
      <c r="M37" s="40">
        <v>156814</v>
      </c>
      <c r="N37" s="40">
        <v>10809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79</v>
      </c>
      <c r="U37" s="40">
        <v>337</v>
      </c>
      <c r="V37" s="40">
        <v>0</v>
      </c>
      <c r="W37" s="40">
        <v>63806</v>
      </c>
      <c r="X37" s="40">
        <v>55416</v>
      </c>
      <c r="Y37" s="40">
        <v>9883</v>
      </c>
      <c r="Z37" s="40">
        <v>374</v>
      </c>
      <c r="AA37" s="40">
        <v>1153</v>
      </c>
      <c r="AB37" s="40">
        <v>23407</v>
      </c>
      <c r="AC37" s="40">
        <v>0</v>
      </c>
      <c r="AD37" s="40">
        <v>0</v>
      </c>
      <c r="AE37" s="40">
        <v>17</v>
      </c>
      <c r="AF37" s="40">
        <v>737</v>
      </c>
      <c r="AG37" s="40">
        <v>998</v>
      </c>
      <c r="AH37" s="40">
        <v>1720639</v>
      </c>
      <c r="AI37" s="40">
        <v>1154810</v>
      </c>
      <c r="AJ37" s="40">
        <v>294213</v>
      </c>
      <c r="AK37" s="40">
        <v>1786960</v>
      </c>
      <c r="AL37" s="40">
        <v>1335887</v>
      </c>
      <c r="AM37" s="40">
        <v>0</v>
      </c>
      <c r="AN37" s="40">
        <v>0</v>
      </c>
      <c r="AO37" s="40">
        <v>342826</v>
      </c>
      <c r="AP37" s="40">
        <v>2938662</v>
      </c>
      <c r="AQ37" s="40">
        <v>4059</v>
      </c>
      <c r="AR37" s="40">
        <v>5511</v>
      </c>
      <c r="AS37" s="40">
        <v>8420</v>
      </c>
      <c r="AT37" s="40">
        <v>520002</v>
      </c>
      <c r="AU37" s="40">
        <v>354593</v>
      </c>
      <c r="AV37" s="40">
        <v>633075</v>
      </c>
      <c r="AW37" s="40">
        <v>331004</v>
      </c>
      <c r="AX37" s="40">
        <v>364035</v>
      </c>
      <c r="AY37" s="40">
        <v>9292</v>
      </c>
      <c r="AZ37" s="40">
        <v>385001</v>
      </c>
      <c r="BA37" s="40">
        <v>31535598</v>
      </c>
      <c r="BB37" s="40">
        <v>120444</v>
      </c>
      <c r="BC37" s="40">
        <v>972819</v>
      </c>
      <c r="BD37" s="40">
        <v>1178357</v>
      </c>
      <c r="BE37" s="40">
        <v>13629814</v>
      </c>
      <c r="BF37" s="40">
        <v>23928432</v>
      </c>
      <c r="BG37" s="40">
        <v>7260521</v>
      </c>
      <c r="BH37" s="40">
        <v>3351231</v>
      </c>
      <c r="BI37" s="40">
        <v>1955389</v>
      </c>
      <c r="BJ37" s="40">
        <v>2164288</v>
      </c>
      <c r="BK37" s="40">
        <v>12540958</v>
      </c>
      <c r="BL37" s="40">
        <v>12489792</v>
      </c>
      <c r="BM37" s="40">
        <v>6893567</v>
      </c>
      <c r="BN37" s="40">
        <v>6964891</v>
      </c>
      <c r="BO37" s="40">
        <v>31121127</v>
      </c>
      <c r="BP37" s="40">
        <v>102554</v>
      </c>
      <c r="BQ37" s="40">
        <v>3766475</v>
      </c>
      <c r="BR37" s="40">
        <v>6300810</v>
      </c>
      <c r="BS37" s="40">
        <v>0</v>
      </c>
      <c r="BT37" s="40">
        <v>189878884</v>
      </c>
      <c r="BU37" s="40">
        <v>938307910</v>
      </c>
      <c r="BV37" s="40">
        <v>0</v>
      </c>
      <c r="BW37" s="40">
        <v>0</v>
      </c>
      <c r="BX37" s="40">
        <v>938307910</v>
      </c>
      <c r="BY37" s="40">
        <v>1191429342</v>
      </c>
      <c r="BZ37" s="40">
        <v>-24751007</v>
      </c>
      <c r="CA37" s="40">
        <v>0</v>
      </c>
      <c r="CB37" s="40">
        <v>1166678335</v>
      </c>
      <c r="CC37" s="40">
        <v>260135876</v>
      </c>
      <c r="CD37" s="40">
        <v>2365122121</v>
      </c>
      <c r="CE37" s="40">
        <v>2555001005</v>
      </c>
      <c r="CF37" s="41"/>
      <c r="CG37" s="41"/>
      <c r="CH37" s="42"/>
    </row>
    <row r="38" spans="1:86">
      <c r="A38" s="38">
        <v>32</v>
      </c>
      <c r="B38" s="65" t="s">
        <v>96</v>
      </c>
      <c r="C38" s="39" t="s">
        <v>164</v>
      </c>
      <c r="D38" s="40">
        <v>727495</v>
      </c>
      <c r="E38" s="40">
        <v>15</v>
      </c>
      <c r="F38" s="40">
        <v>611</v>
      </c>
      <c r="G38" s="40">
        <v>19327</v>
      </c>
      <c r="H38" s="40">
        <v>42131189</v>
      </c>
      <c r="I38" s="40">
        <v>2129449</v>
      </c>
      <c r="J38" s="40">
        <v>74969</v>
      </c>
      <c r="K38" s="40">
        <v>57926</v>
      </c>
      <c r="L38" s="40">
        <v>1506852</v>
      </c>
      <c r="M38" s="40">
        <v>112925</v>
      </c>
      <c r="N38" s="40">
        <v>2017</v>
      </c>
      <c r="O38" s="40">
        <v>0</v>
      </c>
      <c r="P38" s="40">
        <v>118</v>
      </c>
      <c r="Q38" s="40">
        <v>51</v>
      </c>
      <c r="R38" s="40">
        <v>150</v>
      </c>
      <c r="S38" s="40">
        <v>0</v>
      </c>
      <c r="T38" s="40">
        <v>185</v>
      </c>
      <c r="U38" s="40">
        <v>0</v>
      </c>
      <c r="V38" s="40">
        <v>27530</v>
      </c>
      <c r="W38" s="40">
        <v>142682</v>
      </c>
      <c r="X38" s="40">
        <v>78954</v>
      </c>
      <c r="Y38" s="40">
        <v>0</v>
      </c>
      <c r="Z38" s="40">
        <v>2134</v>
      </c>
      <c r="AA38" s="40">
        <v>10796</v>
      </c>
      <c r="AB38" s="40">
        <v>64314</v>
      </c>
      <c r="AC38" s="40">
        <v>9</v>
      </c>
      <c r="AD38" s="40">
        <v>0</v>
      </c>
      <c r="AE38" s="40">
        <v>57144</v>
      </c>
      <c r="AF38" s="40">
        <v>112</v>
      </c>
      <c r="AG38" s="40">
        <v>9310</v>
      </c>
      <c r="AH38" s="40">
        <v>3014132</v>
      </c>
      <c r="AI38" s="40">
        <v>2534275</v>
      </c>
      <c r="AJ38" s="40">
        <v>867764</v>
      </c>
      <c r="AK38" s="40">
        <v>3046491</v>
      </c>
      <c r="AL38" s="40">
        <v>1406218</v>
      </c>
      <c r="AM38" s="40">
        <v>0</v>
      </c>
      <c r="AN38" s="40">
        <v>0</v>
      </c>
      <c r="AO38" s="40">
        <v>1425216</v>
      </c>
      <c r="AP38" s="40">
        <v>19142126</v>
      </c>
      <c r="AQ38" s="40">
        <v>0</v>
      </c>
      <c r="AR38" s="40">
        <v>74227</v>
      </c>
      <c r="AS38" s="40">
        <v>295377</v>
      </c>
      <c r="AT38" s="40">
        <v>5587939</v>
      </c>
      <c r="AU38" s="40">
        <v>17489689</v>
      </c>
      <c r="AV38" s="40">
        <v>8673031</v>
      </c>
      <c r="AW38" s="40">
        <v>4952534</v>
      </c>
      <c r="AX38" s="40">
        <v>513232</v>
      </c>
      <c r="AY38" s="40">
        <v>485</v>
      </c>
      <c r="AZ38" s="40">
        <v>457865</v>
      </c>
      <c r="BA38" s="40">
        <v>2021739</v>
      </c>
      <c r="BB38" s="40">
        <v>0</v>
      </c>
      <c r="BC38" s="40">
        <v>5072255</v>
      </c>
      <c r="BD38" s="40">
        <v>2847932</v>
      </c>
      <c r="BE38" s="40">
        <v>1899745</v>
      </c>
      <c r="BF38" s="40">
        <v>8427239</v>
      </c>
      <c r="BG38" s="40">
        <v>359266</v>
      </c>
      <c r="BH38" s="40">
        <v>42994</v>
      </c>
      <c r="BI38" s="40">
        <v>75018</v>
      </c>
      <c r="BJ38" s="40">
        <v>16100308</v>
      </c>
      <c r="BK38" s="40">
        <v>4705980</v>
      </c>
      <c r="BL38" s="40">
        <v>22427669</v>
      </c>
      <c r="BM38" s="40">
        <v>5357470</v>
      </c>
      <c r="BN38" s="40">
        <v>10869223</v>
      </c>
      <c r="BO38" s="40">
        <v>5028283</v>
      </c>
      <c r="BP38" s="40">
        <v>111160</v>
      </c>
      <c r="BQ38" s="40">
        <v>15960063</v>
      </c>
      <c r="BR38" s="40">
        <v>6234535</v>
      </c>
      <c r="BS38" s="40">
        <v>0</v>
      </c>
      <c r="BT38" s="40">
        <v>224177744</v>
      </c>
      <c r="BU38" s="40">
        <v>445228920</v>
      </c>
      <c r="BV38" s="40">
        <v>0</v>
      </c>
      <c r="BW38" s="40">
        <v>0</v>
      </c>
      <c r="BX38" s="40">
        <v>445228920</v>
      </c>
      <c r="BY38" s="40">
        <v>1129695897</v>
      </c>
      <c r="BZ38" s="40">
        <v>41675780</v>
      </c>
      <c r="CA38" s="40">
        <v>0</v>
      </c>
      <c r="CB38" s="40">
        <v>1171371677</v>
      </c>
      <c r="CC38" s="40">
        <v>202931953</v>
      </c>
      <c r="CD38" s="40">
        <v>1819532550</v>
      </c>
      <c r="CE38" s="40">
        <v>2043710294</v>
      </c>
      <c r="CF38" s="41"/>
      <c r="CG38" s="41"/>
      <c r="CH38" s="42"/>
    </row>
    <row r="39" spans="1:86" ht="22.5">
      <c r="A39" s="38">
        <v>33</v>
      </c>
      <c r="B39" s="65" t="s">
        <v>95</v>
      </c>
      <c r="C39" s="39" t="s">
        <v>163</v>
      </c>
      <c r="D39" s="40">
        <v>41140434</v>
      </c>
      <c r="E39" s="40">
        <v>19306</v>
      </c>
      <c r="F39" s="40">
        <v>47004</v>
      </c>
      <c r="G39" s="40">
        <v>44376716</v>
      </c>
      <c r="H39" s="40">
        <v>181105954</v>
      </c>
      <c r="I39" s="40">
        <v>4918019</v>
      </c>
      <c r="J39" s="40">
        <v>3482047</v>
      </c>
      <c r="K39" s="40">
        <v>14104350</v>
      </c>
      <c r="L39" s="40">
        <v>10453661</v>
      </c>
      <c r="M39" s="40">
        <v>9072955</v>
      </c>
      <c r="N39" s="40">
        <v>2780887</v>
      </c>
      <c r="O39" s="40">
        <v>103300</v>
      </c>
      <c r="P39" s="40">
        <v>25455</v>
      </c>
      <c r="Q39" s="40">
        <v>2108070</v>
      </c>
      <c r="R39" s="40">
        <v>40</v>
      </c>
      <c r="S39" s="40">
        <v>366</v>
      </c>
      <c r="T39" s="40">
        <v>1336755</v>
      </c>
      <c r="U39" s="40">
        <v>11780</v>
      </c>
      <c r="V39" s="40">
        <v>2414998</v>
      </c>
      <c r="W39" s="40">
        <v>11065109</v>
      </c>
      <c r="X39" s="40">
        <v>22535</v>
      </c>
      <c r="Y39" s="40">
        <v>59264</v>
      </c>
      <c r="Z39" s="40">
        <v>100356</v>
      </c>
      <c r="AA39" s="40">
        <v>6881151</v>
      </c>
      <c r="AB39" s="40">
        <v>4128509</v>
      </c>
      <c r="AC39" s="40">
        <v>76049</v>
      </c>
      <c r="AD39" s="40">
        <v>0</v>
      </c>
      <c r="AE39" s="40">
        <v>667089</v>
      </c>
      <c r="AF39" s="40">
        <v>17</v>
      </c>
      <c r="AG39" s="40">
        <v>16227</v>
      </c>
      <c r="AH39" s="40">
        <v>1482</v>
      </c>
      <c r="AI39" s="40">
        <v>7429</v>
      </c>
      <c r="AJ39" s="40">
        <v>7086217</v>
      </c>
      <c r="AK39" s="40">
        <v>4830615</v>
      </c>
      <c r="AL39" s="40">
        <v>4020727</v>
      </c>
      <c r="AM39" s="40">
        <v>0</v>
      </c>
      <c r="AN39" s="40">
        <v>373</v>
      </c>
      <c r="AO39" s="40">
        <v>1297462</v>
      </c>
      <c r="AP39" s="40">
        <v>1543180</v>
      </c>
      <c r="AQ39" s="40">
        <v>785991</v>
      </c>
      <c r="AR39" s="40">
        <v>5372389</v>
      </c>
      <c r="AS39" s="40">
        <v>684362</v>
      </c>
      <c r="AT39" s="40">
        <v>5062557</v>
      </c>
      <c r="AU39" s="40">
        <v>32437976</v>
      </c>
      <c r="AV39" s="40">
        <v>9661909</v>
      </c>
      <c r="AW39" s="40">
        <v>8792248</v>
      </c>
      <c r="AX39" s="40">
        <v>32095966</v>
      </c>
      <c r="AY39" s="40">
        <v>418132</v>
      </c>
      <c r="AZ39" s="40">
        <v>314831</v>
      </c>
      <c r="BA39" s="40">
        <v>9768257</v>
      </c>
      <c r="BB39" s="40">
        <v>2717</v>
      </c>
      <c r="BC39" s="40">
        <v>3966891</v>
      </c>
      <c r="BD39" s="40">
        <v>6155254</v>
      </c>
      <c r="BE39" s="40">
        <v>2890663</v>
      </c>
      <c r="BF39" s="40">
        <v>5690161</v>
      </c>
      <c r="BG39" s="40">
        <v>1363276</v>
      </c>
      <c r="BH39" s="40">
        <v>616193</v>
      </c>
      <c r="BI39" s="40">
        <v>247090</v>
      </c>
      <c r="BJ39" s="40">
        <v>225408</v>
      </c>
      <c r="BK39" s="40">
        <v>100976738</v>
      </c>
      <c r="BL39" s="40">
        <v>24110391</v>
      </c>
      <c r="BM39" s="40">
        <v>17328461</v>
      </c>
      <c r="BN39" s="40">
        <v>12201169</v>
      </c>
      <c r="BO39" s="40">
        <v>12185190</v>
      </c>
      <c r="BP39" s="40">
        <v>129992</v>
      </c>
      <c r="BQ39" s="40">
        <v>2320190</v>
      </c>
      <c r="BR39" s="40">
        <v>4610080</v>
      </c>
      <c r="BS39" s="40">
        <v>0</v>
      </c>
      <c r="BT39" s="40">
        <v>659720370</v>
      </c>
      <c r="BU39" s="40">
        <v>140473546</v>
      </c>
      <c r="BV39" s="40">
        <v>0</v>
      </c>
      <c r="BW39" s="40">
        <v>0</v>
      </c>
      <c r="BX39" s="40">
        <v>140473546</v>
      </c>
      <c r="BY39" s="40">
        <v>3080264549</v>
      </c>
      <c r="BZ39" s="40">
        <v>-158034485</v>
      </c>
      <c r="CA39" s="40">
        <v>0</v>
      </c>
      <c r="CB39" s="40">
        <v>2922230064</v>
      </c>
      <c r="CC39" s="40">
        <v>429806797</v>
      </c>
      <c r="CD39" s="40">
        <v>3492510407</v>
      </c>
      <c r="CE39" s="40">
        <v>4152230777</v>
      </c>
      <c r="CF39" s="41"/>
      <c r="CG39" s="41"/>
      <c r="CH39" s="42"/>
    </row>
    <row r="40" spans="1:86">
      <c r="A40" s="38">
        <v>34</v>
      </c>
      <c r="B40" s="65" t="s">
        <v>63</v>
      </c>
      <c r="C40" s="39" t="s">
        <v>62</v>
      </c>
      <c r="D40" s="40">
        <v>2732569</v>
      </c>
      <c r="E40" s="40">
        <v>202</v>
      </c>
      <c r="F40" s="40">
        <v>6944</v>
      </c>
      <c r="G40" s="40">
        <v>373543</v>
      </c>
      <c r="H40" s="40">
        <v>684680</v>
      </c>
      <c r="I40" s="40">
        <v>32517</v>
      </c>
      <c r="J40" s="40">
        <v>431836</v>
      </c>
      <c r="K40" s="40">
        <v>453989</v>
      </c>
      <c r="L40" s="40">
        <v>85694</v>
      </c>
      <c r="M40" s="40">
        <v>334630</v>
      </c>
      <c r="N40" s="40">
        <v>217555</v>
      </c>
      <c r="O40" s="40">
        <v>0</v>
      </c>
      <c r="P40" s="40">
        <v>539</v>
      </c>
      <c r="Q40" s="40">
        <v>0</v>
      </c>
      <c r="R40" s="40">
        <v>0</v>
      </c>
      <c r="S40" s="40">
        <v>1932</v>
      </c>
      <c r="T40" s="40">
        <v>1814</v>
      </c>
      <c r="U40" s="40">
        <v>743</v>
      </c>
      <c r="V40" s="40">
        <v>77636</v>
      </c>
      <c r="W40" s="40">
        <v>27</v>
      </c>
      <c r="X40" s="40">
        <v>7045</v>
      </c>
      <c r="Y40" s="40">
        <v>0</v>
      </c>
      <c r="Z40" s="40">
        <v>792</v>
      </c>
      <c r="AA40" s="40">
        <v>25218</v>
      </c>
      <c r="AB40" s="40">
        <v>10969</v>
      </c>
      <c r="AC40" s="40">
        <v>0</v>
      </c>
      <c r="AD40" s="40">
        <v>0</v>
      </c>
      <c r="AE40" s="40">
        <v>32628</v>
      </c>
      <c r="AF40" s="40">
        <v>0</v>
      </c>
      <c r="AG40" s="40">
        <v>687</v>
      </c>
      <c r="AH40" s="40">
        <v>0</v>
      </c>
      <c r="AI40" s="40">
        <v>654</v>
      </c>
      <c r="AJ40" s="40">
        <v>2018</v>
      </c>
      <c r="AK40" s="40">
        <v>251051465</v>
      </c>
      <c r="AL40" s="40">
        <v>0</v>
      </c>
      <c r="AM40" s="40">
        <v>0</v>
      </c>
      <c r="AN40" s="40">
        <v>0</v>
      </c>
      <c r="AO40" s="40">
        <v>6390815</v>
      </c>
      <c r="AP40" s="40">
        <v>308567</v>
      </c>
      <c r="AQ40" s="40">
        <v>930</v>
      </c>
      <c r="AR40" s="40">
        <v>30297</v>
      </c>
      <c r="AS40" s="40">
        <v>513934</v>
      </c>
      <c r="AT40" s="40">
        <v>3079916</v>
      </c>
      <c r="AU40" s="40">
        <v>395855152</v>
      </c>
      <c r="AV40" s="40">
        <v>1759390</v>
      </c>
      <c r="AW40" s="40">
        <v>787284</v>
      </c>
      <c r="AX40" s="40">
        <v>6413931</v>
      </c>
      <c r="AY40" s="40">
        <v>0</v>
      </c>
      <c r="AZ40" s="40">
        <v>32433</v>
      </c>
      <c r="BA40" s="40">
        <v>3762459</v>
      </c>
      <c r="BB40" s="40">
        <v>123731</v>
      </c>
      <c r="BC40" s="40">
        <v>0</v>
      </c>
      <c r="BD40" s="40">
        <v>2102181</v>
      </c>
      <c r="BE40" s="40">
        <v>213991</v>
      </c>
      <c r="BF40" s="40">
        <v>0</v>
      </c>
      <c r="BG40" s="40">
        <v>42534</v>
      </c>
      <c r="BH40" s="40">
        <v>128422</v>
      </c>
      <c r="BI40" s="40">
        <v>54807</v>
      </c>
      <c r="BJ40" s="40">
        <v>1192641</v>
      </c>
      <c r="BK40" s="40">
        <v>1668116</v>
      </c>
      <c r="BL40" s="40">
        <v>2067763</v>
      </c>
      <c r="BM40" s="40">
        <v>3732672</v>
      </c>
      <c r="BN40" s="40">
        <v>3202801</v>
      </c>
      <c r="BO40" s="40">
        <v>3677072</v>
      </c>
      <c r="BP40" s="40">
        <v>232765</v>
      </c>
      <c r="BQ40" s="40">
        <v>155816</v>
      </c>
      <c r="BR40" s="40">
        <v>70662</v>
      </c>
      <c r="BS40" s="40">
        <v>0</v>
      </c>
      <c r="BT40" s="40">
        <v>694169408</v>
      </c>
      <c r="BU40" s="40">
        <v>2125370771</v>
      </c>
      <c r="BV40" s="40">
        <v>0</v>
      </c>
      <c r="BW40" s="40">
        <v>0</v>
      </c>
      <c r="BX40" s="40">
        <v>2125370771</v>
      </c>
      <c r="BY40" s="40">
        <v>2777881756</v>
      </c>
      <c r="BZ40" s="40">
        <v>-401230575</v>
      </c>
      <c r="CA40" s="40">
        <v>0</v>
      </c>
      <c r="CB40" s="40">
        <v>2376651181</v>
      </c>
      <c r="CC40" s="40">
        <v>92940183</v>
      </c>
      <c r="CD40" s="40">
        <v>4594962135</v>
      </c>
      <c r="CE40" s="40">
        <v>5289131543</v>
      </c>
      <c r="CF40" s="41"/>
      <c r="CG40" s="41"/>
      <c r="CH40" s="42"/>
    </row>
    <row r="41" spans="1:86">
      <c r="A41" s="38">
        <v>35</v>
      </c>
      <c r="B41" s="65" t="s">
        <v>61</v>
      </c>
      <c r="C41" s="39" t="s">
        <v>60</v>
      </c>
      <c r="D41" s="40">
        <v>5071</v>
      </c>
      <c r="E41" s="40">
        <v>0</v>
      </c>
      <c r="F41" s="40">
        <v>0</v>
      </c>
      <c r="G41" s="40">
        <v>330899</v>
      </c>
      <c r="H41" s="40">
        <v>14187</v>
      </c>
      <c r="I41" s="40">
        <v>664</v>
      </c>
      <c r="J41" s="40">
        <v>367254</v>
      </c>
      <c r="K41" s="40">
        <v>20495</v>
      </c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14353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20643</v>
      </c>
      <c r="AF41" s="40">
        <v>329</v>
      </c>
      <c r="AG41" s="40">
        <v>0</v>
      </c>
      <c r="AH41" s="40">
        <v>0</v>
      </c>
      <c r="AI41" s="40">
        <v>684</v>
      </c>
      <c r="AJ41" s="40">
        <v>7190</v>
      </c>
      <c r="AK41" s="40">
        <v>0</v>
      </c>
      <c r="AL41" s="40">
        <v>25591207</v>
      </c>
      <c r="AM41" s="40">
        <v>0</v>
      </c>
      <c r="AN41" s="40">
        <v>0</v>
      </c>
      <c r="AO41" s="40">
        <v>632408</v>
      </c>
      <c r="AP41" s="40">
        <v>4284</v>
      </c>
      <c r="AQ41" s="40">
        <v>0</v>
      </c>
      <c r="AR41" s="40">
        <v>2470</v>
      </c>
      <c r="AS41" s="40">
        <v>0</v>
      </c>
      <c r="AT41" s="40">
        <v>400</v>
      </c>
      <c r="AU41" s="40">
        <v>0</v>
      </c>
      <c r="AV41" s="40">
        <v>0</v>
      </c>
      <c r="AW41" s="40">
        <v>526747</v>
      </c>
      <c r="AX41" s="40">
        <v>55629154</v>
      </c>
      <c r="AY41" s="40">
        <v>0</v>
      </c>
      <c r="AZ41" s="40">
        <v>12526390</v>
      </c>
      <c r="BA41" s="40">
        <v>4216002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1718</v>
      </c>
      <c r="BL41" s="40">
        <v>4373531</v>
      </c>
      <c r="BM41" s="40">
        <v>1597952</v>
      </c>
      <c r="BN41" s="40">
        <v>994905</v>
      </c>
      <c r="BO41" s="40">
        <v>1478591</v>
      </c>
      <c r="BP41" s="40">
        <v>2188</v>
      </c>
      <c r="BQ41" s="40">
        <v>2003377</v>
      </c>
      <c r="BR41" s="40">
        <v>0</v>
      </c>
      <c r="BS41" s="40">
        <v>0</v>
      </c>
      <c r="BT41" s="40">
        <v>110363093</v>
      </c>
      <c r="BU41" s="40">
        <v>60750856</v>
      </c>
      <c r="BV41" s="40">
        <v>0</v>
      </c>
      <c r="BW41" s="40">
        <v>0</v>
      </c>
      <c r="BX41" s="40">
        <v>60750856</v>
      </c>
      <c r="BY41" s="40">
        <v>1664565374</v>
      </c>
      <c r="BZ41" s="40">
        <v>750170</v>
      </c>
      <c r="CA41" s="40">
        <v>0</v>
      </c>
      <c r="CB41" s="40">
        <v>1665315544</v>
      </c>
      <c r="CC41" s="40">
        <v>404403722</v>
      </c>
      <c r="CD41" s="40">
        <v>2130470122</v>
      </c>
      <c r="CE41" s="40">
        <v>2240833215</v>
      </c>
      <c r="CF41" s="41"/>
      <c r="CG41" s="41"/>
      <c r="CH41" s="42"/>
    </row>
    <row r="42" spans="1:86">
      <c r="A42" s="38">
        <v>36</v>
      </c>
      <c r="B42" s="65" t="s">
        <v>59</v>
      </c>
      <c r="C42" s="39" t="s">
        <v>58</v>
      </c>
      <c r="D42" s="40">
        <v>3640</v>
      </c>
      <c r="E42" s="40">
        <v>9</v>
      </c>
      <c r="F42" s="40">
        <v>0</v>
      </c>
      <c r="G42" s="40">
        <v>0</v>
      </c>
      <c r="H42" s="40">
        <v>1243</v>
      </c>
      <c r="I42" s="40">
        <v>59</v>
      </c>
      <c r="J42" s="40">
        <v>0</v>
      </c>
      <c r="K42" s="40">
        <v>9</v>
      </c>
      <c r="L42" s="40">
        <v>0</v>
      </c>
      <c r="M42" s="40">
        <v>0</v>
      </c>
      <c r="N42" s="40">
        <v>8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40">
        <v>0</v>
      </c>
      <c r="W42" s="40">
        <v>0</v>
      </c>
      <c r="X42" s="40">
        <v>8</v>
      </c>
      <c r="Y42" s="40">
        <v>0</v>
      </c>
      <c r="Z42" s="40">
        <v>0</v>
      </c>
      <c r="AA42" s="40">
        <v>45</v>
      </c>
      <c r="AB42" s="40">
        <v>58</v>
      </c>
      <c r="AC42" s="40">
        <v>0</v>
      </c>
      <c r="AD42" s="40">
        <v>0</v>
      </c>
      <c r="AE42" s="40">
        <v>0</v>
      </c>
      <c r="AF42" s="40">
        <v>0</v>
      </c>
      <c r="AG42" s="40">
        <v>23805</v>
      </c>
      <c r="AH42" s="40">
        <v>0</v>
      </c>
      <c r="AI42" s="40">
        <v>5</v>
      </c>
      <c r="AJ42" s="40">
        <v>0</v>
      </c>
      <c r="AK42" s="40">
        <v>0</v>
      </c>
      <c r="AL42" s="40">
        <v>0</v>
      </c>
      <c r="AM42" s="40">
        <v>0</v>
      </c>
      <c r="AN42" s="40">
        <v>0</v>
      </c>
      <c r="AO42" s="40">
        <v>0</v>
      </c>
      <c r="AP42" s="40">
        <v>6282</v>
      </c>
      <c r="AQ42" s="40">
        <v>0</v>
      </c>
      <c r="AR42" s="40">
        <v>0</v>
      </c>
      <c r="AS42" s="40">
        <v>637</v>
      </c>
      <c r="AT42" s="40">
        <v>127851</v>
      </c>
      <c r="AU42" s="40">
        <v>0</v>
      </c>
      <c r="AV42" s="40">
        <v>25018</v>
      </c>
      <c r="AW42" s="40">
        <v>7096</v>
      </c>
      <c r="AX42" s="40">
        <v>468</v>
      </c>
      <c r="AY42" s="40">
        <v>0</v>
      </c>
      <c r="AZ42" s="40">
        <v>0</v>
      </c>
      <c r="BA42" s="40">
        <v>44</v>
      </c>
      <c r="BB42" s="40">
        <v>0</v>
      </c>
      <c r="BC42" s="40">
        <v>1032891</v>
      </c>
      <c r="BD42" s="40">
        <v>1001268</v>
      </c>
      <c r="BE42" s="40">
        <v>558</v>
      </c>
      <c r="BF42" s="40">
        <v>0</v>
      </c>
      <c r="BG42" s="40">
        <v>2699</v>
      </c>
      <c r="BH42" s="40">
        <v>0</v>
      </c>
      <c r="BI42" s="40">
        <v>0</v>
      </c>
      <c r="BJ42" s="40">
        <v>77312</v>
      </c>
      <c r="BK42" s="40">
        <v>8310</v>
      </c>
      <c r="BL42" s="40">
        <v>145681</v>
      </c>
      <c r="BM42" s="40">
        <v>2694467</v>
      </c>
      <c r="BN42" s="40">
        <v>3909398</v>
      </c>
      <c r="BO42" s="40">
        <v>761925</v>
      </c>
      <c r="BP42" s="40">
        <v>282543</v>
      </c>
      <c r="BQ42" s="40">
        <v>792339</v>
      </c>
      <c r="BR42" s="40">
        <v>77365</v>
      </c>
      <c r="BS42" s="40">
        <v>0</v>
      </c>
      <c r="BT42" s="40">
        <v>10983041</v>
      </c>
      <c r="BU42" s="40">
        <v>195265150</v>
      </c>
      <c r="BV42" s="40">
        <v>0</v>
      </c>
      <c r="BW42" s="40">
        <v>0</v>
      </c>
      <c r="BX42" s="40">
        <v>195265150</v>
      </c>
      <c r="BY42" s="40">
        <v>208001053</v>
      </c>
      <c r="BZ42" s="40">
        <v>-1978330</v>
      </c>
      <c r="CA42" s="40">
        <v>0</v>
      </c>
      <c r="CB42" s="40">
        <v>206022723</v>
      </c>
      <c r="CC42" s="40">
        <v>7280261</v>
      </c>
      <c r="CD42" s="40">
        <v>408568134</v>
      </c>
      <c r="CE42" s="40">
        <v>419551175</v>
      </c>
      <c r="CF42" s="41"/>
      <c r="CG42" s="41"/>
      <c r="CH42" s="42"/>
    </row>
    <row r="43" spans="1:86">
      <c r="A43" s="38">
        <v>37</v>
      </c>
      <c r="B43" s="65" t="s">
        <v>57</v>
      </c>
      <c r="C43" s="39" t="s">
        <v>56</v>
      </c>
      <c r="D43" s="40">
        <v>166951</v>
      </c>
      <c r="E43" s="40">
        <v>12</v>
      </c>
      <c r="F43" s="40">
        <v>0</v>
      </c>
      <c r="G43" s="40">
        <v>0</v>
      </c>
      <c r="H43" s="40">
        <v>162476</v>
      </c>
      <c r="I43" s="40">
        <v>7688</v>
      </c>
      <c r="J43" s="40">
        <v>0</v>
      </c>
      <c r="K43" s="40">
        <v>7583</v>
      </c>
      <c r="L43" s="40">
        <v>3</v>
      </c>
      <c r="M43" s="40">
        <v>411</v>
      </c>
      <c r="N43" s="40">
        <v>83803</v>
      </c>
      <c r="O43" s="40">
        <v>0</v>
      </c>
      <c r="P43" s="40">
        <v>48</v>
      </c>
      <c r="Q43" s="40">
        <v>3164934</v>
      </c>
      <c r="R43" s="40">
        <v>38885</v>
      </c>
      <c r="S43" s="40">
        <v>0</v>
      </c>
      <c r="T43" s="40">
        <v>0</v>
      </c>
      <c r="U43" s="40">
        <v>0</v>
      </c>
      <c r="V43" s="40">
        <v>0</v>
      </c>
      <c r="W43" s="40">
        <v>35483</v>
      </c>
      <c r="X43" s="40">
        <v>1455</v>
      </c>
      <c r="Y43" s="40">
        <v>190616</v>
      </c>
      <c r="Z43" s="40">
        <v>122430</v>
      </c>
      <c r="AA43" s="40">
        <v>1055301</v>
      </c>
      <c r="AB43" s="40">
        <v>296</v>
      </c>
      <c r="AC43" s="40">
        <v>0</v>
      </c>
      <c r="AD43" s="40">
        <v>0</v>
      </c>
      <c r="AE43" s="40">
        <v>679</v>
      </c>
      <c r="AF43" s="40">
        <v>0</v>
      </c>
      <c r="AG43" s="40">
        <v>16</v>
      </c>
      <c r="AH43" s="40">
        <v>348551</v>
      </c>
      <c r="AI43" s="40">
        <v>43</v>
      </c>
      <c r="AJ43" s="40">
        <v>324</v>
      </c>
      <c r="AK43" s="40">
        <v>0</v>
      </c>
      <c r="AL43" s="40">
        <v>0</v>
      </c>
      <c r="AM43" s="40">
        <v>0</v>
      </c>
      <c r="AN43" s="40">
        <v>672181</v>
      </c>
      <c r="AO43" s="40">
        <v>3249</v>
      </c>
      <c r="AP43" s="40">
        <v>10900</v>
      </c>
      <c r="AQ43" s="40">
        <v>0</v>
      </c>
      <c r="AR43" s="40">
        <v>355</v>
      </c>
      <c r="AS43" s="40">
        <v>4249</v>
      </c>
      <c r="AT43" s="40">
        <v>467892</v>
      </c>
      <c r="AU43" s="40">
        <v>379813</v>
      </c>
      <c r="AV43" s="40">
        <v>196981</v>
      </c>
      <c r="AW43" s="40">
        <v>1254406</v>
      </c>
      <c r="AX43" s="40">
        <v>749371</v>
      </c>
      <c r="AY43" s="40">
        <v>0</v>
      </c>
      <c r="AZ43" s="40">
        <v>0</v>
      </c>
      <c r="BA43" s="40">
        <v>179337</v>
      </c>
      <c r="BB43" s="40">
        <v>0</v>
      </c>
      <c r="BC43" s="40">
        <v>9556</v>
      </c>
      <c r="BD43" s="40">
        <v>918401</v>
      </c>
      <c r="BE43" s="40">
        <v>250023</v>
      </c>
      <c r="BF43" s="40">
        <v>178010</v>
      </c>
      <c r="BG43" s="40">
        <v>3432324</v>
      </c>
      <c r="BH43" s="40">
        <v>418158</v>
      </c>
      <c r="BI43" s="40">
        <v>71628</v>
      </c>
      <c r="BJ43" s="40">
        <v>644457</v>
      </c>
      <c r="BK43" s="40">
        <v>4966242</v>
      </c>
      <c r="BL43" s="40">
        <v>11434448</v>
      </c>
      <c r="BM43" s="40">
        <v>10092482</v>
      </c>
      <c r="BN43" s="40">
        <v>12311737</v>
      </c>
      <c r="BO43" s="40">
        <v>13664731</v>
      </c>
      <c r="BP43" s="40">
        <v>212238</v>
      </c>
      <c r="BQ43" s="40">
        <v>21138989</v>
      </c>
      <c r="BR43" s="40">
        <v>3209024</v>
      </c>
      <c r="BS43" s="40">
        <v>0</v>
      </c>
      <c r="BT43" s="40">
        <v>92259170</v>
      </c>
      <c r="BU43" s="40">
        <v>356702564</v>
      </c>
      <c r="BV43" s="40">
        <v>0</v>
      </c>
      <c r="BW43" s="40">
        <v>0</v>
      </c>
      <c r="BX43" s="40">
        <v>356702564</v>
      </c>
      <c r="BY43" s="40">
        <v>343461093</v>
      </c>
      <c r="BZ43" s="40">
        <v>523405</v>
      </c>
      <c r="CA43" s="40">
        <v>3130957</v>
      </c>
      <c r="CB43" s="40">
        <v>347115455</v>
      </c>
      <c r="CC43" s="40">
        <v>114441377</v>
      </c>
      <c r="CD43" s="40">
        <v>818259396</v>
      </c>
      <c r="CE43" s="40">
        <v>910518566</v>
      </c>
      <c r="CF43" s="41"/>
      <c r="CG43" s="41"/>
      <c r="CH43" s="42"/>
    </row>
    <row r="44" spans="1:86" ht="22.5">
      <c r="A44" s="38">
        <v>38</v>
      </c>
      <c r="B44" s="65" t="s">
        <v>55</v>
      </c>
      <c r="C44" s="39" t="s">
        <v>136</v>
      </c>
      <c r="D44" s="40">
        <v>2014753</v>
      </c>
      <c r="E44" s="40">
        <v>0</v>
      </c>
      <c r="F44" s="40">
        <v>0</v>
      </c>
      <c r="G44" s="40">
        <v>1001338</v>
      </c>
      <c r="H44" s="40">
        <v>469683987</v>
      </c>
      <c r="I44" s="40">
        <v>2450455</v>
      </c>
      <c r="J44" s="40">
        <v>3990</v>
      </c>
      <c r="K44" s="40">
        <v>4549432</v>
      </c>
      <c r="L44" s="40">
        <v>3604586</v>
      </c>
      <c r="M44" s="40">
        <v>1463047</v>
      </c>
      <c r="N44" s="40">
        <v>649698</v>
      </c>
      <c r="O44" s="40">
        <v>0</v>
      </c>
      <c r="P44" s="40">
        <v>19129</v>
      </c>
      <c r="Q44" s="40">
        <v>922</v>
      </c>
      <c r="R44" s="40">
        <v>205</v>
      </c>
      <c r="S44" s="40">
        <v>0</v>
      </c>
      <c r="T44" s="40">
        <v>533164</v>
      </c>
      <c r="U44" s="40">
        <v>12815</v>
      </c>
      <c r="V44" s="40">
        <v>0</v>
      </c>
      <c r="W44" s="40">
        <v>12307900</v>
      </c>
      <c r="X44" s="40">
        <v>244751</v>
      </c>
      <c r="Y44" s="40">
        <v>0</v>
      </c>
      <c r="Z44" s="40">
        <v>2585</v>
      </c>
      <c r="AA44" s="40">
        <v>7745534</v>
      </c>
      <c r="AB44" s="40">
        <v>317106</v>
      </c>
      <c r="AC44" s="40">
        <v>0</v>
      </c>
      <c r="AD44" s="40">
        <v>559</v>
      </c>
      <c r="AE44" s="40">
        <v>777217</v>
      </c>
      <c r="AF44" s="40">
        <v>0</v>
      </c>
      <c r="AG44" s="40">
        <v>43718</v>
      </c>
      <c r="AH44" s="40">
        <v>0</v>
      </c>
      <c r="AI44" s="40">
        <v>14224</v>
      </c>
      <c r="AJ44" s="40">
        <v>118735</v>
      </c>
      <c r="AK44" s="40">
        <v>0</v>
      </c>
      <c r="AL44" s="40">
        <v>0</v>
      </c>
      <c r="AM44" s="40">
        <v>0</v>
      </c>
      <c r="AN44" s="40">
        <v>2675</v>
      </c>
      <c r="AO44" s="40">
        <v>8536645</v>
      </c>
      <c r="AP44" s="40">
        <v>33707434</v>
      </c>
      <c r="AQ44" s="40">
        <v>1498369</v>
      </c>
      <c r="AR44" s="40">
        <v>24142752</v>
      </c>
      <c r="AS44" s="40">
        <v>216658</v>
      </c>
      <c r="AT44" s="40">
        <v>2067320</v>
      </c>
      <c r="AU44" s="40">
        <v>5242552</v>
      </c>
      <c r="AV44" s="40">
        <v>47648522</v>
      </c>
      <c r="AW44" s="40">
        <v>23903421</v>
      </c>
      <c r="AX44" s="40">
        <v>484820279</v>
      </c>
      <c r="AY44" s="40">
        <v>3860390</v>
      </c>
      <c r="AZ44" s="40">
        <v>1573934</v>
      </c>
      <c r="BA44" s="40">
        <v>7544542</v>
      </c>
      <c r="BB44" s="40">
        <v>0</v>
      </c>
      <c r="BC44" s="40">
        <v>834177</v>
      </c>
      <c r="BD44" s="40">
        <v>2021865</v>
      </c>
      <c r="BE44" s="40">
        <v>2898295</v>
      </c>
      <c r="BF44" s="40">
        <v>22132584</v>
      </c>
      <c r="BG44" s="40">
        <v>1286403</v>
      </c>
      <c r="BH44" s="40">
        <v>562966</v>
      </c>
      <c r="BI44" s="40">
        <v>2734592</v>
      </c>
      <c r="BJ44" s="40">
        <v>2857095</v>
      </c>
      <c r="BK44" s="40">
        <v>8257547</v>
      </c>
      <c r="BL44" s="40">
        <v>3638683</v>
      </c>
      <c r="BM44" s="40">
        <v>91739379</v>
      </c>
      <c r="BN44" s="40">
        <v>60713402</v>
      </c>
      <c r="BO44" s="40">
        <v>91670249</v>
      </c>
      <c r="BP44" s="40">
        <v>618379</v>
      </c>
      <c r="BQ44" s="40">
        <v>475924</v>
      </c>
      <c r="BR44" s="40">
        <v>2704773</v>
      </c>
      <c r="BS44" s="40">
        <v>0</v>
      </c>
      <c r="BT44" s="40">
        <v>1447471656</v>
      </c>
      <c r="BU44" s="40">
        <v>0</v>
      </c>
      <c r="BV44" s="40">
        <v>0</v>
      </c>
      <c r="BW44" s="40">
        <v>0</v>
      </c>
      <c r="BX44" s="40">
        <v>0</v>
      </c>
      <c r="BY44" s="40">
        <v>0</v>
      </c>
      <c r="BZ44" s="40">
        <v>0</v>
      </c>
      <c r="CA44" s="40">
        <v>0</v>
      </c>
      <c r="CB44" s="40">
        <v>0</v>
      </c>
      <c r="CC44" s="40">
        <v>30745329</v>
      </c>
      <c r="CD44" s="40">
        <v>30745329</v>
      </c>
      <c r="CE44" s="40">
        <v>1478216985</v>
      </c>
      <c r="CF44" s="41"/>
      <c r="CG44" s="41"/>
      <c r="CH44" s="42"/>
    </row>
    <row r="45" spans="1:86" ht="22.5">
      <c r="A45" s="38">
        <v>39</v>
      </c>
      <c r="B45" s="65" t="s">
        <v>54</v>
      </c>
      <c r="C45" s="39" t="s">
        <v>53</v>
      </c>
      <c r="D45" s="40">
        <v>11501532</v>
      </c>
      <c r="E45" s="40">
        <v>2481</v>
      </c>
      <c r="F45" s="40">
        <v>16703</v>
      </c>
      <c r="G45" s="40">
        <v>1430237</v>
      </c>
      <c r="H45" s="40">
        <v>60791513</v>
      </c>
      <c r="I45" s="40">
        <v>1571411</v>
      </c>
      <c r="J45" s="40">
        <v>17188</v>
      </c>
      <c r="K45" s="40">
        <v>4657179</v>
      </c>
      <c r="L45" s="40">
        <v>1827588</v>
      </c>
      <c r="M45" s="40">
        <v>267084</v>
      </c>
      <c r="N45" s="40">
        <v>8825946</v>
      </c>
      <c r="O45" s="40">
        <v>17179314</v>
      </c>
      <c r="P45" s="40">
        <v>136331</v>
      </c>
      <c r="Q45" s="40">
        <v>76397</v>
      </c>
      <c r="R45" s="40">
        <v>10613</v>
      </c>
      <c r="S45" s="40">
        <v>15957</v>
      </c>
      <c r="T45" s="40">
        <v>287835</v>
      </c>
      <c r="U45" s="40">
        <v>48458</v>
      </c>
      <c r="V45" s="40">
        <v>998150</v>
      </c>
      <c r="W45" s="40">
        <v>44072606</v>
      </c>
      <c r="X45" s="40">
        <v>635280</v>
      </c>
      <c r="Y45" s="40">
        <v>423050</v>
      </c>
      <c r="Z45" s="40">
        <v>327396</v>
      </c>
      <c r="AA45" s="40">
        <v>6004301</v>
      </c>
      <c r="AB45" s="40">
        <v>1429683</v>
      </c>
      <c r="AC45" s="40">
        <v>9042</v>
      </c>
      <c r="AD45" s="40">
        <v>8345</v>
      </c>
      <c r="AE45" s="40">
        <v>578828</v>
      </c>
      <c r="AF45" s="40">
        <v>72766</v>
      </c>
      <c r="AG45" s="40">
        <v>66830</v>
      </c>
      <c r="AH45" s="40">
        <v>200536</v>
      </c>
      <c r="AI45" s="40">
        <v>10165</v>
      </c>
      <c r="AJ45" s="40">
        <v>83383</v>
      </c>
      <c r="AK45" s="40">
        <v>234960</v>
      </c>
      <c r="AL45" s="40">
        <v>247847</v>
      </c>
      <c r="AM45" s="40">
        <v>217816</v>
      </c>
      <c r="AN45" s="40">
        <v>10612</v>
      </c>
      <c r="AO45" s="40">
        <v>334595</v>
      </c>
      <c r="AP45" s="40">
        <v>287405773</v>
      </c>
      <c r="AQ45" s="40">
        <v>18294</v>
      </c>
      <c r="AR45" s="40">
        <v>7580981</v>
      </c>
      <c r="AS45" s="40">
        <v>2888459</v>
      </c>
      <c r="AT45" s="40">
        <v>4793781</v>
      </c>
      <c r="AU45" s="40">
        <v>1797190</v>
      </c>
      <c r="AV45" s="40">
        <v>30919510</v>
      </c>
      <c r="AW45" s="40">
        <v>30783683</v>
      </c>
      <c r="AX45" s="40">
        <v>31398531</v>
      </c>
      <c r="AY45" s="40">
        <v>84397</v>
      </c>
      <c r="AZ45" s="40">
        <v>55863</v>
      </c>
      <c r="BA45" s="40">
        <v>24107624</v>
      </c>
      <c r="BB45" s="40">
        <v>1655</v>
      </c>
      <c r="BC45" s="40">
        <v>8284637</v>
      </c>
      <c r="BD45" s="40">
        <v>2952562</v>
      </c>
      <c r="BE45" s="40">
        <v>261374201</v>
      </c>
      <c r="BF45" s="40">
        <v>28169528</v>
      </c>
      <c r="BG45" s="40">
        <v>14291683</v>
      </c>
      <c r="BH45" s="40">
        <v>14178367</v>
      </c>
      <c r="BI45" s="40">
        <v>13833263</v>
      </c>
      <c r="BJ45" s="40">
        <v>33379175</v>
      </c>
      <c r="BK45" s="40">
        <v>9119482</v>
      </c>
      <c r="BL45" s="40">
        <v>105718992</v>
      </c>
      <c r="BM45" s="40">
        <v>158967829</v>
      </c>
      <c r="BN45" s="40">
        <v>294751502</v>
      </c>
      <c r="BO45" s="40">
        <v>74017125</v>
      </c>
      <c r="BP45" s="40">
        <v>1617200</v>
      </c>
      <c r="BQ45" s="40">
        <v>16729065</v>
      </c>
      <c r="BR45" s="40">
        <v>7328805</v>
      </c>
      <c r="BS45" s="40">
        <v>0</v>
      </c>
      <c r="BT45" s="40">
        <v>1631179115</v>
      </c>
      <c r="BU45" s="40">
        <v>1122660760</v>
      </c>
      <c r="BV45" s="40">
        <v>0</v>
      </c>
      <c r="BW45" s="40">
        <v>0</v>
      </c>
      <c r="BX45" s="40">
        <v>1122660760</v>
      </c>
      <c r="BY45" s="40">
        <v>0</v>
      </c>
      <c r="BZ45" s="40">
        <v>0</v>
      </c>
      <c r="CA45" s="40">
        <v>0</v>
      </c>
      <c r="CB45" s="40">
        <v>0</v>
      </c>
      <c r="CC45" s="40">
        <v>66448533</v>
      </c>
      <c r="CD45" s="40">
        <v>1189109293</v>
      </c>
      <c r="CE45" s="40">
        <v>2820288408</v>
      </c>
      <c r="CF45" s="41"/>
      <c r="CG45" s="41"/>
      <c r="CH45" s="42"/>
    </row>
    <row r="46" spans="1:86" ht="33.75">
      <c r="A46" s="38">
        <v>40</v>
      </c>
      <c r="B46" s="65" t="s">
        <v>52</v>
      </c>
      <c r="C46" s="39" t="s">
        <v>51</v>
      </c>
      <c r="D46" s="40">
        <v>112194</v>
      </c>
      <c r="E46" s="40">
        <v>0</v>
      </c>
      <c r="F46" s="40">
        <v>0</v>
      </c>
      <c r="G46" s="40">
        <v>0</v>
      </c>
      <c r="H46" s="40">
        <v>16615141</v>
      </c>
      <c r="I46" s="40">
        <v>0</v>
      </c>
      <c r="J46" s="40">
        <v>0</v>
      </c>
      <c r="K46" s="40">
        <v>0</v>
      </c>
      <c r="L46" s="40">
        <v>66</v>
      </c>
      <c r="M46" s="40">
        <v>119</v>
      </c>
      <c r="N46" s="40">
        <v>293946</v>
      </c>
      <c r="O46" s="40">
        <v>0</v>
      </c>
      <c r="P46" s="40">
        <v>598</v>
      </c>
      <c r="Q46" s="40">
        <v>0</v>
      </c>
      <c r="R46" s="40">
        <v>0</v>
      </c>
      <c r="S46" s="40">
        <v>0</v>
      </c>
      <c r="T46" s="40">
        <v>0</v>
      </c>
      <c r="U46" s="40">
        <v>1397</v>
      </c>
      <c r="V46" s="40">
        <v>0</v>
      </c>
      <c r="W46" s="40">
        <v>8861685</v>
      </c>
      <c r="X46" s="40">
        <v>46737</v>
      </c>
      <c r="Y46" s="40">
        <v>0</v>
      </c>
      <c r="Z46" s="40">
        <v>485</v>
      </c>
      <c r="AA46" s="40">
        <v>37411</v>
      </c>
      <c r="AB46" s="40">
        <v>0</v>
      </c>
      <c r="AC46" s="40">
        <v>0</v>
      </c>
      <c r="AD46" s="40">
        <v>354</v>
      </c>
      <c r="AE46" s="40">
        <v>0</v>
      </c>
      <c r="AF46" s="40">
        <v>0</v>
      </c>
      <c r="AG46" s="40">
        <v>0</v>
      </c>
      <c r="AH46" s="40">
        <v>0</v>
      </c>
      <c r="AI46" s="40">
        <v>29</v>
      </c>
      <c r="AJ46" s="40">
        <v>2070</v>
      </c>
      <c r="AK46" s="40">
        <v>0</v>
      </c>
      <c r="AL46" s="40">
        <v>16996</v>
      </c>
      <c r="AM46" s="40">
        <v>16201</v>
      </c>
      <c r="AN46" s="40">
        <v>0</v>
      </c>
      <c r="AO46" s="40">
        <v>2180</v>
      </c>
      <c r="AP46" s="40">
        <v>0</v>
      </c>
      <c r="AQ46" s="40">
        <v>0</v>
      </c>
      <c r="AR46" s="40">
        <v>934243</v>
      </c>
      <c r="AS46" s="40">
        <v>3375</v>
      </c>
      <c r="AT46" s="40">
        <v>73804</v>
      </c>
      <c r="AU46" s="40">
        <v>10639</v>
      </c>
      <c r="AV46" s="40">
        <v>6366206</v>
      </c>
      <c r="AW46" s="40">
        <v>6425941</v>
      </c>
      <c r="AX46" s="40">
        <v>1230</v>
      </c>
      <c r="AY46" s="40">
        <v>0</v>
      </c>
      <c r="AZ46" s="40">
        <v>0</v>
      </c>
      <c r="BA46" s="40">
        <v>0</v>
      </c>
      <c r="BB46" s="40">
        <v>132754</v>
      </c>
      <c r="BC46" s="40">
        <v>3344</v>
      </c>
      <c r="BD46" s="40">
        <v>0</v>
      </c>
      <c r="BE46" s="40">
        <v>84768</v>
      </c>
      <c r="BF46" s="40">
        <v>0</v>
      </c>
      <c r="BG46" s="40">
        <v>0</v>
      </c>
      <c r="BH46" s="40">
        <v>0</v>
      </c>
      <c r="BI46" s="40">
        <v>0</v>
      </c>
      <c r="BJ46" s="40">
        <v>112774</v>
      </c>
      <c r="BK46" s="40">
        <v>51280</v>
      </c>
      <c r="BL46" s="40">
        <v>8294</v>
      </c>
      <c r="BM46" s="40">
        <v>7649673</v>
      </c>
      <c r="BN46" s="40">
        <v>61250140</v>
      </c>
      <c r="BO46" s="40">
        <v>14280444</v>
      </c>
      <c r="BP46" s="40">
        <v>70503</v>
      </c>
      <c r="BQ46" s="40">
        <v>238343</v>
      </c>
      <c r="BR46" s="40">
        <v>12339981</v>
      </c>
      <c r="BS46" s="40">
        <v>0</v>
      </c>
      <c r="BT46" s="40">
        <v>136045345</v>
      </c>
      <c r="BU46" s="40">
        <v>206453818</v>
      </c>
      <c r="BV46" s="40">
        <v>0</v>
      </c>
      <c r="BW46" s="40">
        <v>0</v>
      </c>
      <c r="BX46" s="40">
        <v>206453818</v>
      </c>
      <c r="BY46" s="40">
        <v>0</v>
      </c>
      <c r="BZ46" s="40">
        <v>0</v>
      </c>
      <c r="CA46" s="40">
        <v>0</v>
      </c>
      <c r="CB46" s="40">
        <v>0</v>
      </c>
      <c r="CC46" s="40">
        <v>13235357</v>
      </c>
      <c r="CD46" s="40">
        <v>219689175</v>
      </c>
      <c r="CE46" s="40">
        <v>355734520</v>
      </c>
      <c r="CF46" s="41"/>
      <c r="CG46" s="41"/>
      <c r="CH46" s="42"/>
    </row>
    <row r="47" spans="1:86" ht="22.5">
      <c r="A47" s="38">
        <v>41</v>
      </c>
      <c r="B47" s="65" t="s">
        <v>50</v>
      </c>
      <c r="C47" s="39" t="s">
        <v>49</v>
      </c>
      <c r="D47" s="40">
        <v>1448875</v>
      </c>
      <c r="E47" s="40">
        <v>738</v>
      </c>
      <c r="F47" s="40">
        <v>0</v>
      </c>
      <c r="G47" s="40">
        <v>11449</v>
      </c>
      <c r="H47" s="40">
        <v>243654</v>
      </c>
      <c r="I47" s="40">
        <v>11569</v>
      </c>
      <c r="J47" s="40">
        <v>0</v>
      </c>
      <c r="K47" s="40">
        <v>168809</v>
      </c>
      <c r="L47" s="40">
        <v>1775</v>
      </c>
      <c r="M47" s="40">
        <v>0</v>
      </c>
      <c r="N47" s="40">
        <v>118760</v>
      </c>
      <c r="O47" s="40">
        <v>0</v>
      </c>
      <c r="P47" s="40">
        <v>0</v>
      </c>
      <c r="Q47" s="40">
        <v>2036</v>
      </c>
      <c r="R47" s="40">
        <v>0</v>
      </c>
      <c r="S47" s="40">
        <v>0</v>
      </c>
      <c r="T47" s="40">
        <v>10093</v>
      </c>
      <c r="U47" s="40">
        <v>2332</v>
      </c>
      <c r="V47" s="40">
        <v>0</v>
      </c>
      <c r="W47" s="40">
        <v>6972368</v>
      </c>
      <c r="X47" s="40">
        <v>69289</v>
      </c>
      <c r="Y47" s="40">
        <v>53570</v>
      </c>
      <c r="Z47" s="40">
        <v>133</v>
      </c>
      <c r="AA47" s="40">
        <v>36331</v>
      </c>
      <c r="AB47" s="40">
        <v>14102</v>
      </c>
      <c r="AC47" s="40">
        <v>0</v>
      </c>
      <c r="AD47" s="40">
        <v>0</v>
      </c>
      <c r="AE47" s="40">
        <v>36270</v>
      </c>
      <c r="AF47" s="40">
        <v>0</v>
      </c>
      <c r="AG47" s="40">
        <v>340</v>
      </c>
      <c r="AH47" s="40">
        <v>705</v>
      </c>
      <c r="AI47" s="40">
        <v>0</v>
      </c>
      <c r="AJ47" s="40">
        <v>11066</v>
      </c>
      <c r="AK47" s="40">
        <v>0</v>
      </c>
      <c r="AL47" s="40">
        <v>20056</v>
      </c>
      <c r="AM47" s="40">
        <v>32514</v>
      </c>
      <c r="AN47" s="40">
        <v>3681</v>
      </c>
      <c r="AO47" s="40">
        <v>15936</v>
      </c>
      <c r="AP47" s="40">
        <v>138399</v>
      </c>
      <c r="AQ47" s="40">
        <v>0</v>
      </c>
      <c r="AR47" s="40">
        <v>301449</v>
      </c>
      <c r="AS47" s="40">
        <v>513227</v>
      </c>
      <c r="AT47" s="40">
        <v>21272</v>
      </c>
      <c r="AU47" s="40">
        <v>82798</v>
      </c>
      <c r="AV47" s="40">
        <v>39572</v>
      </c>
      <c r="AW47" s="40">
        <v>880180</v>
      </c>
      <c r="AX47" s="40">
        <v>831482</v>
      </c>
      <c r="AY47" s="40">
        <v>0</v>
      </c>
      <c r="AZ47" s="40">
        <v>0</v>
      </c>
      <c r="BA47" s="40">
        <v>496372</v>
      </c>
      <c r="BB47" s="40">
        <v>0</v>
      </c>
      <c r="BC47" s="40">
        <v>188372</v>
      </c>
      <c r="BD47" s="40">
        <v>92069</v>
      </c>
      <c r="BE47" s="40">
        <v>55920</v>
      </c>
      <c r="BF47" s="40">
        <v>1975</v>
      </c>
      <c r="BG47" s="40">
        <v>2368920</v>
      </c>
      <c r="BH47" s="40">
        <v>244895</v>
      </c>
      <c r="BI47" s="40">
        <v>174346</v>
      </c>
      <c r="BJ47" s="40">
        <v>2308589</v>
      </c>
      <c r="BK47" s="40">
        <v>1409205</v>
      </c>
      <c r="BL47" s="40">
        <v>1544601</v>
      </c>
      <c r="BM47" s="40">
        <v>59123722</v>
      </c>
      <c r="BN47" s="40">
        <v>135080803</v>
      </c>
      <c r="BO47" s="40">
        <v>49849107</v>
      </c>
      <c r="BP47" s="40">
        <v>633899</v>
      </c>
      <c r="BQ47" s="40">
        <v>974569</v>
      </c>
      <c r="BR47" s="40">
        <v>21777093</v>
      </c>
      <c r="BS47" s="40">
        <v>0</v>
      </c>
      <c r="BT47" s="40">
        <v>288419287</v>
      </c>
      <c r="BU47" s="40">
        <v>379327059</v>
      </c>
      <c r="BV47" s="40">
        <v>0</v>
      </c>
      <c r="BW47" s="40">
        <v>0</v>
      </c>
      <c r="BX47" s="40">
        <v>379327059</v>
      </c>
      <c r="BY47" s="40">
        <v>0</v>
      </c>
      <c r="BZ47" s="40">
        <v>0</v>
      </c>
      <c r="CA47" s="40">
        <v>0</v>
      </c>
      <c r="CB47" s="40">
        <v>0</v>
      </c>
      <c r="CC47" s="40">
        <v>22538226</v>
      </c>
      <c r="CD47" s="40">
        <v>401865285</v>
      </c>
      <c r="CE47" s="40">
        <v>690284572</v>
      </c>
      <c r="CF47" s="41"/>
      <c r="CG47" s="41"/>
      <c r="CH47" s="42"/>
    </row>
    <row r="48" spans="1:86" ht="33.75">
      <c r="A48" s="38">
        <v>42</v>
      </c>
      <c r="B48" s="65" t="s">
        <v>94</v>
      </c>
      <c r="C48" s="39" t="s">
        <v>162</v>
      </c>
      <c r="D48" s="40">
        <v>1531550</v>
      </c>
      <c r="E48" s="40">
        <v>1550</v>
      </c>
      <c r="F48" s="40">
        <v>0</v>
      </c>
      <c r="G48" s="40">
        <v>28292</v>
      </c>
      <c r="H48" s="40">
        <v>25761888</v>
      </c>
      <c r="I48" s="40">
        <v>1224473</v>
      </c>
      <c r="J48" s="40">
        <v>11613</v>
      </c>
      <c r="K48" s="40">
        <v>1117109</v>
      </c>
      <c r="L48" s="40">
        <v>37182</v>
      </c>
      <c r="M48" s="40">
        <v>7917598</v>
      </c>
      <c r="N48" s="40">
        <v>890842</v>
      </c>
      <c r="O48" s="40">
        <v>7357</v>
      </c>
      <c r="P48" s="40">
        <v>9</v>
      </c>
      <c r="Q48" s="40">
        <v>1972</v>
      </c>
      <c r="R48" s="40">
        <v>1664</v>
      </c>
      <c r="S48" s="40">
        <v>430</v>
      </c>
      <c r="T48" s="40">
        <v>1965</v>
      </c>
      <c r="U48" s="40">
        <v>79</v>
      </c>
      <c r="V48" s="40">
        <v>740</v>
      </c>
      <c r="W48" s="40">
        <v>285545</v>
      </c>
      <c r="X48" s="40">
        <v>276549</v>
      </c>
      <c r="Y48" s="40">
        <v>359151</v>
      </c>
      <c r="Z48" s="40">
        <v>55367</v>
      </c>
      <c r="AA48" s="40">
        <v>3205513</v>
      </c>
      <c r="AB48" s="40">
        <v>106236586</v>
      </c>
      <c r="AC48" s="40">
        <v>106</v>
      </c>
      <c r="AD48" s="40">
        <v>12459459</v>
      </c>
      <c r="AE48" s="40">
        <v>47298</v>
      </c>
      <c r="AF48" s="40">
        <v>654</v>
      </c>
      <c r="AG48" s="40">
        <v>2754098</v>
      </c>
      <c r="AH48" s="40">
        <v>4123</v>
      </c>
      <c r="AI48" s="40">
        <v>1244</v>
      </c>
      <c r="AJ48" s="40">
        <v>6679</v>
      </c>
      <c r="AK48" s="40">
        <v>4886</v>
      </c>
      <c r="AL48" s="40">
        <v>4314</v>
      </c>
      <c r="AM48" s="40">
        <v>876</v>
      </c>
      <c r="AN48" s="40">
        <v>2321</v>
      </c>
      <c r="AO48" s="40">
        <v>967036</v>
      </c>
      <c r="AP48" s="40">
        <v>22999735</v>
      </c>
      <c r="AQ48" s="40">
        <v>3453</v>
      </c>
      <c r="AR48" s="40">
        <v>4888012</v>
      </c>
      <c r="AS48" s="40">
        <v>22226586</v>
      </c>
      <c r="AT48" s="40">
        <v>11691822</v>
      </c>
      <c r="AU48" s="40">
        <v>40170338</v>
      </c>
      <c r="AV48" s="40">
        <v>903774</v>
      </c>
      <c r="AW48" s="40">
        <v>2186421</v>
      </c>
      <c r="AX48" s="40">
        <v>12257680</v>
      </c>
      <c r="AY48" s="40">
        <v>556</v>
      </c>
      <c r="AZ48" s="40">
        <v>42893</v>
      </c>
      <c r="BA48" s="40">
        <v>4891207</v>
      </c>
      <c r="BB48" s="40">
        <v>17166</v>
      </c>
      <c r="BC48" s="40">
        <v>1711304</v>
      </c>
      <c r="BD48" s="40">
        <v>679469</v>
      </c>
      <c r="BE48" s="40">
        <v>386362</v>
      </c>
      <c r="BF48" s="40">
        <v>313780</v>
      </c>
      <c r="BG48" s="40">
        <v>629284</v>
      </c>
      <c r="BH48" s="40">
        <v>326426</v>
      </c>
      <c r="BI48" s="40">
        <v>328725</v>
      </c>
      <c r="BJ48" s="40">
        <v>5182327</v>
      </c>
      <c r="BK48" s="40">
        <v>3997804</v>
      </c>
      <c r="BL48" s="40">
        <v>11662760</v>
      </c>
      <c r="BM48" s="40">
        <v>49155946</v>
      </c>
      <c r="BN48" s="40">
        <v>32124985</v>
      </c>
      <c r="BO48" s="40">
        <v>61510112</v>
      </c>
      <c r="BP48" s="40">
        <v>324629</v>
      </c>
      <c r="BQ48" s="40">
        <v>1519723</v>
      </c>
      <c r="BR48" s="40">
        <v>2777182</v>
      </c>
      <c r="BS48" s="40">
        <v>0</v>
      </c>
      <c r="BT48" s="40">
        <v>460118579</v>
      </c>
      <c r="BU48" s="40">
        <v>239288384</v>
      </c>
      <c r="BV48" s="40">
        <v>0</v>
      </c>
      <c r="BW48" s="40">
        <v>0</v>
      </c>
      <c r="BX48" s="40">
        <v>239288384</v>
      </c>
      <c r="BY48" s="40">
        <v>0</v>
      </c>
      <c r="BZ48" s="40">
        <v>6730974</v>
      </c>
      <c r="CA48" s="40">
        <v>0</v>
      </c>
      <c r="CB48" s="40">
        <v>6730974</v>
      </c>
      <c r="CC48" s="40">
        <v>44984658</v>
      </c>
      <c r="CD48" s="40">
        <v>291004016</v>
      </c>
      <c r="CE48" s="40">
        <v>751122595</v>
      </c>
      <c r="CF48" s="41"/>
      <c r="CG48" s="41"/>
      <c r="CH48" s="42"/>
    </row>
    <row r="49" spans="1:86">
      <c r="A49" s="38">
        <v>43</v>
      </c>
      <c r="B49" s="65" t="s">
        <v>48</v>
      </c>
      <c r="C49" s="39" t="s">
        <v>47</v>
      </c>
      <c r="D49" s="40">
        <v>15386498</v>
      </c>
      <c r="E49" s="40">
        <v>607</v>
      </c>
      <c r="F49" s="40">
        <v>5464463</v>
      </c>
      <c r="G49" s="40">
        <v>39843804</v>
      </c>
      <c r="H49" s="40">
        <v>126508440</v>
      </c>
      <c r="I49" s="40">
        <v>5765358</v>
      </c>
      <c r="J49" s="40">
        <v>231012</v>
      </c>
      <c r="K49" s="40">
        <v>267302</v>
      </c>
      <c r="L49" s="40">
        <v>505702</v>
      </c>
      <c r="M49" s="40">
        <v>796402</v>
      </c>
      <c r="N49" s="40">
        <v>488444</v>
      </c>
      <c r="O49" s="40">
        <v>0</v>
      </c>
      <c r="P49" s="40">
        <v>0</v>
      </c>
      <c r="Q49" s="40">
        <v>4229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156881</v>
      </c>
      <c r="X49" s="40">
        <v>900862</v>
      </c>
      <c r="Y49" s="40">
        <v>0</v>
      </c>
      <c r="Z49" s="40">
        <v>1221</v>
      </c>
      <c r="AA49" s="40">
        <v>21173949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1659439</v>
      </c>
      <c r="AH49" s="40">
        <v>71245</v>
      </c>
      <c r="AI49" s="40">
        <v>67279</v>
      </c>
      <c r="AJ49" s="40">
        <v>428</v>
      </c>
      <c r="AK49" s="40">
        <v>0</v>
      </c>
      <c r="AL49" s="40">
        <v>0</v>
      </c>
      <c r="AM49" s="40">
        <v>0</v>
      </c>
      <c r="AN49" s="40">
        <v>0</v>
      </c>
      <c r="AO49" s="40">
        <v>4393468</v>
      </c>
      <c r="AP49" s="40">
        <v>121544390</v>
      </c>
      <c r="AQ49" s="40">
        <v>0</v>
      </c>
      <c r="AR49" s="40">
        <v>94410730</v>
      </c>
      <c r="AS49" s="40">
        <v>78212806</v>
      </c>
      <c r="AT49" s="40">
        <v>731391050</v>
      </c>
      <c r="AU49" s="40">
        <v>0</v>
      </c>
      <c r="AV49" s="40">
        <v>27284000</v>
      </c>
      <c r="AW49" s="40">
        <v>65839177</v>
      </c>
      <c r="AX49" s="40">
        <v>13954197</v>
      </c>
      <c r="AY49" s="40">
        <v>6811805</v>
      </c>
      <c r="AZ49" s="40">
        <v>65070</v>
      </c>
      <c r="BA49" s="40">
        <v>50852367</v>
      </c>
      <c r="BB49" s="40">
        <v>0</v>
      </c>
      <c r="BC49" s="40">
        <v>19398481</v>
      </c>
      <c r="BD49" s="40">
        <v>108300</v>
      </c>
      <c r="BE49" s="40">
        <v>1326295</v>
      </c>
      <c r="BF49" s="40">
        <v>0</v>
      </c>
      <c r="BG49" s="40">
        <v>6252123</v>
      </c>
      <c r="BH49" s="40">
        <v>0</v>
      </c>
      <c r="BI49" s="40">
        <v>0</v>
      </c>
      <c r="BJ49" s="40">
        <v>475103276</v>
      </c>
      <c r="BK49" s="40">
        <v>62153405</v>
      </c>
      <c r="BL49" s="40">
        <v>142076904</v>
      </c>
      <c r="BM49" s="40">
        <v>182864135</v>
      </c>
      <c r="BN49" s="40">
        <v>444518920</v>
      </c>
      <c r="BO49" s="40">
        <v>243002610</v>
      </c>
      <c r="BP49" s="40">
        <v>16021294</v>
      </c>
      <c r="BQ49" s="40">
        <v>16971146</v>
      </c>
      <c r="BR49" s="40">
        <v>0</v>
      </c>
      <c r="BS49" s="40">
        <v>0</v>
      </c>
      <c r="BT49" s="40">
        <v>3023849514</v>
      </c>
      <c r="BU49" s="40">
        <v>70325459</v>
      </c>
      <c r="BV49" s="40">
        <v>0</v>
      </c>
      <c r="BW49" s="40">
        <v>0</v>
      </c>
      <c r="BX49" s="40">
        <v>70325459</v>
      </c>
      <c r="BY49" s="40">
        <v>11432116391</v>
      </c>
      <c r="BZ49" s="40">
        <v>402773</v>
      </c>
      <c r="CA49" s="40">
        <v>0</v>
      </c>
      <c r="CB49" s="40">
        <v>11432519164</v>
      </c>
      <c r="CC49" s="40">
        <v>65238124</v>
      </c>
      <c r="CD49" s="40">
        <v>11568082747</v>
      </c>
      <c r="CE49" s="40">
        <v>14591932261</v>
      </c>
      <c r="CF49" s="41"/>
      <c r="CG49" s="41"/>
      <c r="CH49" s="42"/>
    </row>
    <row r="50" spans="1:86" ht="33.75">
      <c r="A50" s="38">
        <v>44</v>
      </c>
      <c r="B50" s="65" t="s">
        <v>46</v>
      </c>
      <c r="C50" s="39" t="s">
        <v>137</v>
      </c>
      <c r="D50" s="40">
        <v>26260355</v>
      </c>
      <c r="E50" s="40">
        <v>260</v>
      </c>
      <c r="F50" s="40">
        <v>5634</v>
      </c>
      <c r="G50" s="40">
        <v>2890289</v>
      </c>
      <c r="H50" s="40">
        <v>6337448</v>
      </c>
      <c r="I50" s="40">
        <v>33041</v>
      </c>
      <c r="J50" s="40">
        <v>1271465</v>
      </c>
      <c r="K50" s="40">
        <v>755661</v>
      </c>
      <c r="L50" s="40">
        <v>84705</v>
      </c>
      <c r="M50" s="40">
        <v>96841</v>
      </c>
      <c r="N50" s="40">
        <v>908675</v>
      </c>
      <c r="O50" s="40">
        <v>0</v>
      </c>
      <c r="P50" s="40">
        <v>792</v>
      </c>
      <c r="Q50" s="40">
        <v>601</v>
      </c>
      <c r="R50" s="40">
        <v>0</v>
      </c>
      <c r="S50" s="40">
        <v>2060</v>
      </c>
      <c r="T50" s="40">
        <v>1157</v>
      </c>
      <c r="U50" s="40">
        <v>3275</v>
      </c>
      <c r="V50" s="40">
        <v>56719</v>
      </c>
      <c r="W50" s="40">
        <v>8743</v>
      </c>
      <c r="X50" s="40">
        <v>3830</v>
      </c>
      <c r="Y50" s="40">
        <v>0</v>
      </c>
      <c r="Z50" s="40">
        <v>1394</v>
      </c>
      <c r="AA50" s="40">
        <v>37351</v>
      </c>
      <c r="AB50" s="40">
        <v>23734</v>
      </c>
      <c r="AC50" s="40">
        <v>4248</v>
      </c>
      <c r="AD50" s="40">
        <v>0</v>
      </c>
      <c r="AE50" s="40">
        <v>634</v>
      </c>
      <c r="AF50" s="40">
        <v>213</v>
      </c>
      <c r="AG50" s="40">
        <v>18</v>
      </c>
      <c r="AH50" s="40">
        <v>0</v>
      </c>
      <c r="AI50" s="40">
        <v>76</v>
      </c>
      <c r="AJ50" s="40">
        <v>4351224</v>
      </c>
      <c r="AK50" s="40">
        <v>86014784</v>
      </c>
      <c r="AL50" s="40">
        <v>16039777</v>
      </c>
      <c r="AM50" s="40">
        <v>18755</v>
      </c>
      <c r="AN50" s="40">
        <v>1676</v>
      </c>
      <c r="AO50" s="40">
        <v>4069102</v>
      </c>
      <c r="AP50" s="40">
        <v>314021</v>
      </c>
      <c r="AQ50" s="40">
        <v>3289</v>
      </c>
      <c r="AR50" s="40">
        <v>44437</v>
      </c>
      <c r="AS50" s="40">
        <v>6615328</v>
      </c>
      <c r="AT50" s="40">
        <v>3236536</v>
      </c>
      <c r="AU50" s="40">
        <v>271253444</v>
      </c>
      <c r="AV50" s="40">
        <v>14363719</v>
      </c>
      <c r="AW50" s="40">
        <v>3342548</v>
      </c>
      <c r="AX50" s="40">
        <v>96750124</v>
      </c>
      <c r="AY50" s="40">
        <v>0</v>
      </c>
      <c r="AZ50" s="40">
        <v>17697523</v>
      </c>
      <c r="BA50" s="40">
        <v>9683499</v>
      </c>
      <c r="BB50" s="40">
        <v>98063</v>
      </c>
      <c r="BC50" s="40">
        <v>10636</v>
      </c>
      <c r="BD50" s="40">
        <v>1714020</v>
      </c>
      <c r="BE50" s="40">
        <v>58123</v>
      </c>
      <c r="BF50" s="40">
        <v>0</v>
      </c>
      <c r="BG50" s="40">
        <v>1627885</v>
      </c>
      <c r="BH50" s="40">
        <v>91745</v>
      </c>
      <c r="BI50" s="40">
        <v>192702</v>
      </c>
      <c r="BJ50" s="40">
        <v>1096151</v>
      </c>
      <c r="BK50" s="40">
        <v>1751415</v>
      </c>
      <c r="BL50" s="40">
        <v>57188079</v>
      </c>
      <c r="BM50" s="40">
        <v>14082699</v>
      </c>
      <c r="BN50" s="40">
        <v>6092264</v>
      </c>
      <c r="BO50" s="40">
        <v>7525111</v>
      </c>
      <c r="BP50" s="40">
        <v>205470</v>
      </c>
      <c r="BQ50" s="40">
        <v>1238362</v>
      </c>
      <c r="BR50" s="40">
        <v>7294917</v>
      </c>
      <c r="BS50" s="40">
        <v>0</v>
      </c>
      <c r="BT50" s="40">
        <v>672856647</v>
      </c>
      <c r="BU50" s="40">
        <v>1253563568</v>
      </c>
      <c r="BV50" s="40">
        <v>0</v>
      </c>
      <c r="BW50" s="40">
        <v>0</v>
      </c>
      <c r="BX50" s="40">
        <v>1253563568</v>
      </c>
      <c r="BY50" s="40">
        <v>1440149337</v>
      </c>
      <c r="BZ50" s="40">
        <v>0</v>
      </c>
      <c r="CA50" s="40">
        <v>0</v>
      </c>
      <c r="CB50" s="40">
        <v>1440149337</v>
      </c>
      <c r="CC50" s="40">
        <v>222844750</v>
      </c>
      <c r="CD50" s="40">
        <v>2916557655</v>
      </c>
      <c r="CE50" s="40">
        <v>3589414302</v>
      </c>
      <c r="CF50" s="41"/>
      <c r="CG50" s="41"/>
      <c r="CH50" s="42"/>
    </row>
    <row r="51" spans="1:86" ht="22.5">
      <c r="A51" s="38">
        <v>45</v>
      </c>
      <c r="B51" s="65" t="s">
        <v>45</v>
      </c>
      <c r="C51" s="39" t="s">
        <v>44</v>
      </c>
      <c r="D51" s="40">
        <v>816607509</v>
      </c>
      <c r="E51" s="40">
        <v>0</v>
      </c>
      <c r="F51" s="40">
        <v>3328141</v>
      </c>
      <c r="G51" s="40">
        <v>39602426</v>
      </c>
      <c r="H51" s="40">
        <v>397578482</v>
      </c>
      <c r="I51" s="40">
        <v>4722177</v>
      </c>
      <c r="J51" s="40">
        <v>99964911</v>
      </c>
      <c r="K51" s="40">
        <v>991729065</v>
      </c>
      <c r="L51" s="40">
        <v>25807375</v>
      </c>
      <c r="M51" s="40">
        <v>158017267</v>
      </c>
      <c r="N51" s="40">
        <v>646010900</v>
      </c>
      <c r="O51" s="40">
        <v>20477535</v>
      </c>
      <c r="P51" s="40">
        <v>10090391</v>
      </c>
      <c r="Q51" s="40">
        <v>7359151</v>
      </c>
      <c r="R51" s="40">
        <v>771550</v>
      </c>
      <c r="S51" s="40">
        <v>7951631</v>
      </c>
      <c r="T51" s="40">
        <v>22315285</v>
      </c>
      <c r="U51" s="40">
        <v>13191536</v>
      </c>
      <c r="V51" s="40">
        <v>26505080</v>
      </c>
      <c r="W51" s="40">
        <v>91352987</v>
      </c>
      <c r="X51" s="40">
        <v>57016648</v>
      </c>
      <c r="Y51" s="40">
        <v>37379546</v>
      </c>
      <c r="Z51" s="40">
        <v>36763302</v>
      </c>
      <c r="AA51" s="40">
        <v>217677332</v>
      </c>
      <c r="AB51" s="40">
        <v>651829372</v>
      </c>
      <c r="AC51" s="40">
        <v>45821011</v>
      </c>
      <c r="AD51" s="40">
        <v>7123575</v>
      </c>
      <c r="AE51" s="40">
        <v>384709767</v>
      </c>
      <c r="AF51" s="40">
        <v>12645943</v>
      </c>
      <c r="AG51" s="40">
        <v>131228527</v>
      </c>
      <c r="AH51" s="40">
        <v>21789646</v>
      </c>
      <c r="AI51" s="40">
        <v>117337730</v>
      </c>
      <c r="AJ51" s="40">
        <v>106507356</v>
      </c>
      <c r="AK51" s="40">
        <v>152834906</v>
      </c>
      <c r="AL51" s="40">
        <v>101513430</v>
      </c>
      <c r="AM51" s="40">
        <v>32041727</v>
      </c>
      <c r="AN51" s="40">
        <v>17760016</v>
      </c>
      <c r="AO51" s="40">
        <v>224263474</v>
      </c>
      <c r="AP51" s="40">
        <v>272911628</v>
      </c>
      <c r="AQ51" s="40">
        <v>3600664</v>
      </c>
      <c r="AR51" s="40">
        <v>51024474</v>
      </c>
      <c r="AS51" s="40">
        <v>76660092</v>
      </c>
      <c r="AT51" s="40">
        <v>2536651856</v>
      </c>
      <c r="AU51" s="40">
        <v>50064969</v>
      </c>
      <c r="AV51" s="40">
        <v>89830997</v>
      </c>
      <c r="AW51" s="40">
        <v>52206985</v>
      </c>
      <c r="AX51" s="40">
        <v>171877754</v>
      </c>
      <c r="AY51" s="40">
        <v>1181707</v>
      </c>
      <c r="AZ51" s="40">
        <v>40816589</v>
      </c>
      <c r="BA51" s="40">
        <v>88586553</v>
      </c>
      <c r="BB51" s="40">
        <v>624877</v>
      </c>
      <c r="BC51" s="40">
        <v>38708795</v>
      </c>
      <c r="BD51" s="40">
        <v>304745542</v>
      </c>
      <c r="BE51" s="40">
        <v>29098581</v>
      </c>
      <c r="BF51" s="40">
        <v>54033023</v>
      </c>
      <c r="BG51" s="40">
        <v>38334914</v>
      </c>
      <c r="BH51" s="40">
        <v>5953125</v>
      </c>
      <c r="BI51" s="40">
        <v>2840427</v>
      </c>
      <c r="BJ51" s="40">
        <v>90096403</v>
      </c>
      <c r="BK51" s="40">
        <v>289449025</v>
      </c>
      <c r="BL51" s="40">
        <v>62989353</v>
      </c>
      <c r="BM51" s="40">
        <v>12541637</v>
      </c>
      <c r="BN51" s="40">
        <v>206583801</v>
      </c>
      <c r="BO51" s="40">
        <v>772422094</v>
      </c>
      <c r="BP51" s="40">
        <v>6891428</v>
      </c>
      <c r="BQ51" s="40">
        <v>85661740</v>
      </c>
      <c r="BR51" s="40">
        <v>27011201</v>
      </c>
      <c r="BS51" s="40">
        <v>0</v>
      </c>
      <c r="BT51" s="40">
        <v>11203026941</v>
      </c>
      <c r="BU51" s="40">
        <v>4396465407</v>
      </c>
      <c r="BV51" s="40">
        <v>0</v>
      </c>
      <c r="BW51" s="40">
        <v>0</v>
      </c>
      <c r="BX51" s="40">
        <v>4396465407</v>
      </c>
      <c r="BY51" s="40">
        <v>2108489173</v>
      </c>
      <c r="BZ51" s="40">
        <v>0</v>
      </c>
      <c r="CA51" s="40">
        <v>0</v>
      </c>
      <c r="CB51" s="40">
        <v>2108489173</v>
      </c>
      <c r="CC51" s="40">
        <v>4621333294</v>
      </c>
      <c r="CD51" s="40">
        <v>11126287874</v>
      </c>
      <c r="CE51" s="40">
        <v>22329314815</v>
      </c>
      <c r="CF51" s="41"/>
      <c r="CG51" s="41"/>
      <c r="CH51" s="42"/>
    </row>
    <row r="52" spans="1:86" ht="33.75">
      <c r="A52" s="38">
        <v>46</v>
      </c>
      <c r="B52" s="65" t="s">
        <v>43</v>
      </c>
      <c r="C52" s="39" t="s">
        <v>42</v>
      </c>
      <c r="D52" s="40">
        <v>88253647</v>
      </c>
      <c r="E52" s="40">
        <v>79018</v>
      </c>
      <c r="F52" s="40">
        <v>67163</v>
      </c>
      <c r="G52" s="40">
        <v>14544847</v>
      </c>
      <c r="H52" s="40">
        <v>22386253</v>
      </c>
      <c r="I52" s="40">
        <v>1029852</v>
      </c>
      <c r="J52" s="40">
        <v>1971231</v>
      </c>
      <c r="K52" s="40">
        <v>5296173</v>
      </c>
      <c r="L52" s="40">
        <v>3774704</v>
      </c>
      <c r="M52" s="40">
        <v>2278959</v>
      </c>
      <c r="N52" s="40">
        <v>6748030</v>
      </c>
      <c r="O52" s="40">
        <v>0</v>
      </c>
      <c r="P52" s="40">
        <v>17481</v>
      </c>
      <c r="Q52" s="40">
        <v>8835</v>
      </c>
      <c r="R52" s="40">
        <v>1617</v>
      </c>
      <c r="S52" s="40">
        <v>49002</v>
      </c>
      <c r="T52" s="40">
        <v>271005</v>
      </c>
      <c r="U52" s="40">
        <v>0</v>
      </c>
      <c r="V52" s="40">
        <v>1212930</v>
      </c>
      <c r="W52" s="40">
        <v>9742281</v>
      </c>
      <c r="X52" s="40">
        <v>286251</v>
      </c>
      <c r="Y52" s="40">
        <v>11467</v>
      </c>
      <c r="Z52" s="40">
        <v>45924</v>
      </c>
      <c r="AA52" s="40">
        <v>2241445</v>
      </c>
      <c r="AB52" s="40">
        <v>1072215</v>
      </c>
      <c r="AC52" s="40">
        <v>317619</v>
      </c>
      <c r="AD52" s="40">
        <v>7151784</v>
      </c>
      <c r="AE52" s="40">
        <v>1616869</v>
      </c>
      <c r="AF52" s="40">
        <v>789</v>
      </c>
      <c r="AG52" s="40">
        <v>415457</v>
      </c>
      <c r="AH52" s="40">
        <v>350875</v>
      </c>
      <c r="AI52" s="40">
        <v>43839</v>
      </c>
      <c r="AJ52" s="40">
        <v>4757333</v>
      </c>
      <c r="AK52" s="40">
        <v>159271</v>
      </c>
      <c r="AL52" s="40">
        <v>178672</v>
      </c>
      <c r="AM52" s="40">
        <v>7947</v>
      </c>
      <c r="AN52" s="40">
        <v>9120</v>
      </c>
      <c r="AO52" s="40">
        <v>1183914</v>
      </c>
      <c r="AP52" s="40">
        <v>10684278</v>
      </c>
      <c r="AQ52" s="40">
        <v>5629814</v>
      </c>
      <c r="AR52" s="40">
        <v>4406595</v>
      </c>
      <c r="AS52" s="40">
        <v>3395015</v>
      </c>
      <c r="AT52" s="40">
        <v>35310913</v>
      </c>
      <c r="AU52" s="40">
        <v>3458138</v>
      </c>
      <c r="AV52" s="40">
        <v>109090206</v>
      </c>
      <c r="AW52" s="40">
        <v>50548171</v>
      </c>
      <c r="AX52" s="40">
        <v>154324962</v>
      </c>
      <c r="AY52" s="40">
        <v>619925</v>
      </c>
      <c r="AZ52" s="40">
        <v>34159720</v>
      </c>
      <c r="BA52" s="40">
        <v>36505034</v>
      </c>
      <c r="BB52" s="40">
        <v>1304135</v>
      </c>
      <c r="BC52" s="40">
        <v>1943735</v>
      </c>
      <c r="BD52" s="40">
        <v>1076527</v>
      </c>
      <c r="BE52" s="40">
        <v>4140280</v>
      </c>
      <c r="BF52" s="40">
        <v>8320757</v>
      </c>
      <c r="BG52" s="40">
        <v>1238522</v>
      </c>
      <c r="BH52" s="40">
        <v>560156</v>
      </c>
      <c r="BI52" s="40">
        <v>209831</v>
      </c>
      <c r="BJ52" s="40">
        <v>4303557</v>
      </c>
      <c r="BK52" s="40">
        <v>15880939</v>
      </c>
      <c r="BL52" s="40">
        <v>24258245</v>
      </c>
      <c r="BM52" s="40">
        <v>114010880</v>
      </c>
      <c r="BN52" s="40">
        <v>27364274</v>
      </c>
      <c r="BO52" s="40">
        <v>44059824</v>
      </c>
      <c r="BP52" s="40">
        <v>1052402</v>
      </c>
      <c r="BQ52" s="40">
        <v>5338643</v>
      </c>
      <c r="BR52" s="40">
        <v>6285328</v>
      </c>
      <c r="BS52" s="40">
        <v>0</v>
      </c>
      <c r="BT52" s="40">
        <v>887064625</v>
      </c>
      <c r="BU52" s="40">
        <v>7473937725</v>
      </c>
      <c r="BV52" s="40">
        <v>0</v>
      </c>
      <c r="BW52" s="40">
        <v>0</v>
      </c>
      <c r="BX52" s="40">
        <v>7473937725</v>
      </c>
      <c r="BY52" s="40">
        <v>939292851</v>
      </c>
      <c r="BZ52" s="40">
        <v>0</v>
      </c>
      <c r="CA52" s="40">
        <v>0</v>
      </c>
      <c r="CB52" s="40">
        <v>939292851</v>
      </c>
      <c r="CC52" s="40">
        <v>467987046</v>
      </c>
      <c r="CD52" s="40">
        <v>8881217622</v>
      </c>
      <c r="CE52" s="40">
        <v>9768282247</v>
      </c>
      <c r="CF52" s="41"/>
      <c r="CG52" s="41"/>
      <c r="CH52" s="42"/>
    </row>
    <row r="53" spans="1:86" ht="22.5">
      <c r="A53" s="38">
        <v>47</v>
      </c>
      <c r="B53" s="65" t="s">
        <v>41</v>
      </c>
      <c r="C53" s="39" t="s">
        <v>40</v>
      </c>
      <c r="D53" s="40">
        <v>142539491</v>
      </c>
      <c r="E53" s="40">
        <v>15969</v>
      </c>
      <c r="F53" s="40">
        <v>225407</v>
      </c>
      <c r="G53" s="40">
        <v>12320331</v>
      </c>
      <c r="H53" s="40">
        <v>935197045</v>
      </c>
      <c r="I53" s="40">
        <v>14762587</v>
      </c>
      <c r="J53" s="40">
        <v>11315996</v>
      </c>
      <c r="K53" s="40">
        <v>116616230</v>
      </c>
      <c r="L53" s="40">
        <v>9904654</v>
      </c>
      <c r="M53" s="40">
        <v>12699405</v>
      </c>
      <c r="N53" s="40">
        <v>58958261</v>
      </c>
      <c r="O53" s="40">
        <v>1382845</v>
      </c>
      <c r="P53" s="40">
        <v>1819009</v>
      </c>
      <c r="Q53" s="40">
        <v>563118</v>
      </c>
      <c r="R53" s="40">
        <v>157209</v>
      </c>
      <c r="S53" s="40">
        <v>355465</v>
      </c>
      <c r="T53" s="40">
        <v>1806847</v>
      </c>
      <c r="U53" s="40">
        <v>552326</v>
      </c>
      <c r="V53" s="40">
        <v>4253902</v>
      </c>
      <c r="W53" s="40">
        <v>87340747</v>
      </c>
      <c r="X53" s="40">
        <v>39479051</v>
      </c>
      <c r="Y53" s="40">
        <v>2170476</v>
      </c>
      <c r="Z53" s="40">
        <v>6122234</v>
      </c>
      <c r="AA53" s="40">
        <v>29371515</v>
      </c>
      <c r="AB53" s="40">
        <v>102425803</v>
      </c>
      <c r="AC53" s="40">
        <v>4121373</v>
      </c>
      <c r="AD53" s="40">
        <v>5430412</v>
      </c>
      <c r="AE53" s="40">
        <v>289293845</v>
      </c>
      <c r="AF53" s="40">
        <v>758286</v>
      </c>
      <c r="AG53" s="40">
        <v>12206141</v>
      </c>
      <c r="AH53" s="40">
        <v>1154903</v>
      </c>
      <c r="AI53" s="40">
        <v>6281871</v>
      </c>
      <c r="AJ53" s="40">
        <v>11914659</v>
      </c>
      <c r="AK53" s="40">
        <v>29839791</v>
      </c>
      <c r="AL53" s="40">
        <v>11803457</v>
      </c>
      <c r="AM53" s="40">
        <v>1195310</v>
      </c>
      <c r="AN53" s="40">
        <v>1305117</v>
      </c>
      <c r="AO53" s="40">
        <v>22796841</v>
      </c>
      <c r="AP53" s="40">
        <v>29185937</v>
      </c>
      <c r="AQ53" s="40">
        <v>6520801</v>
      </c>
      <c r="AR53" s="40">
        <v>6714863</v>
      </c>
      <c r="AS53" s="40">
        <v>6024970</v>
      </c>
      <c r="AT53" s="40">
        <v>230711253</v>
      </c>
      <c r="AU53" s="40">
        <v>46853744</v>
      </c>
      <c r="AV53" s="40">
        <v>508889455</v>
      </c>
      <c r="AW53" s="40">
        <v>101456469</v>
      </c>
      <c r="AX53" s="40">
        <v>56673299</v>
      </c>
      <c r="AY53" s="40">
        <v>1391003</v>
      </c>
      <c r="AZ53" s="40">
        <v>5376962</v>
      </c>
      <c r="BA53" s="40">
        <v>136993234</v>
      </c>
      <c r="BB53" s="40">
        <v>7840629</v>
      </c>
      <c r="BC53" s="40">
        <v>3004413</v>
      </c>
      <c r="BD53" s="40">
        <v>24325933</v>
      </c>
      <c r="BE53" s="40">
        <v>2943816</v>
      </c>
      <c r="BF53" s="40">
        <v>6454085</v>
      </c>
      <c r="BG53" s="40">
        <v>30514081</v>
      </c>
      <c r="BH53" s="40">
        <v>6366799</v>
      </c>
      <c r="BI53" s="40">
        <v>2268454</v>
      </c>
      <c r="BJ53" s="40">
        <v>466120397</v>
      </c>
      <c r="BK53" s="40">
        <v>38836783</v>
      </c>
      <c r="BL53" s="40">
        <v>119098719</v>
      </c>
      <c r="BM53" s="40">
        <v>22754780</v>
      </c>
      <c r="BN53" s="40">
        <v>22005679</v>
      </c>
      <c r="BO53" s="40">
        <v>39643332</v>
      </c>
      <c r="BP53" s="40">
        <v>608372</v>
      </c>
      <c r="BQ53" s="40">
        <v>6630797</v>
      </c>
      <c r="BR53" s="40">
        <v>24325890</v>
      </c>
      <c r="BS53" s="40">
        <v>0</v>
      </c>
      <c r="BT53" s="40">
        <v>3950992878</v>
      </c>
      <c r="BU53" s="40">
        <v>1054691280</v>
      </c>
      <c r="BV53" s="40">
        <v>0</v>
      </c>
      <c r="BW53" s="40">
        <v>0</v>
      </c>
      <c r="BX53" s="40">
        <v>1054691280</v>
      </c>
      <c r="BY53" s="40">
        <v>165726827</v>
      </c>
      <c r="BZ53" s="40">
        <v>0</v>
      </c>
      <c r="CA53" s="40">
        <v>0</v>
      </c>
      <c r="CB53" s="40">
        <v>165726827</v>
      </c>
      <c r="CC53" s="40">
        <v>2008029456</v>
      </c>
      <c r="CD53" s="40">
        <v>3228447563</v>
      </c>
      <c r="CE53" s="40">
        <v>7179440441</v>
      </c>
      <c r="CF53" s="41"/>
      <c r="CG53" s="41"/>
      <c r="CH53" s="42"/>
    </row>
    <row r="54" spans="1:86">
      <c r="A54" s="38">
        <v>48</v>
      </c>
      <c r="B54" s="65" t="s">
        <v>39</v>
      </c>
      <c r="C54" s="39" t="s">
        <v>38</v>
      </c>
      <c r="D54" s="40">
        <v>565326</v>
      </c>
      <c r="E54" s="40">
        <v>65</v>
      </c>
      <c r="F54" s="40">
        <v>16959944</v>
      </c>
      <c r="G54" s="40">
        <v>61079</v>
      </c>
      <c r="H54" s="40">
        <v>10771900</v>
      </c>
      <c r="I54" s="40">
        <v>494700</v>
      </c>
      <c r="J54" s="40">
        <v>118077</v>
      </c>
      <c r="K54" s="40">
        <v>1292974</v>
      </c>
      <c r="L54" s="40">
        <v>40868</v>
      </c>
      <c r="M54" s="40">
        <v>136696</v>
      </c>
      <c r="N54" s="40">
        <v>611146</v>
      </c>
      <c r="O54" s="40">
        <v>19288</v>
      </c>
      <c r="P54" s="40">
        <v>21958</v>
      </c>
      <c r="Q54" s="40">
        <v>6302</v>
      </c>
      <c r="R54" s="40">
        <v>1734</v>
      </c>
      <c r="S54" s="40">
        <v>3993</v>
      </c>
      <c r="T54" s="40">
        <v>16347</v>
      </c>
      <c r="U54" s="40">
        <v>6175</v>
      </c>
      <c r="V54" s="40">
        <v>837830</v>
      </c>
      <c r="W54" s="40">
        <v>345194</v>
      </c>
      <c r="X54" s="40">
        <v>442823</v>
      </c>
      <c r="Y54" s="40">
        <v>24461</v>
      </c>
      <c r="Z54" s="40">
        <v>68675</v>
      </c>
      <c r="AA54" s="40">
        <v>307058</v>
      </c>
      <c r="AB54" s="40">
        <v>1148329</v>
      </c>
      <c r="AC54" s="40">
        <v>46428</v>
      </c>
      <c r="AD54" s="40">
        <v>61133</v>
      </c>
      <c r="AE54" s="40">
        <v>3906751</v>
      </c>
      <c r="AF54" s="40">
        <v>8532</v>
      </c>
      <c r="AG54" s="40">
        <v>137165</v>
      </c>
      <c r="AH54" s="40">
        <v>12893</v>
      </c>
      <c r="AI54" s="40">
        <v>70664</v>
      </c>
      <c r="AJ54" s="40">
        <v>133582</v>
      </c>
      <c r="AK54" s="40">
        <v>335922</v>
      </c>
      <c r="AL54" s="40">
        <v>132947</v>
      </c>
      <c r="AM54" s="40">
        <v>13045</v>
      </c>
      <c r="AN54" s="40">
        <v>14702</v>
      </c>
      <c r="AO54" s="40">
        <v>253053</v>
      </c>
      <c r="AP54" s="40">
        <v>318843</v>
      </c>
      <c r="AQ54" s="40">
        <v>79295</v>
      </c>
      <c r="AR54" s="40">
        <v>73845</v>
      </c>
      <c r="AS54" s="40">
        <v>65553</v>
      </c>
      <c r="AT54" s="40">
        <v>2499688</v>
      </c>
      <c r="AU54" s="40">
        <v>187520</v>
      </c>
      <c r="AV54" s="40">
        <v>288600</v>
      </c>
      <c r="AW54" s="40">
        <v>107100</v>
      </c>
      <c r="AX54" s="40">
        <v>506326</v>
      </c>
      <c r="AY54" s="40">
        <v>3989</v>
      </c>
      <c r="AZ54" s="40">
        <v>83074</v>
      </c>
      <c r="BA54" s="40">
        <v>164498</v>
      </c>
      <c r="BB54" s="40">
        <v>2162</v>
      </c>
      <c r="BC54" s="40">
        <v>33766</v>
      </c>
      <c r="BD54" s="40">
        <v>237127</v>
      </c>
      <c r="BE54" s="40">
        <v>26218</v>
      </c>
      <c r="BF54" s="40">
        <v>70618</v>
      </c>
      <c r="BG54" s="40">
        <v>264023</v>
      </c>
      <c r="BH54" s="40">
        <v>3745</v>
      </c>
      <c r="BI54" s="40">
        <v>1587</v>
      </c>
      <c r="BJ54" s="40">
        <v>85362</v>
      </c>
      <c r="BK54" s="40">
        <v>356602</v>
      </c>
      <c r="BL54" s="40">
        <v>87440</v>
      </c>
      <c r="BM54" s="40">
        <v>150378</v>
      </c>
      <c r="BN54" s="40">
        <v>196782</v>
      </c>
      <c r="BO54" s="40">
        <v>437124</v>
      </c>
      <c r="BP54" s="40">
        <v>6478</v>
      </c>
      <c r="BQ54" s="40">
        <v>72812</v>
      </c>
      <c r="BR54" s="40">
        <v>28744</v>
      </c>
      <c r="BS54" s="40">
        <v>0</v>
      </c>
      <c r="BT54" s="40">
        <v>45869058</v>
      </c>
      <c r="BU54" s="40">
        <v>3907345</v>
      </c>
      <c r="BV54" s="40">
        <v>0</v>
      </c>
      <c r="BW54" s="40">
        <v>0</v>
      </c>
      <c r="BX54" s="40">
        <v>3907345</v>
      </c>
      <c r="BY54" s="40">
        <v>1865954</v>
      </c>
      <c r="BZ54" s="40">
        <v>0</v>
      </c>
      <c r="CA54" s="40">
        <v>0</v>
      </c>
      <c r="CB54" s="40">
        <v>1865954</v>
      </c>
      <c r="CC54" s="40">
        <v>30373327</v>
      </c>
      <c r="CD54" s="40">
        <v>36146626</v>
      </c>
      <c r="CE54" s="40">
        <v>82015684</v>
      </c>
      <c r="CF54" s="41"/>
      <c r="CG54" s="41"/>
      <c r="CH54" s="42"/>
    </row>
    <row r="55" spans="1:86">
      <c r="A55" s="38">
        <v>49</v>
      </c>
      <c r="B55" s="65" t="s">
        <v>37</v>
      </c>
      <c r="C55" s="39" t="s">
        <v>36</v>
      </c>
      <c r="D55" s="40">
        <v>8140</v>
      </c>
      <c r="E55" s="40">
        <v>0</v>
      </c>
      <c r="F55" s="40">
        <v>7</v>
      </c>
      <c r="G55" s="40">
        <v>3406</v>
      </c>
      <c r="H55" s="40">
        <v>1988443</v>
      </c>
      <c r="I55" s="40">
        <v>93472</v>
      </c>
      <c r="J55" s="40">
        <v>1308</v>
      </c>
      <c r="K55" s="40">
        <v>31451</v>
      </c>
      <c r="L55" s="40">
        <v>7150</v>
      </c>
      <c r="M55" s="40">
        <v>55238</v>
      </c>
      <c r="N55" s="40">
        <v>71828</v>
      </c>
      <c r="O55" s="40">
        <v>53</v>
      </c>
      <c r="P55" s="40">
        <v>60</v>
      </c>
      <c r="Q55" s="40">
        <v>297</v>
      </c>
      <c r="R55" s="40">
        <v>160</v>
      </c>
      <c r="S55" s="40">
        <v>11</v>
      </c>
      <c r="T55" s="40">
        <v>45</v>
      </c>
      <c r="U55" s="40">
        <v>132</v>
      </c>
      <c r="V55" s="40">
        <v>132</v>
      </c>
      <c r="W55" s="40">
        <v>949</v>
      </c>
      <c r="X55" s="40">
        <v>2480</v>
      </c>
      <c r="Y55" s="40">
        <v>67</v>
      </c>
      <c r="Z55" s="40">
        <v>189</v>
      </c>
      <c r="AA55" s="40">
        <v>861</v>
      </c>
      <c r="AB55" s="40">
        <v>3155</v>
      </c>
      <c r="AC55" s="40">
        <v>128</v>
      </c>
      <c r="AD55" s="40">
        <v>168</v>
      </c>
      <c r="AE55" s="40">
        <v>10735</v>
      </c>
      <c r="AF55" s="40">
        <v>23</v>
      </c>
      <c r="AG55" s="40">
        <v>377</v>
      </c>
      <c r="AH55" s="40">
        <v>36</v>
      </c>
      <c r="AI55" s="40">
        <v>234</v>
      </c>
      <c r="AJ55" s="40">
        <v>367</v>
      </c>
      <c r="AK55" s="40">
        <v>923</v>
      </c>
      <c r="AL55" s="40">
        <v>365</v>
      </c>
      <c r="AM55" s="40">
        <v>36</v>
      </c>
      <c r="AN55" s="40">
        <v>261</v>
      </c>
      <c r="AO55" s="40">
        <v>3986</v>
      </c>
      <c r="AP55" s="40">
        <v>6921</v>
      </c>
      <c r="AQ55" s="40">
        <v>218</v>
      </c>
      <c r="AR55" s="40">
        <v>203</v>
      </c>
      <c r="AS55" s="40">
        <v>1468</v>
      </c>
      <c r="AT55" s="40">
        <v>472976</v>
      </c>
      <c r="AU55" s="40">
        <v>8469267</v>
      </c>
      <c r="AV55" s="40">
        <v>34971391</v>
      </c>
      <c r="AW55" s="40">
        <v>22052988</v>
      </c>
      <c r="AX55" s="40">
        <v>1391</v>
      </c>
      <c r="AY55" s="40">
        <v>11</v>
      </c>
      <c r="AZ55" s="40">
        <v>1455480</v>
      </c>
      <c r="BA55" s="40">
        <v>5743705</v>
      </c>
      <c r="BB55" s="40">
        <v>8458772</v>
      </c>
      <c r="BC55" s="40">
        <v>93</v>
      </c>
      <c r="BD55" s="40">
        <v>651</v>
      </c>
      <c r="BE55" s="40">
        <v>47403</v>
      </c>
      <c r="BF55" s="40">
        <v>2150799</v>
      </c>
      <c r="BG55" s="40">
        <v>4495074</v>
      </c>
      <c r="BH55" s="40">
        <v>10</v>
      </c>
      <c r="BI55" s="40">
        <v>4</v>
      </c>
      <c r="BJ55" s="40">
        <v>27413</v>
      </c>
      <c r="BK55" s="40">
        <v>17355704</v>
      </c>
      <c r="BL55" s="40">
        <v>95595550</v>
      </c>
      <c r="BM55" s="40">
        <v>126565718</v>
      </c>
      <c r="BN55" s="40">
        <v>20818099</v>
      </c>
      <c r="BO55" s="40">
        <v>1620262</v>
      </c>
      <c r="BP55" s="40">
        <v>18</v>
      </c>
      <c r="BQ55" s="40">
        <v>9204157</v>
      </c>
      <c r="BR55" s="40">
        <v>1107837</v>
      </c>
      <c r="BS55" s="40">
        <v>0</v>
      </c>
      <c r="BT55" s="40">
        <v>362910256</v>
      </c>
      <c r="BU55" s="40">
        <v>543709376</v>
      </c>
      <c r="BV55" s="40">
        <v>0</v>
      </c>
      <c r="BW55" s="40">
        <v>0</v>
      </c>
      <c r="BX55" s="40">
        <v>543709376</v>
      </c>
      <c r="BY55" s="40">
        <v>5127</v>
      </c>
      <c r="BZ55" s="40">
        <v>0</v>
      </c>
      <c r="CA55" s="40">
        <v>0</v>
      </c>
      <c r="CB55" s="40">
        <v>5127</v>
      </c>
      <c r="CC55" s="40">
        <v>189968080</v>
      </c>
      <c r="CD55" s="40">
        <v>733682583</v>
      </c>
      <c r="CE55" s="40">
        <v>1096592839</v>
      </c>
      <c r="CF55" s="41"/>
      <c r="CG55" s="41"/>
      <c r="CH55" s="42"/>
    </row>
    <row r="56" spans="1:86" ht="22.5">
      <c r="A56" s="38">
        <v>50</v>
      </c>
      <c r="B56" s="65" t="s">
        <v>35</v>
      </c>
      <c r="C56" s="39" t="s">
        <v>34</v>
      </c>
      <c r="D56" s="40">
        <v>137548786</v>
      </c>
      <c r="E56" s="40">
        <v>0</v>
      </c>
      <c r="F56" s="40">
        <v>0</v>
      </c>
      <c r="G56" s="40">
        <v>0</v>
      </c>
      <c r="H56" s="40">
        <v>477706517</v>
      </c>
      <c r="I56" s="40">
        <v>916671</v>
      </c>
      <c r="J56" s="40">
        <v>491834</v>
      </c>
      <c r="K56" s="40">
        <v>956535</v>
      </c>
      <c r="L56" s="40">
        <v>717523</v>
      </c>
      <c r="M56" s="40">
        <v>381473</v>
      </c>
      <c r="N56" s="40">
        <v>152458</v>
      </c>
      <c r="O56" s="40">
        <v>0</v>
      </c>
      <c r="P56" s="40">
        <v>0</v>
      </c>
      <c r="Q56" s="40">
        <v>6743</v>
      </c>
      <c r="R56" s="40">
        <v>7014</v>
      </c>
      <c r="S56" s="40">
        <v>0</v>
      </c>
      <c r="T56" s="40">
        <v>9122</v>
      </c>
      <c r="U56" s="40">
        <v>0</v>
      </c>
      <c r="V56" s="40">
        <v>0</v>
      </c>
      <c r="W56" s="40">
        <v>4249971</v>
      </c>
      <c r="X56" s="40">
        <v>2890</v>
      </c>
      <c r="Y56" s="40">
        <v>0</v>
      </c>
      <c r="Z56" s="40">
        <v>1970</v>
      </c>
      <c r="AA56" s="40">
        <v>240042</v>
      </c>
      <c r="AB56" s="40">
        <v>290307</v>
      </c>
      <c r="AC56" s="40">
        <v>15033</v>
      </c>
      <c r="AD56" s="40">
        <v>0</v>
      </c>
      <c r="AE56" s="40">
        <v>2</v>
      </c>
      <c r="AF56" s="40">
        <v>0</v>
      </c>
      <c r="AG56" s="40">
        <v>102</v>
      </c>
      <c r="AH56" s="40">
        <v>0</v>
      </c>
      <c r="AI56" s="40">
        <v>10669</v>
      </c>
      <c r="AJ56" s="40">
        <v>420</v>
      </c>
      <c r="AK56" s="40">
        <v>0</v>
      </c>
      <c r="AL56" s="40">
        <v>9941</v>
      </c>
      <c r="AM56" s="40">
        <v>0</v>
      </c>
      <c r="AN56" s="40">
        <v>2277</v>
      </c>
      <c r="AO56" s="40">
        <v>4560</v>
      </c>
      <c r="AP56" s="40">
        <v>98523</v>
      </c>
      <c r="AQ56" s="40">
        <v>0</v>
      </c>
      <c r="AR56" s="40">
        <v>242863</v>
      </c>
      <c r="AS56" s="40">
        <v>149217</v>
      </c>
      <c r="AT56" s="40">
        <v>898850</v>
      </c>
      <c r="AU56" s="40">
        <v>82148972</v>
      </c>
      <c r="AV56" s="40">
        <v>775212211</v>
      </c>
      <c r="AW56" s="40">
        <v>207886112</v>
      </c>
      <c r="AX56" s="40">
        <v>107657151</v>
      </c>
      <c r="AY56" s="40">
        <v>2292166</v>
      </c>
      <c r="AZ56" s="40">
        <v>158785673</v>
      </c>
      <c r="BA56" s="40">
        <v>27047174</v>
      </c>
      <c r="BB56" s="40">
        <v>0</v>
      </c>
      <c r="BC56" s="40">
        <v>610</v>
      </c>
      <c r="BD56" s="40">
        <v>7662</v>
      </c>
      <c r="BE56" s="40">
        <v>374762</v>
      </c>
      <c r="BF56" s="40">
        <v>1168891</v>
      </c>
      <c r="BG56" s="40">
        <v>636111</v>
      </c>
      <c r="BH56" s="40">
        <v>1404777</v>
      </c>
      <c r="BI56" s="40">
        <v>452697</v>
      </c>
      <c r="BJ56" s="40">
        <v>87171</v>
      </c>
      <c r="BK56" s="40">
        <v>71678317</v>
      </c>
      <c r="BL56" s="40">
        <v>906441</v>
      </c>
      <c r="BM56" s="40">
        <v>102872652</v>
      </c>
      <c r="BN56" s="40">
        <v>2439617</v>
      </c>
      <c r="BO56" s="40">
        <v>492057</v>
      </c>
      <c r="BP56" s="40">
        <v>552501</v>
      </c>
      <c r="BQ56" s="40">
        <v>99434</v>
      </c>
      <c r="BR56" s="40">
        <v>1560</v>
      </c>
      <c r="BS56" s="40">
        <v>0</v>
      </c>
      <c r="BT56" s="40">
        <v>2169317032</v>
      </c>
      <c r="BU56" s="40">
        <v>670418298</v>
      </c>
      <c r="BV56" s="40">
        <v>0</v>
      </c>
      <c r="BW56" s="40">
        <v>0</v>
      </c>
      <c r="BX56" s="40">
        <v>670418298</v>
      </c>
      <c r="BY56" s="40">
        <v>0</v>
      </c>
      <c r="BZ56" s="40">
        <v>0</v>
      </c>
      <c r="CA56" s="40">
        <v>0</v>
      </c>
      <c r="CB56" s="40">
        <v>0</v>
      </c>
      <c r="CC56" s="40">
        <v>452747448</v>
      </c>
      <c r="CD56" s="40">
        <v>1123165746</v>
      </c>
      <c r="CE56" s="40">
        <v>3292482778</v>
      </c>
      <c r="CF56" s="41"/>
      <c r="CG56" s="41"/>
      <c r="CH56" s="42"/>
    </row>
    <row r="57" spans="1:86">
      <c r="A57" s="38">
        <v>51</v>
      </c>
      <c r="B57" s="65" t="s">
        <v>33</v>
      </c>
      <c r="C57" s="39" t="s">
        <v>32</v>
      </c>
      <c r="D57" s="40">
        <v>2116</v>
      </c>
      <c r="E57" s="40">
        <v>92</v>
      </c>
      <c r="F57" s="40">
        <v>0</v>
      </c>
      <c r="G57" s="40">
        <v>31</v>
      </c>
      <c r="H57" s="40">
        <v>2241</v>
      </c>
      <c r="I57" s="40">
        <v>96</v>
      </c>
      <c r="J57" s="40">
        <v>0</v>
      </c>
      <c r="K57" s="40">
        <v>108</v>
      </c>
      <c r="L57" s="40">
        <v>115</v>
      </c>
      <c r="M57" s="40">
        <v>52</v>
      </c>
      <c r="N57" s="40">
        <v>7579</v>
      </c>
      <c r="O57" s="40">
        <v>0</v>
      </c>
      <c r="P57" s="40">
        <v>0</v>
      </c>
      <c r="Q57" s="40">
        <v>85</v>
      </c>
      <c r="R57" s="40">
        <v>59</v>
      </c>
      <c r="S57" s="40">
        <v>0</v>
      </c>
      <c r="T57" s="40">
        <v>157</v>
      </c>
      <c r="U57" s="40">
        <v>158</v>
      </c>
      <c r="V57" s="40">
        <v>0</v>
      </c>
      <c r="W57" s="40">
        <v>0</v>
      </c>
      <c r="X57" s="40">
        <v>263</v>
      </c>
      <c r="Y57" s="40">
        <v>0</v>
      </c>
      <c r="Z57" s="40">
        <v>0</v>
      </c>
      <c r="AA57" s="40">
        <v>131</v>
      </c>
      <c r="AB57" s="40">
        <v>831</v>
      </c>
      <c r="AC57" s="40">
        <v>9</v>
      </c>
      <c r="AD57" s="40">
        <v>6</v>
      </c>
      <c r="AE57" s="40">
        <v>42</v>
      </c>
      <c r="AF57" s="40">
        <v>0</v>
      </c>
      <c r="AG57" s="40">
        <v>348</v>
      </c>
      <c r="AH57" s="40">
        <v>0</v>
      </c>
      <c r="AI57" s="40">
        <v>1897</v>
      </c>
      <c r="AJ57" s="40">
        <v>16</v>
      </c>
      <c r="AK57" s="40">
        <v>0</v>
      </c>
      <c r="AL57" s="40">
        <v>26</v>
      </c>
      <c r="AM57" s="40">
        <v>1831</v>
      </c>
      <c r="AN57" s="40">
        <v>21</v>
      </c>
      <c r="AO57" s="40">
        <v>251</v>
      </c>
      <c r="AP57" s="40">
        <v>1873</v>
      </c>
      <c r="AQ57" s="40">
        <v>3</v>
      </c>
      <c r="AR57" s="40">
        <v>63</v>
      </c>
      <c r="AS57" s="40">
        <v>226</v>
      </c>
      <c r="AT57" s="40">
        <v>6806</v>
      </c>
      <c r="AU57" s="40">
        <v>1138</v>
      </c>
      <c r="AV57" s="40">
        <v>746756</v>
      </c>
      <c r="AW57" s="40">
        <v>7368380</v>
      </c>
      <c r="AX57" s="40">
        <v>1280</v>
      </c>
      <c r="AY57" s="40">
        <v>0</v>
      </c>
      <c r="AZ57" s="40">
        <v>281</v>
      </c>
      <c r="BA57" s="40">
        <v>851120</v>
      </c>
      <c r="BB57" s="40">
        <v>118841</v>
      </c>
      <c r="BC57" s="40">
        <v>1347</v>
      </c>
      <c r="BD57" s="40">
        <v>32792</v>
      </c>
      <c r="BE57" s="40">
        <v>7204</v>
      </c>
      <c r="BF57" s="40">
        <v>50259</v>
      </c>
      <c r="BG57" s="40">
        <v>1434949</v>
      </c>
      <c r="BH57" s="40">
        <v>1237558</v>
      </c>
      <c r="BI57" s="40">
        <v>230111</v>
      </c>
      <c r="BJ57" s="40">
        <v>17499</v>
      </c>
      <c r="BK57" s="40">
        <v>53856</v>
      </c>
      <c r="BL57" s="40">
        <v>280821</v>
      </c>
      <c r="BM57" s="40">
        <v>4762359</v>
      </c>
      <c r="BN57" s="40">
        <v>2173503</v>
      </c>
      <c r="BO57" s="40">
        <v>2260552</v>
      </c>
      <c r="BP57" s="40">
        <v>21796</v>
      </c>
      <c r="BQ57" s="40">
        <v>2998</v>
      </c>
      <c r="BR57" s="40">
        <v>1409898</v>
      </c>
      <c r="BS57" s="40">
        <v>0</v>
      </c>
      <c r="BT57" s="40">
        <v>23092830</v>
      </c>
      <c r="BU57" s="40">
        <v>57049457</v>
      </c>
      <c r="BV57" s="40">
        <v>0</v>
      </c>
      <c r="BW57" s="40">
        <v>0</v>
      </c>
      <c r="BX57" s="40">
        <v>57049457</v>
      </c>
      <c r="BY57" s="40">
        <v>0</v>
      </c>
      <c r="BZ57" s="40">
        <v>0</v>
      </c>
      <c r="CA57" s="40">
        <v>0</v>
      </c>
      <c r="CB57" s="40">
        <v>0</v>
      </c>
      <c r="CC57" s="40">
        <v>16329325</v>
      </c>
      <c r="CD57" s="40">
        <v>73378782</v>
      </c>
      <c r="CE57" s="40">
        <v>96471612</v>
      </c>
      <c r="CF57" s="41"/>
      <c r="CG57" s="41"/>
      <c r="CH57" s="42"/>
    </row>
    <row r="58" spans="1:86">
      <c r="A58" s="38">
        <v>52</v>
      </c>
      <c r="B58" s="65" t="s">
        <v>31</v>
      </c>
      <c r="C58" s="39" t="s">
        <v>30</v>
      </c>
      <c r="D58" s="40">
        <v>128</v>
      </c>
      <c r="E58" s="40">
        <v>0</v>
      </c>
      <c r="F58" s="40">
        <v>0</v>
      </c>
      <c r="G58" s="40">
        <v>453</v>
      </c>
      <c r="H58" s="40">
        <v>408797</v>
      </c>
      <c r="I58" s="40">
        <v>18609</v>
      </c>
      <c r="J58" s="40">
        <v>125</v>
      </c>
      <c r="K58" s="40">
        <v>14914</v>
      </c>
      <c r="L58" s="40">
        <v>1296</v>
      </c>
      <c r="M58" s="40">
        <v>24299</v>
      </c>
      <c r="N58" s="40">
        <v>52253</v>
      </c>
      <c r="O58" s="40">
        <v>0</v>
      </c>
      <c r="P58" s="40">
        <v>0</v>
      </c>
      <c r="Q58" s="40">
        <v>188</v>
      </c>
      <c r="R58" s="40">
        <v>269</v>
      </c>
      <c r="S58" s="40">
        <v>0</v>
      </c>
      <c r="T58" s="40">
        <v>0</v>
      </c>
      <c r="U58" s="40">
        <v>172</v>
      </c>
      <c r="V58" s="40">
        <v>0</v>
      </c>
      <c r="W58" s="40">
        <v>0</v>
      </c>
      <c r="X58" s="40">
        <v>17</v>
      </c>
      <c r="Y58" s="40">
        <v>0</v>
      </c>
      <c r="Z58" s="40">
        <v>0</v>
      </c>
      <c r="AA58" s="40">
        <v>1660</v>
      </c>
      <c r="AB58" s="40">
        <v>2368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3213</v>
      </c>
      <c r="AI58" s="40">
        <v>965</v>
      </c>
      <c r="AJ58" s="40">
        <v>114</v>
      </c>
      <c r="AK58" s="40">
        <v>0</v>
      </c>
      <c r="AL58" s="40">
        <v>0</v>
      </c>
      <c r="AM58" s="40">
        <v>10701</v>
      </c>
      <c r="AN58" s="40">
        <v>95</v>
      </c>
      <c r="AO58" s="40">
        <v>30727</v>
      </c>
      <c r="AP58" s="40">
        <v>837</v>
      </c>
      <c r="AQ58" s="40">
        <v>0</v>
      </c>
      <c r="AR58" s="40">
        <v>70</v>
      </c>
      <c r="AS58" s="40">
        <v>1946</v>
      </c>
      <c r="AT58" s="40">
        <v>6808</v>
      </c>
      <c r="AU58" s="40">
        <v>1141</v>
      </c>
      <c r="AV58" s="40">
        <v>74991</v>
      </c>
      <c r="AW58" s="40">
        <v>108381</v>
      </c>
      <c r="AX58" s="40">
        <v>84514</v>
      </c>
      <c r="AY58" s="40">
        <v>34461</v>
      </c>
      <c r="AZ58" s="40">
        <v>133124</v>
      </c>
      <c r="BA58" s="40">
        <v>30111</v>
      </c>
      <c r="BB58" s="40">
        <v>56170</v>
      </c>
      <c r="BC58" s="40">
        <v>1150190</v>
      </c>
      <c r="BD58" s="40">
        <v>0</v>
      </c>
      <c r="BE58" s="40">
        <v>690337</v>
      </c>
      <c r="BF58" s="40">
        <v>875308</v>
      </c>
      <c r="BG58" s="40">
        <v>3996647</v>
      </c>
      <c r="BH58" s="40">
        <v>1679360</v>
      </c>
      <c r="BI58" s="40">
        <v>598245</v>
      </c>
      <c r="BJ58" s="40">
        <v>71654</v>
      </c>
      <c r="BK58" s="40">
        <v>5435318</v>
      </c>
      <c r="BL58" s="40">
        <v>10360706</v>
      </c>
      <c r="BM58" s="40">
        <v>14544314</v>
      </c>
      <c r="BN58" s="40">
        <v>6987357</v>
      </c>
      <c r="BO58" s="40">
        <v>8524</v>
      </c>
      <c r="BP58" s="40">
        <v>80</v>
      </c>
      <c r="BQ58" s="40">
        <v>10400045</v>
      </c>
      <c r="BR58" s="40">
        <v>116392161</v>
      </c>
      <c r="BS58" s="40">
        <v>0</v>
      </c>
      <c r="BT58" s="40">
        <v>174294163</v>
      </c>
      <c r="BU58" s="40">
        <v>399940402</v>
      </c>
      <c r="BV58" s="40">
        <v>0</v>
      </c>
      <c r="BW58" s="40">
        <v>0</v>
      </c>
      <c r="BX58" s="40">
        <v>399940402</v>
      </c>
      <c r="BY58" s="40">
        <v>0</v>
      </c>
      <c r="BZ58" s="40">
        <v>0</v>
      </c>
      <c r="CA58" s="40">
        <v>0</v>
      </c>
      <c r="CB58" s="40">
        <v>0</v>
      </c>
      <c r="CC58" s="40">
        <v>249238700</v>
      </c>
      <c r="CD58" s="40">
        <v>649179102</v>
      </c>
      <c r="CE58" s="40">
        <v>823473265</v>
      </c>
      <c r="CF58" s="41"/>
      <c r="CG58" s="41"/>
      <c r="CH58" s="42"/>
    </row>
    <row r="59" spans="1:86" ht="22.5">
      <c r="A59" s="38">
        <v>53</v>
      </c>
      <c r="B59" s="65" t="s">
        <v>29</v>
      </c>
      <c r="C59" s="39" t="s">
        <v>28</v>
      </c>
      <c r="D59" s="40">
        <v>90304</v>
      </c>
      <c r="E59" s="40">
        <v>0</v>
      </c>
      <c r="F59" s="40">
        <v>0</v>
      </c>
      <c r="G59" s="40">
        <v>59857</v>
      </c>
      <c r="H59" s="40">
        <v>4933533</v>
      </c>
      <c r="I59" s="40">
        <v>229166</v>
      </c>
      <c r="J59" s="40">
        <v>3284</v>
      </c>
      <c r="K59" s="40">
        <v>120305</v>
      </c>
      <c r="L59" s="40">
        <v>245121</v>
      </c>
      <c r="M59" s="40">
        <v>256143</v>
      </c>
      <c r="N59" s="40">
        <v>122796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9334</v>
      </c>
      <c r="X59" s="40">
        <v>0</v>
      </c>
      <c r="Y59" s="40">
        <v>0</v>
      </c>
      <c r="Z59" s="40">
        <v>0</v>
      </c>
      <c r="AA59" s="40">
        <v>1822</v>
      </c>
      <c r="AB59" s="40">
        <v>15833</v>
      </c>
      <c r="AC59" s="40">
        <v>1009</v>
      </c>
      <c r="AD59" s="40">
        <v>0</v>
      </c>
      <c r="AE59" s="40">
        <v>9807</v>
      </c>
      <c r="AF59" s="40">
        <v>0</v>
      </c>
      <c r="AG59" s="40">
        <v>0</v>
      </c>
      <c r="AH59" s="40">
        <v>0</v>
      </c>
      <c r="AI59" s="40">
        <v>0</v>
      </c>
      <c r="AJ59" s="40">
        <v>7</v>
      </c>
      <c r="AK59" s="40">
        <v>0</v>
      </c>
      <c r="AL59" s="40">
        <v>0</v>
      </c>
      <c r="AM59" s="40">
        <v>0</v>
      </c>
      <c r="AN59" s="40">
        <v>100</v>
      </c>
      <c r="AO59" s="40">
        <v>108574</v>
      </c>
      <c r="AP59" s="40">
        <v>13710</v>
      </c>
      <c r="AQ59" s="40">
        <v>0</v>
      </c>
      <c r="AR59" s="40">
        <v>1179</v>
      </c>
      <c r="AS59" s="40">
        <v>3340</v>
      </c>
      <c r="AT59" s="40">
        <v>1877755</v>
      </c>
      <c r="AU59" s="40">
        <v>0</v>
      </c>
      <c r="AV59" s="40">
        <v>4017072</v>
      </c>
      <c r="AW59" s="40">
        <v>3040557</v>
      </c>
      <c r="AX59" s="40">
        <v>744736</v>
      </c>
      <c r="AY59" s="40">
        <v>319469</v>
      </c>
      <c r="AZ59" s="40">
        <v>3124390</v>
      </c>
      <c r="BA59" s="40">
        <v>91591</v>
      </c>
      <c r="BB59" s="40">
        <v>0</v>
      </c>
      <c r="BC59" s="40">
        <v>5058169</v>
      </c>
      <c r="BD59" s="40">
        <v>0</v>
      </c>
      <c r="BE59" s="40">
        <v>49262</v>
      </c>
      <c r="BF59" s="40">
        <v>908310</v>
      </c>
      <c r="BG59" s="40">
        <v>1814914</v>
      </c>
      <c r="BH59" s="40">
        <v>0</v>
      </c>
      <c r="BI59" s="40">
        <v>0</v>
      </c>
      <c r="BJ59" s="40">
        <v>1480784</v>
      </c>
      <c r="BK59" s="40">
        <v>6759165</v>
      </c>
      <c r="BL59" s="40">
        <v>1581443</v>
      </c>
      <c r="BM59" s="40">
        <v>38551132</v>
      </c>
      <c r="BN59" s="40">
        <v>54548527</v>
      </c>
      <c r="BO59" s="40">
        <v>646997</v>
      </c>
      <c r="BP59" s="40">
        <v>496625</v>
      </c>
      <c r="BQ59" s="40">
        <v>30437085</v>
      </c>
      <c r="BR59" s="40">
        <v>3786165</v>
      </c>
      <c r="BS59" s="40">
        <v>0</v>
      </c>
      <c r="BT59" s="40">
        <v>165559372</v>
      </c>
      <c r="BU59" s="40">
        <v>2195109400</v>
      </c>
      <c r="BV59" s="40">
        <v>0</v>
      </c>
      <c r="BW59" s="40">
        <v>0</v>
      </c>
      <c r="BX59" s="40">
        <v>2195109400</v>
      </c>
      <c r="BY59" s="40">
        <v>0</v>
      </c>
      <c r="BZ59" s="40">
        <v>0</v>
      </c>
      <c r="CA59" s="40">
        <v>0</v>
      </c>
      <c r="CB59" s="40">
        <v>0</v>
      </c>
      <c r="CC59" s="40">
        <v>185501128</v>
      </c>
      <c r="CD59" s="40">
        <v>2380610528</v>
      </c>
      <c r="CE59" s="40">
        <v>2546169900</v>
      </c>
      <c r="CF59" s="41"/>
      <c r="CG59" s="41"/>
      <c r="CH59" s="42"/>
    </row>
    <row r="60" spans="1:86" ht="22.5" customHeight="1">
      <c r="A60" s="38">
        <v>54</v>
      </c>
      <c r="B60" s="67" t="s">
        <v>198</v>
      </c>
      <c r="C60" s="39" t="s">
        <v>161</v>
      </c>
      <c r="D60" s="40">
        <v>180483</v>
      </c>
      <c r="E60" s="40">
        <v>1005</v>
      </c>
      <c r="F60" s="40">
        <v>0</v>
      </c>
      <c r="G60" s="40">
        <v>0</v>
      </c>
      <c r="H60" s="40">
        <v>4544089</v>
      </c>
      <c r="I60" s="40">
        <v>206323</v>
      </c>
      <c r="J60" s="40">
        <v>90</v>
      </c>
      <c r="K60" s="40">
        <v>8143</v>
      </c>
      <c r="L60" s="40">
        <v>12745</v>
      </c>
      <c r="M60" s="40">
        <v>2195</v>
      </c>
      <c r="N60" s="40">
        <v>75232</v>
      </c>
      <c r="O60" s="40">
        <v>0</v>
      </c>
      <c r="P60" s="40">
        <v>0</v>
      </c>
      <c r="Q60" s="40">
        <v>3064</v>
      </c>
      <c r="R60" s="40">
        <v>1</v>
      </c>
      <c r="S60" s="40">
        <v>0</v>
      </c>
      <c r="T60" s="40">
        <v>0</v>
      </c>
      <c r="U60" s="40">
        <v>1093</v>
      </c>
      <c r="V60" s="40">
        <v>0</v>
      </c>
      <c r="W60" s="40">
        <v>1536377</v>
      </c>
      <c r="X60" s="40">
        <v>29336</v>
      </c>
      <c r="Y60" s="40">
        <v>201456</v>
      </c>
      <c r="Z60" s="40">
        <v>0</v>
      </c>
      <c r="AA60" s="40">
        <v>35378</v>
      </c>
      <c r="AB60" s="40">
        <v>88792</v>
      </c>
      <c r="AC60" s="40">
        <v>0</v>
      </c>
      <c r="AD60" s="40">
        <v>0</v>
      </c>
      <c r="AE60" s="40">
        <v>313</v>
      </c>
      <c r="AF60" s="40">
        <v>24</v>
      </c>
      <c r="AG60" s="40">
        <v>78</v>
      </c>
      <c r="AH60" s="40">
        <v>0</v>
      </c>
      <c r="AI60" s="40">
        <v>890</v>
      </c>
      <c r="AJ60" s="40">
        <v>4767</v>
      </c>
      <c r="AK60" s="40">
        <v>119</v>
      </c>
      <c r="AL60" s="40">
        <v>518</v>
      </c>
      <c r="AM60" s="40">
        <v>21102</v>
      </c>
      <c r="AN60" s="40">
        <v>554</v>
      </c>
      <c r="AO60" s="40">
        <v>7415</v>
      </c>
      <c r="AP60" s="40">
        <v>202479</v>
      </c>
      <c r="AQ60" s="40">
        <v>41426</v>
      </c>
      <c r="AR60" s="40">
        <v>930</v>
      </c>
      <c r="AS60" s="40">
        <v>2436</v>
      </c>
      <c r="AT60" s="40">
        <v>156602</v>
      </c>
      <c r="AU60" s="40">
        <v>1015</v>
      </c>
      <c r="AV60" s="40">
        <v>33591512</v>
      </c>
      <c r="AW60" s="40">
        <v>18153012</v>
      </c>
      <c r="AX60" s="40">
        <v>287665</v>
      </c>
      <c r="AY60" s="40">
        <v>16626</v>
      </c>
      <c r="AZ60" s="40">
        <v>4821109</v>
      </c>
      <c r="BA60" s="40">
        <v>433298</v>
      </c>
      <c r="BB60" s="40">
        <v>15687</v>
      </c>
      <c r="BC60" s="40">
        <v>299851</v>
      </c>
      <c r="BD60" s="40">
        <v>12734600</v>
      </c>
      <c r="BE60" s="40">
        <v>67295116</v>
      </c>
      <c r="BF60" s="40">
        <v>8586538</v>
      </c>
      <c r="BG60" s="40">
        <v>90797901</v>
      </c>
      <c r="BH60" s="40">
        <v>85678911</v>
      </c>
      <c r="BI60" s="40">
        <v>12756455</v>
      </c>
      <c r="BJ60" s="40">
        <v>4196730</v>
      </c>
      <c r="BK60" s="40">
        <v>28563168</v>
      </c>
      <c r="BL60" s="40">
        <v>1293310</v>
      </c>
      <c r="BM60" s="40">
        <v>623321277</v>
      </c>
      <c r="BN60" s="40">
        <v>127420604</v>
      </c>
      <c r="BO60" s="40">
        <v>14826641</v>
      </c>
      <c r="BP60" s="40">
        <v>592288</v>
      </c>
      <c r="BQ60" s="40">
        <v>12588557</v>
      </c>
      <c r="BR60" s="40">
        <v>16076390</v>
      </c>
      <c r="BS60" s="40">
        <v>0</v>
      </c>
      <c r="BT60" s="40">
        <v>1171713716</v>
      </c>
      <c r="BU60" s="40">
        <v>112544466</v>
      </c>
      <c r="BV60" s="40">
        <v>0</v>
      </c>
      <c r="BW60" s="40">
        <v>0</v>
      </c>
      <c r="BX60" s="40">
        <v>112544466</v>
      </c>
      <c r="BY60" s="40">
        <v>1221086196</v>
      </c>
      <c r="BZ60" s="40">
        <v>856778</v>
      </c>
      <c r="CA60" s="40">
        <v>0</v>
      </c>
      <c r="CB60" s="40">
        <v>1221942974</v>
      </c>
      <c r="CC60" s="40">
        <v>434450920</v>
      </c>
      <c r="CD60" s="40">
        <v>1768938360</v>
      </c>
      <c r="CE60" s="40">
        <v>2940652076</v>
      </c>
      <c r="CF60" s="41"/>
      <c r="CG60" s="41"/>
      <c r="CH60" s="42"/>
    </row>
    <row r="61" spans="1:86">
      <c r="A61" s="38">
        <v>55</v>
      </c>
      <c r="B61" s="65" t="s">
        <v>27</v>
      </c>
      <c r="C61" s="39" t="s">
        <v>26</v>
      </c>
      <c r="D61" s="40">
        <v>78348</v>
      </c>
      <c r="E61" s="40">
        <v>103</v>
      </c>
      <c r="F61" s="40">
        <v>305</v>
      </c>
      <c r="G61" s="40">
        <v>852</v>
      </c>
      <c r="H61" s="40">
        <v>114245</v>
      </c>
      <c r="I61" s="40">
        <v>5216</v>
      </c>
      <c r="J61" s="40">
        <v>723</v>
      </c>
      <c r="K61" s="40">
        <v>1551</v>
      </c>
      <c r="L61" s="40">
        <v>775</v>
      </c>
      <c r="M61" s="40">
        <v>4250</v>
      </c>
      <c r="N61" s="40">
        <v>51258</v>
      </c>
      <c r="O61" s="40">
        <v>38016</v>
      </c>
      <c r="P61" s="40">
        <v>96</v>
      </c>
      <c r="Q61" s="40">
        <v>1110</v>
      </c>
      <c r="R61" s="40">
        <v>67</v>
      </c>
      <c r="S61" s="40">
        <v>0</v>
      </c>
      <c r="T61" s="40">
        <v>2384</v>
      </c>
      <c r="U61" s="40">
        <v>257</v>
      </c>
      <c r="V61" s="40">
        <v>0</v>
      </c>
      <c r="W61" s="40">
        <v>143</v>
      </c>
      <c r="X61" s="40">
        <v>729</v>
      </c>
      <c r="Y61" s="40">
        <v>330</v>
      </c>
      <c r="Z61" s="40">
        <v>414</v>
      </c>
      <c r="AA61" s="40">
        <v>12529</v>
      </c>
      <c r="AB61" s="40">
        <v>1458</v>
      </c>
      <c r="AC61" s="40">
        <v>66</v>
      </c>
      <c r="AD61" s="40">
        <v>65</v>
      </c>
      <c r="AE61" s="40">
        <v>29149</v>
      </c>
      <c r="AF61" s="40">
        <v>26</v>
      </c>
      <c r="AG61" s="40">
        <v>587</v>
      </c>
      <c r="AH61" s="40">
        <v>55</v>
      </c>
      <c r="AI61" s="40">
        <v>204</v>
      </c>
      <c r="AJ61" s="40">
        <v>311</v>
      </c>
      <c r="AK61" s="40">
        <v>161</v>
      </c>
      <c r="AL61" s="40">
        <v>274</v>
      </c>
      <c r="AM61" s="40">
        <v>1213</v>
      </c>
      <c r="AN61" s="40">
        <v>91</v>
      </c>
      <c r="AO61" s="40">
        <v>561098</v>
      </c>
      <c r="AP61" s="40">
        <v>36026</v>
      </c>
      <c r="AQ61" s="40">
        <v>179</v>
      </c>
      <c r="AR61" s="40">
        <v>1871</v>
      </c>
      <c r="AS61" s="40">
        <v>11120</v>
      </c>
      <c r="AT61" s="40">
        <v>83423</v>
      </c>
      <c r="AU61" s="40">
        <v>32908</v>
      </c>
      <c r="AV61" s="40">
        <v>576018</v>
      </c>
      <c r="AW61" s="40">
        <v>1042068</v>
      </c>
      <c r="AX61" s="40">
        <v>592281</v>
      </c>
      <c r="AY61" s="40">
        <v>67145</v>
      </c>
      <c r="AZ61" s="40">
        <v>13144</v>
      </c>
      <c r="BA61" s="40">
        <v>108625</v>
      </c>
      <c r="BB61" s="40">
        <v>1952</v>
      </c>
      <c r="BC61" s="40">
        <v>217057</v>
      </c>
      <c r="BD61" s="40">
        <v>126659</v>
      </c>
      <c r="BE61" s="40">
        <v>672161</v>
      </c>
      <c r="BF61" s="40">
        <v>44468059</v>
      </c>
      <c r="BG61" s="40">
        <v>30682794</v>
      </c>
      <c r="BH61" s="40">
        <v>20864817</v>
      </c>
      <c r="BI61" s="40">
        <v>10218662</v>
      </c>
      <c r="BJ61" s="40">
        <v>371994</v>
      </c>
      <c r="BK61" s="40">
        <v>625590</v>
      </c>
      <c r="BL61" s="40">
        <v>198683</v>
      </c>
      <c r="BM61" s="40">
        <v>217287375</v>
      </c>
      <c r="BN61" s="40">
        <v>52221689</v>
      </c>
      <c r="BO61" s="40">
        <v>8327322</v>
      </c>
      <c r="BP61" s="40">
        <v>332927</v>
      </c>
      <c r="BQ61" s="40">
        <v>160868</v>
      </c>
      <c r="BR61" s="40">
        <v>5087589</v>
      </c>
      <c r="BS61" s="40">
        <v>0</v>
      </c>
      <c r="BT61" s="40">
        <v>395339465</v>
      </c>
      <c r="BU61" s="40">
        <v>1322879731</v>
      </c>
      <c r="BV61" s="40">
        <v>0</v>
      </c>
      <c r="BW61" s="40">
        <v>0</v>
      </c>
      <c r="BX61" s="40">
        <v>1322879731</v>
      </c>
      <c r="BY61" s="40">
        <v>0</v>
      </c>
      <c r="BZ61" s="40">
        <v>0</v>
      </c>
      <c r="CA61" s="40">
        <v>0</v>
      </c>
      <c r="CB61" s="40">
        <v>0</v>
      </c>
      <c r="CC61" s="40">
        <v>119604035</v>
      </c>
      <c r="CD61" s="40">
        <v>1442483766</v>
      </c>
      <c r="CE61" s="40">
        <v>1837823231</v>
      </c>
      <c r="CF61" s="41"/>
      <c r="CG61" s="41"/>
      <c r="CH61" s="42"/>
    </row>
    <row r="62" spans="1:86" ht="22.5">
      <c r="A62" s="38">
        <v>56</v>
      </c>
      <c r="B62" s="65" t="s">
        <v>25</v>
      </c>
      <c r="C62" s="39" t="s">
        <v>24</v>
      </c>
      <c r="D62" s="40">
        <v>145579709</v>
      </c>
      <c r="E62" s="40">
        <v>16258</v>
      </c>
      <c r="F62" s="40">
        <v>1083266</v>
      </c>
      <c r="G62" s="40">
        <v>368144</v>
      </c>
      <c r="H62" s="40">
        <v>19633498</v>
      </c>
      <c r="I62" s="40">
        <v>1158077</v>
      </c>
      <c r="J62" s="40">
        <v>219826</v>
      </c>
      <c r="K62" s="40">
        <v>799494</v>
      </c>
      <c r="L62" s="40">
        <v>136525</v>
      </c>
      <c r="M62" s="40">
        <v>105294</v>
      </c>
      <c r="N62" s="40">
        <v>24836454</v>
      </c>
      <c r="O62" s="40">
        <v>5211317</v>
      </c>
      <c r="P62" s="40">
        <v>292906</v>
      </c>
      <c r="Q62" s="40">
        <v>155570</v>
      </c>
      <c r="R62" s="40">
        <v>15766</v>
      </c>
      <c r="S62" s="40">
        <v>68109</v>
      </c>
      <c r="T62" s="40">
        <v>316791</v>
      </c>
      <c r="U62" s="40">
        <v>124567</v>
      </c>
      <c r="V62" s="40">
        <v>575647</v>
      </c>
      <c r="W62" s="40">
        <v>19195996</v>
      </c>
      <c r="X62" s="40">
        <v>732999</v>
      </c>
      <c r="Y62" s="40">
        <v>70920</v>
      </c>
      <c r="Z62" s="40">
        <v>312236</v>
      </c>
      <c r="AA62" s="40">
        <v>2269525</v>
      </c>
      <c r="AB62" s="40">
        <v>116635</v>
      </c>
      <c r="AC62" s="40">
        <v>14925</v>
      </c>
      <c r="AD62" s="40">
        <v>15169</v>
      </c>
      <c r="AE62" s="40">
        <v>30563</v>
      </c>
      <c r="AF62" s="40">
        <v>740</v>
      </c>
      <c r="AG62" s="40">
        <v>178742</v>
      </c>
      <c r="AH62" s="40">
        <v>137810</v>
      </c>
      <c r="AI62" s="40">
        <v>18367</v>
      </c>
      <c r="AJ62" s="40">
        <v>45525</v>
      </c>
      <c r="AK62" s="40">
        <v>3588440</v>
      </c>
      <c r="AL62" s="40">
        <v>921488</v>
      </c>
      <c r="AM62" s="40">
        <v>546915</v>
      </c>
      <c r="AN62" s="40">
        <v>50614</v>
      </c>
      <c r="AO62" s="40">
        <v>827952</v>
      </c>
      <c r="AP62" s="40">
        <v>5538274</v>
      </c>
      <c r="AQ62" s="40">
        <v>2269106</v>
      </c>
      <c r="AR62" s="40">
        <v>979053</v>
      </c>
      <c r="AS62" s="40">
        <v>2511107</v>
      </c>
      <c r="AT62" s="40">
        <v>34420915</v>
      </c>
      <c r="AU62" s="40">
        <v>31990829</v>
      </c>
      <c r="AV62" s="40">
        <v>233250059</v>
      </c>
      <c r="AW62" s="40">
        <v>76813985</v>
      </c>
      <c r="AX62" s="40">
        <v>65681083</v>
      </c>
      <c r="AY62" s="40">
        <v>1246580</v>
      </c>
      <c r="AZ62" s="40">
        <v>2865912</v>
      </c>
      <c r="BA62" s="40">
        <v>16392030</v>
      </c>
      <c r="BB62" s="40">
        <v>815703</v>
      </c>
      <c r="BC62" s="40">
        <v>13628686</v>
      </c>
      <c r="BD62" s="40">
        <v>28447397</v>
      </c>
      <c r="BE62" s="40">
        <v>33890619</v>
      </c>
      <c r="BF62" s="40">
        <v>14211735</v>
      </c>
      <c r="BG62" s="40">
        <v>58040622</v>
      </c>
      <c r="BH62" s="40">
        <v>33904300</v>
      </c>
      <c r="BI62" s="40">
        <v>24149242</v>
      </c>
      <c r="BJ62" s="40">
        <v>1276367160</v>
      </c>
      <c r="BK62" s="40">
        <v>108011733</v>
      </c>
      <c r="BL62" s="40">
        <v>45332487</v>
      </c>
      <c r="BM62" s="40">
        <v>205508001</v>
      </c>
      <c r="BN62" s="40">
        <v>204956450</v>
      </c>
      <c r="BO62" s="40">
        <v>83047492</v>
      </c>
      <c r="BP62" s="40">
        <v>185070</v>
      </c>
      <c r="BQ62" s="40">
        <v>1358353</v>
      </c>
      <c r="BR62" s="40">
        <v>71318593</v>
      </c>
      <c r="BS62" s="40">
        <v>0</v>
      </c>
      <c r="BT62" s="40">
        <v>2906905355</v>
      </c>
      <c r="BU62" s="40">
        <v>1578102562</v>
      </c>
      <c r="BV62" s="40">
        <v>33575800</v>
      </c>
      <c r="BW62" s="40">
        <v>0</v>
      </c>
      <c r="BX62" s="40">
        <v>1611678362</v>
      </c>
      <c r="BY62" s="40">
        <v>0</v>
      </c>
      <c r="BZ62" s="40">
        <v>0</v>
      </c>
      <c r="CA62" s="40">
        <v>0</v>
      </c>
      <c r="CB62" s="40">
        <v>0</v>
      </c>
      <c r="CC62" s="40">
        <v>436661686</v>
      </c>
      <c r="CD62" s="40">
        <v>2048340048</v>
      </c>
      <c r="CE62" s="40">
        <v>4955245403</v>
      </c>
      <c r="CF62" s="41"/>
      <c r="CG62" s="41"/>
      <c r="CH62" s="42"/>
    </row>
    <row r="63" spans="1:86" ht="45">
      <c r="A63" s="38">
        <v>57</v>
      </c>
      <c r="B63" s="65" t="s">
        <v>23</v>
      </c>
      <c r="C63" s="39" t="s">
        <v>138</v>
      </c>
      <c r="D63" s="40">
        <v>86696487</v>
      </c>
      <c r="E63" s="40">
        <v>63484</v>
      </c>
      <c r="F63" s="40">
        <v>49311</v>
      </c>
      <c r="G63" s="40">
        <v>275100</v>
      </c>
      <c r="H63" s="40">
        <v>159266850</v>
      </c>
      <c r="I63" s="40">
        <v>7538611</v>
      </c>
      <c r="J63" s="40">
        <v>494663</v>
      </c>
      <c r="K63" s="40">
        <v>246075</v>
      </c>
      <c r="L63" s="40">
        <v>134286</v>
      </c>
      <c r="M63" s="40">
        <v>27976</v>
      </c>
      <c r="N63" s="40">
        <v>249991</v>
      </c>
      <c r="O63" s="40">
        <v>185264</v>
      </c>
      <c r="P63" s="40">
        <v>0</v>
      </c>
      <c r="Q63" s="40">
        <v>458</v>
      </c>
      <c r="R63" s="40">
        <v>0</v>
      </c>
      <c r="S63" s="40">
        <v>0</v>
      </c>
      <c r="T63" s="40">
        <v>0</v>
      </c>
      <c r="U63" s="40">
        <v>35</v>
      </c>
      <c r="V63" s="40">
        <v>0</v>
      </c>
      <c r="W63" s="40">
        <v>21618</v>
      </c>
      <c r="X63" s="40">
        <v>13412</v>
      </c>
      <c r="Y63" s="40">
        <v>0</v>
      </c>
      <c r="Z63" s="40">
        <v>1075</v>
      </c>
      <c r="AA63" s="40">
        <v>60103</v>
      </c>
      <c r="AB63" s="40">
        <v>156464</v>
      </c>
      <c r="AC63" s="40">
        <v>0</v>
      </c>
      <c r="AD63" s="40">
        <v>401</v>
      </c>
      <c r="AE63" s="40">
        <v>562306</v>
      </c>
      <c r="AF63" s="40">
        <v>0</v>
      </c>
      <c r="AG63" s="40">
        <v>968</v>
      </c>
      <c r="AH63" s="40">
        <v>3867</v>
      </c>
      <c r="AI63" s="40">
        <v>1256</v>
      </c>
      <c r="AJ63" s="40">
        <v>2629</v>
      </c>
      <c r="AK63" s="40">
        <v>0</v>
      </c>
      <c r="AL63" s="40">
        <v>15841</v>
      </c>
      <c r="AM63" s="40">
        <v>404</v>
      </c>
      <c r="AN63" s="40">
        <v>19</v>
      </c>
      <c r="AO63" s="40">
        <v>106923</v>
      </c>
      <c r="AP63" s="40">
        <v>419700</v>
      </c>
      <c r="AQ63" s="40">
        <v>254712</v>
      </c>
      <c r="AR63" s="40">
        <v>107168</v>
      </c>
      <c r="AS63" s="40">
        <v>107926</v>
      </c>
      <c r="AT63" s="40">
        <v>415788</v>
      </c>
      <c r="AU63" s="40">
        <v>2184156</v>
      </c>
      <c r="AV63" s="40">
        <v>171442025</v>
      </c>
      <c r="AW63" s="40">
        <v>37742089</v>
      </c>
      <c r="AX63" s="40">
        <v>66797811</v>
      </c>
      <c r="AY63" s="40">
        <v>764109</v>
      </c>
      <c r="AZ63" s="40">
        <v>7534038</v>
      </c>
      <c r="BA63" s="40">
        <v>5120152</v>
      </c>
      <c r="BB63" s="40">
        <v>44334</v>
      </c>
      <c r="BC63" s="40">
        <v>125356</v>
      </c>
      <c r="BD63" s="40">
        <v>42262</v>
      </c>
      <c r="BE63" s="40">
        <v>124673706</v>
      </c>
      <c r="BF63" s="40">
        <v>3390948</v>
      </c>
      <c r="BG63" s="40">
        <v>214114187</v>
      </c>
      <c r="BH63" s="40">
        <v>64409861</v>
      </c>
      <c r="BI63" s="40">
        <v>676726</v>
      </c>
      <c r="BJ63" s="40">
        <v>16234259</v>
      </c>
      <c r="BK63" s="40">
        <v>3625466</v>
      </c>
      <c r="BL63" s="40">
        <v>70036475</v>
      </c>
      <c r="BM63" s="40">
        <v>18038917</v>
      </c>
      <c r="BN63" s="40">
        <v>180369</v>
      </c>
      <c r="BO63" s="40">
        <v>1210</v>
      </c>
      <c r="BP63" s="40">
        <v>14304</v>
      </c>
      <c r="BQ63" s="40">
        <v>83772935</v>
      </c>
      <c r="BR63" s="40">
        <v>18309578</v>
      </c>
      <c r="BS63" s="40">
        <v>0</v>
      </c>
      <c r="BT63" s="40">
        <v>1166756444</v>
      </c>
      <c r="BU63" s="40">
        <v>543632470</v>
      </c>
      <c r="BV63" s="40">
        <v>0</v>
      </c>
      <c r="BW63" s="40">
        <v>0</v>
      </c>
      <c r="BX63" s="40">
        <v>543632470</v>
      </c>
      <c r="BY63" s="40">
        <v>0</v>
      </c>
      <c r="BZ63" s="40">
        <v>0</v>
      </c>
      <c r="CA63" s="40">
        <v>0</v>
      </c>
      <c r="CB63" s="40">
        <v>0</v>
      </c>
      <c r="CC63" s="40">
        <v>124623107</v>
      </c>
      <c r="CD63" s="40">
        <v>668255577</v>
      </c>
      <c r="CE63" s="40">
        <v>1835012021</v>
      </c>
      <c r="CF63" s="41"/>
      <c r="CG63" s="41"/>
      <c r="CH63" s="42"/>
    </row>
    <row r="64" spans="1:86" ht="33.75">
      <c r="A64" s="38">
        <v>58</v>
      </c>
      <c r="B64" s="65" t="s">
        <v>22</v>
      </c>
      <c r="C64" s="39" t="s">
        <v>139</v>
      </c>
      <c r="D64" s="40">
        <v>32503</v>
      </c>
      <c r="E64" s="40">
        <v>0</v>
      </c>
      <c r="F64" s="40">
        <v>0</v>
      </c>
      <c r="G64" s="40">
        <v>0</v>
      </c>
      <c r="H64" s="40">
        <v>38789989</v>
      </c>
      <c r="I64" s="40">
        <v>1800956</v>
      </c>
      <c r="J64" s="40">
        <v>0</v>
      </c>
      <c r="K64" s="40">
        <v>6312</v>
      </c>
      <c r="L64" s="40">
        <v>0</v>
      </c>
      <c r="M64" s="40">
        <v>111</v>
      </c>
      <c r="N64" s="40">
        <v>22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T64" s="40">
        <v>0</v>
      </c>
      <c r="U64" s="40">
        <v>90</v>
      </c>
      <c r="V64" s="40">
        <v>0</v>
      </c>
      <c r="W64" s="40">
        <v>0</v>
      </c>
      <c r="X64" s="40">
        <v>40</v>
      </c>
      <c r="Y64" s="40">
        <v>0</v>
      </c>
      <c r="Z64" s="40">
        <v>25</v>
      </c>
      <c r="AA64" s="40">
        <v>663</v>
      </c>
      <c r="AB64" s="40">
        <v>0</v>
      </c>
      <c r="AC64" s="40">
        <v>0</v>
      </c>
      <c r="AD64" s="40">
        <v>0</v>
      </c>
      <c r="AE64" s="40">
        <v>0</v>
      </c>
      <c r="AF64" s="40">
        <v>93</v>
      </c>
      <c r="AG64" s="40">
        <v>0</v>
      </c>
      <c r="AH64" s="40">
        <v>0</v>
      </c>
      <c r="AI64" s="40">
        <v>4</v>
      </c>
      <c r="AJ64" s="40">
        <v>0</v>
      </c>
      <c r="AK64" s="40">
        <v>0</v>
      </c>
      <c r="AL64" s="40">
        <v>0</v>
      </c>
      <c r="AM64" s="40">
        <v>1040</v>
      </c>
      <c r="AN64" s="40">
        <v>0</v>
      </c>
      <c r="AO64" s="40">
        <v>845</v>
      </c>
      <c r="AP64" s="40">
        <v>594</v>
      </c>
      <c r="AQ64" s="40">
        <v>0</v>
      </c>
      <c r="AR64" s="40">
        <v>11</v>
      </c>
      <c r="AS64" s="40">
        <v>749</v>
      </c>
      <c r="AT64" s="40">
        <v>163163</v>
      </c>
      <c r="AU64" s="40">
        <v>597425</v>
      </c>
      <c r="AV64" s="40">
        <v>141939747</v>
      </c>
      <c r="AW64" s="40">
        <v>71515437</v>
      </c>
      <c r="AX64" s="40">
        <v>48638</v>
      </c>
      <c r="AY64" s="40">
        <v>0</v>
      </c>
      <c r="AZ64" s="40">
        <v>782</v>
      </c>
      <c r="BA64" s="40">
        <v>776408</v>
      </c>
      <c r="BB64" s="40">
        <v>0</v>
      </c>
      <c r="BC64" s="40">
        <v>66066</v>
      </c>
      <c r="BD64" s="40">
        <v>0</v>
      </c>
      <c r="BE64" s="40">
        <v>28482</v>
      </c>
      <c r="BF64" s="40">
        <v>24591</v>
      </c>
      <c r="BG64" s="40">
        <v>186387234</v>
      </c>
      <c r="BH64" s="40">
        <v>75086204</v>
      </c>
      <c r="BI64" s="40">
        <v>2509860</v>
      </c>
      <c r="BJ64" s="40">
        <v>16111</v>
      </c>
      <c r="BK64" s="40">
        <v>27410220</v>
      </c>
      <c r="BL64" s="40">
        <v>4670</v>
      </c>
      <c r="BM64" s="40">
        <v>127362</v>
      </c>
      <c r="BN64" s="40">
        <v>71</v>
      </c>
      <c r="BO64" s="40">
        <v>0</v>
      </c>
      <c r="BP64" s="40">
        <v>4532</v>
      </c>
      <c r="BQ64" s="40">
        <v>927</v>
      </c>
      <c r="BR64" s="40">
        <v>852751</v>
      </c>
      <c r="BS64" s="40">
        <v>0</v>
      </c>
      <c r="BT64" s="40">
        <v>548194728</v>
      </c>
      <c r="BU64" s="40">
        <v>0</v>
      </c>
      <c r="BV64" s="40">
        <v>0</v>
      </c>
      <c r="BW64" s="40">
        <v>0</v>
      </c>
      <c r="BX64" s="40">
        <v>0</v>
      </c>
      <c r="BY64" s="40">
        <v>0</v>
      </c>
      <c r="BZ64" s="40">
        <v>0</v>
      </c>
      <c r="CA64" s="40">
        <v>0</v>
      </c>
      <c r="CB64" s="40">
        <v>0</v>
      </c>
      <c r="CC64" s="40">
        <v>0</v>
      </c>
      <c r="CD64" s="40">
        <v>0</v>
      </c>
      <c r="CE64" s="40">
        <v>548194728</v>
      </c>
      <c r="CF64" s="41"/>
      <c r="CG64" s="41"/>
      <c r="CH64" s="42"/>
    </row>
    <row r="65" spans="1:86" ht="22.5">
      <c r="A65" s="38">
        <v>59</v>
      </c>
      <c r="B65" s="65" t="s">
        <v>21</v>
      </c>
      <c r="C65" s="39" t="s">
        <v>20</v>
      </c>
      <c r="D65" s="40">
        <v>3996281</v>
      </c>
      <c r="E65" s="40">
        <v>69</v>
      </c>
      <c r="F65" s="40">
        <v>0</v>
      </c>
      <c r="G65" s="40">
        <v>5995</v>
      </c>
      <c r="H65" s="40">
        <v>758857</v>
      </c>
      <c r="I65" s="40">
        <v>34266</v>
      </c>
      <c r="J65" s="40">
        <v>19825</v>
      </c>
      <c r="K65" s="40">
        <v>50547</v>
      </c>
      <c r="L65" s="40">
        <v>99877</v>
      </c>
      <c r="M65" s="40">
        <v>165567</v>
      </c>
      <c r="N65" s="40">
        <v>1306453</v>
      </c>
      <c r="O65" s="40">
        <v>2787636</v>
      </c>
      <c r="P65" s="40">
        <v>659</v>
      </c>
      <c r="Q65" s="40">
        <v>15994</v>
      </c>
      <c r="R65" s="40">
        <v>2839</v>
      </c>
      <c r="S65" s="40">
        <v>0</v>
      </c>
      <c r="T65" s="40">
        <v>398139</v>
      </c>
      <c r="U65" s="40">
        <v>642</v>
      </c>
      <c r="V65" s="40">
        <v>0</v>
      </c>
      <c r="W65" s="40">
        <v>1644</v>
      </c>
      <c r="X65" s="40">
        <v>49709</v>
      </c>
      <c r="Y65" s="40">
        <v>144375</v>
      </c>
      <c r="Z65" s="40">
        <v>31358</v>
      </c>
      <c r="AA65" s="40">
        <v>155182</v>
      </c>
      <c r="AB65" s="40">
        <v>9757</v>
      </c>
      <c r="AC65" s="40">
        <v>0</v>
      </c>
      <c r="AD65" s="40">
        <v>1440</v>
      </c>
      <c r="AE65" s="40">
        <v>25942</v>
      </c>
      <c r="AF65" s="40">
        <v>0</v>
      </c>
      <c r="AG65" s="40">
        <v>43199</v>
      </c>
      <c r="AH65" s="40">
        <v>18972</v>
      </c>
      <c r="AI65" s="40">
        <v>6569</v>
      </c>
      <c r="AJ65" s="40">
        <v>2758</v>
      </c>
      <c r="AK65" s="40">
        <v>151335</v>
      </c>
      <c r="AL65" s="40">
        <v>2398</v>
      </c>
      <c r="AM65" s="40">
        <v>172170</v>
      </c>
      <c r="AN65" s="40">
        <v>1204</v>
      </c>
      <c r="AO65" s="40">
        <v>401537</v>
      </c>
      <c r="AP65" s="40">
        <v>118647</v>
      </c>
      <c r="AQ65" s="40">
        <v>3621</v>
      </c>
      <c r="AR65" s="40">
        <v>26595</v>
      </c>
      <c r="AS65" s="40">
        <v>407845</v>
      </c>
      <c r="AT65" s="40">
        <v>4832853</v>
      </c>
      <c r="AU65" s="40">
        <v>17738301</v>
      </c>
      <c r="AV65" s="40">
        <v>91223537</v>
      </c>
      <c r="AW65" s="40">
        <v>218069715</v>
      </c>
      <c r="AX65" s="40">
        <v>8222446</v>
      </c>
      <c r="AY65" s="40">
        <v>13794</v>
      </c>
      <c r="AZ65" s="40">
        <v>10490507</v>
      </c>
      <c r="BA65" s="40">
        <v>9292252</v>
      </c>
      <c r="BB65" s="40">
        <v>350923</v>
      </c>
      <c r="BC65" s="40">
        <v>9208738</v>
      </c>
      <c r="BD65" s="40">
        <v>9507882</v>
      </c>
      <c r="BE65" s="40">
        <v>105383456</v>
      </c>
      <c r="BF65" s="40">
        <v>12284596</v>
      </c>
      <c r="BG65" s="40">
        <v>164832139</v>
      </c>
      <c r="BH65" s="40">
        <v>161146340</v>
      </c>
      <c r="BI65" s="40">
        <v>125249110</v>
      </c>
      <c r="BJ65" s="40">
        <v>112845585</v>
      </c>
      <c r="BK65" s="40">
        <v>77293488</v>
      </c>
      <c r="BL65" s="40">
        <v>63700579</v>
      </c>
      <c r="BM65" s="40">
        <v>117300879</v>
      </c>
      <c r="BN65" s="40">
        <v>146426489</v>
      </c>
      <c r="BO65" s="40">
        <v>19769292</v>
      </c>
      <c r="BP65" s="40">
        <v>13712638</v>
      </c>
      <c r="BQ65" s="40">
        <v>130353137</v>
      </c>
      <c r="BR65" s="40">
        <v>720663008</v>
      </c>
      <c r="BS65" s="40">
        <v>0</v>
      </c>
      <c r="BT65" s="40">
        <v>2361331587</v>
      </c>
      <c r="BU65" s="40">
        <v>14038899340</v>
      </c>
      <c r="BV65" s="40">
        <v>0</v>
      </c>
      <c r="BW65" s="40">
        <v>0</v>
      </c>
      <c r="BX65" s="40">
        <v>14038899340</v>
      </c>
      <c r="BY65" s="40">
        <v>0</v>
      </c>
      <c r="BZ65" s="40">
        <v>0</v>
      </c>
      <c r="CA65" s="40">
        <v>0</v>
      </c>
      <c r="CB65" s="40">
        <v>0</v>
      </c>
      <c r="CC65" s="40">
        <v>67882265</v>
      </c>
      <c r="CD65" s="40">
        <v>14106781605</v>
      </c>
      <c r="CE65" s="40">
        <v>16468113192</v>
      </c>
      <c r="CF65" s="41"/>
      <c r="CG65" s="41"/>
      <c r="CH65" s="42"/>
    </row>
    <row r="66" spans="1:86" ht="22.5">
      <c r="A66" s="38">
        <v>60</v>
      </c>
      <c r="B66" s="65" t="s">
        <v>160</v>
      </c>
      <c r="C66" s="39" t="s">
        <v>159</v>
      </c>
      <c r="D66" s="40">
        <v>129617569</v>
      </c>
      <c r="E66" s="40">
        <v>156</v>
      </c>
      <c r="F66" s="40">
        <v>0</v>
      </c>
      <c r="G66" s="40">
        <v>19564</v>
      </c>
      <c r="H66" s="40">
        <v>204195059</v>
      </c>
      <c r="I66" s="40">
        <v>9677346</v>
      </c>
      <c r="J66" s="40">
        <v>177279</v>
      </c>
      <c r="K66" s="40">
        <v>1520251</v>
      </c>
      <c r="L66" s="40">
        <v>96790</v>
      </c>
      <c r="M66" s="40">
        <v>565868</v>
      </c>
      <c r="N66" s="40">
        <v>3749258</v>
      </c>
      <c r="O66" s="40">
        <v>0</v>
      </c>
      <c r="P66" s="40">
        <v>84053</v>
      </c>
      <c r="Q66" s="40">
        <v>2633</v>
      </c>
      <c r="R66" s="40">
        <v>1431</v>
      </c>
      <c r="S66" s="40">
        <v>0</v>
      </c>
      <c r="T66" s="40">
        <v>7</v>
      </c>
      <c r="U66" s="40">
        <v>75051</v>
      </c>
      <c r="V66" s="40">
        <v>326666</v>
      </c>
      <c r="W66" s="40">
        <v>230248</v>
      </c>
      <c r="X66" s="40">
        <v>28849</v>
      </c>
      <c r="Y66" s="40">
        <v>5173</v>
      </c>
      <c r="Z66" s="40">
        <v>6879</v>
      </c>
      <c r="AA66" s="40">
        <v>23507</v>
      </c>
      <c r="AB66" s="40">
        <v>478686</v>
      </c>
      <c r="AC66" s="40">
        <v>313</v>
      </c>
      <c r="AD66" s="40">
        <v>1286</v>
      </c>
      <c r="AE66" s="40">
        <v>61447</v>
      </c>
      <c r="AF66" s="40">
        <v>0</v>
      </c>
      <c r="AG66" s="40">
        <v>7335</v>
      </c>
      <c r="AH66" s="40">
        <v>427955</v>
      </c>
      <c r="AI66" s="40">
        <v>4281</v>
      </c>
      <c r="AJ66" s="40">
        <v>5166</v>
      </c>
      <c r="AK66" s="40">
        <v>17603</v>
      </c>
      <c r="AL66" s="40">
        <v>43338</v>
      </c>
      <c r="AM66" s="40">
        <v>22212</v>
      </c>
      <c r="AN66" s="40">
        <v>3435</v>
      </c>
      <c r="AO66" s="40">
        <v>609899</v>
      </c>
      <c r="AP66" s="40">
        <v>1322870</v>
      </c>
      <c r="AQ66" s="40">
        <v>32269</v>
      </c>
      <c r="AR66" s="40">
        <v>33920</v>
      </c>
      <c r="AS66" s="40">
        <v>531498</v>
      </c>
      <c r="AT66" s="40">
        <v>86268628</v>
      </c>
      <c r="AU66" s="40">
        <v>62102596</v>
      </c>
      <c r="AV66" s="40">
        <v>1326842009</v>
      </c>
      <c r="AW66" s="40">
        <v>624055898</v>
      </c>
      <c r="AX66" s="40">
        <v>66737862</v>
      </c>
      <c r="AY66" s="40">
        <v>145747</v>
      </c>
      <c r="AZ66" s="40">
        <v>320390</v>
      </c>
      <c r="BA66" s="40">
        <v>7271036</v>
      </c>
      <c r="BB66" s="40">
        <v>134414</v>
      </c>
      <c r="BC66" s="40">
        <v>3064013</v>
      </c>
      <c r="BD66" s="40">
        <v>8754389</v>
      </c>
      <c r="BE66" s="40">
        <v>144466959</v>
      </c>
      <c r="BF66" s="40">
        <v>53042882</v>
      </c>
      <c r="BG66" s="40">
        <v>47413431</v>
      </c>
      <c r="BH66" s="40">
        <v>21301292</v>
      </c>
      <c r="BI66" s="40">
        <v>28534770</v>
      </c>
      <c r="BJ66" s="40">
        <v>146064617</v>
      </c>
      <c r="BK66" s="40">
        <v>206832902</v>
      </c>
      <c r="BL66" s="40">
        <v>181542075</v>
      </c>
      <c r="BM66" s="40">
        <v>989160872</v>
      </c>
      <c r="BN66" s="40">
        <v>79680275</v>
      </c>
      <c r="BO66" s="40">
        <v>26585172</v>
      </c>
      <c r="BP66" s="40">
        <v>4620777</v>
      </c>
      <c r="BQ66" s="40">
        <v>73340032</v>
      </c>
      <c r="BR66" s="40">
        <v>98216825</v>
      </c>
      <c r="BS66" s="40">
        <v>0</v>
      </c>
      <c r="BT66" s="40">
        <v>4640507013</v>
      </c>
      <c r="BU66" s="40">
        <v>29163484</v>
      </c>
      <c r="BV66" s="40">
        <v>21901062</v>
      </c>
      <c r="BW66" s="40">
        <v>0</v>
      </c>
      <c r="BX66" s="40">
        <v>51064546</v>
      </c>
      <c r="BY66" s="40">
        <v>2086702890</v>
      </c>
      <c r="BZ66" s="40">
        <v>-43208</v>
      </c>
      <c r="CA66" s="40">
        <v>0</v>
      </c>
      <c r="CB66" s="40">
        <v>2086659682</v>
      </c>
      <c r="CC66" s="40">
        <v>197210208</v>
      </c>
      <c r="CD66" s="40">
        <v>2334934436</v>
      </c>
      <c r="CE66" s="40">
        <v>6975441449</v>
      </c>
      <c r="CF66" s="41"/>
      <c r="CG66" s="41"/>
      <c r="CH66" s="42"/>
    </row>
    <row r="67" spans="1:86" ht="22.5">
      <c r="A67" s="38">
        <v>61</v>
      </c>
      <c r="B67" s="65" t="s">
        <v>158</v>
      </c>
      <c r="C67" s="39" t="s">
        <v>157</v>
      </c>
      <c r="D67" s="40">
        <v>38741637</v>
      </c>
      <c r="E67" s="40">
        <v>920</v>
      </c>
      <c r="F67" s="40">
        <v>0</v>
      </c>
      <c r="G67" s="40">
        <v>3730549</v>
      </c>
      <c r="H67" s="40">
        <v>196847202</v>
      </c>
      <c r="I67" s="40">
        <v>19486459</v>
      </c>
      <c r="J67" s="40">
        <v>35301</v>
      </c>
      <c r="K67" s="40">
        <v>1246077</v>
      </c>
      <c r="L67" s="40">
        <v>26279743</v>
      </c>
      <c r="M67" s="40">
        <v>1244263</v>
      </c>
      <c r="N67" s="40">
        <v>9217385</v>
      </c>
      <c r="O67" s="40">
        <v>26490399</v>
      </c>
      <c r="P67" s="40">
        <v>2451</v>
      </c>
      <c r="Q67" s="40">
        <v>28650</v>
      </c>
      <c r="R67" s="40">
        <v>6389</v>
      </c>
      <c r="S67" s="40">
        <v>0</v>
      </c>
      <c r="T67" s="40">
        <v>31437</v>
      </c>
      <c r="U67" s="40">
        <v>5713</v>
      </c>
      <c r="V67" s="40">
        <v>0</v>
      </c>
      <c r="W67" s="40">
        <v>4766002</v>
      </c>
      <c r="X67" s="40">
        <v>280727</v>
      </c>
      <c r="Y67" s="40">
        <v>10951</v>
      </c>
      <c r="Z67" s="40">
        <v>1222</v>
      </c>
      <c r="AA67" s="40">
        <v>122071</v>
      </c>
      <c r="AB67" s="40">
        <v>72034</v>
      </c>
      <c r="AC67" s="40">
        <v>2256</v>
      </c>
      <c r="AD67" s="40">
        <v>3749</v>
      </c>
      <c r="AE67" s="40">
        <v>252631</v>
      </c>
      <c r="AF67" s="40">
        <v>32369</v>
      </c>
      <c r="AG67" s="40">
        <v>7802</v>
      </c>
      <c r="AH67" s="40">
        <v>1012</v>
      </c>
      <c r="AI67" s="40">
        <v>4766</v>
      </c>
      <c r="AJ67" s="40">
        <v>3267</v>
      </c>
      <c r="AK67" s="40">
        <v>35474</v>
      </c>
      <c r="AL67" s="40">
        <v>38531</v>
      </c>
      <c r="AM67" s="40">
        <v>66569</v>
      </c>
      <c r="AN67" s="40">
        <v>1208</v>
      </c>
      <c r="AO67" s="40">
        <v>1513203</v>
      </c>
      <c r="AP67" s="40">
        <v>1700936</v>
      </c>
      <c r="AQ67" s="40">
        <v>6275</v>
      </c>
      <c r="AR67" s="40">
        <v>78135</v>
      </c>
      <c r="AS67" s="40">
        <v>2034576</v>
      </c>
      <c r="AT67" s="40">
        <v>23959453</v>
      </c>
      <c r="AU67" s="40">
        <v>10913546</v>
      </c>
      <c r="AV67" s="40">
        <v>439536420</v>
      </c>
      <c r="AW67" s="40">
        <v>462185012</v>
      </c>
      <c r="AX67" s="40">
        <v>173891123</v>
      </c>
      <c r="AY67" s="40">
        <v>890328</v>
      </c>
      <c r="AZ67" s="40">
        <v>9483258</v>
      </c>
      <c r="BA67" s="40">
        <v>3924635</v>
      </c>
      <c r="BB67" s="40">
        <v>76903</v>
      </c>
      <c r="BC67" s="40">
        <v>4098403</v>
      </c>
      <c r="BD67" s="40">
        <v>1272769</v>
      </c>
      <c r="BE67" s="40">
        <v>77234207</v>
      </c>
      <c r="BF67" s="40">
        <v>27875717</v>
      </c>
      <c r="BG67" s="40">
        <v>143961411</v>
      </c>
      <c r="BH67" s="40">
        <v>19066963</v>
      </c>
      <c r="BI67" s="40">
        <v>34822176</v>
      </c>
      <c r="BJ67" s="40">
        <v>149261814</v>
      </c>
      <c r="BK67" s="40">
        <v>459784161</v>
      </c>
      <c r="BL67" s="40">
        <v>100695392</v>
      </c>
      <c r="BM67" s="40">
        <v>938271622</v>
      </c>
      <c r="BN67" s="40">
        <v>171332042</v>
      </c>
      <c r="BO67" s="40">
        <v>42696671</v>
      </c>
      <c r="BP67" s="40">
        <v>1338120</v>
      </c>
      <c r="BQ67" s="40">
        <v>218810768</v>
      </c>
      <c r="BR67" s="40">
        <v>65702460</v>
      </c>
      <c r="BS67" s="40">
        <v>0</v>
      </c>
      <c r="BT67" s="40">
        <v>3915515715</v>
      </c>
      <c r="BU67" s="40">
        <v>665144127</v>
      </c>
      <c r="BV67" s="40">
        <v>0</v>
      </c>
      <c r="BW67" s="40">
        <v>0</v>
      </c>
      <c r="BX67" s="40">
        <v>665144127</v>
      </c>
      <c r="BY67" s="40">
        <v>0</v>
      </c>
      <c r="BZ67" s="40">
        <v>0</v>
      </c>
      <c r="CA67" s="40">
        <v>0</v>
      </c>
      <c r="CB67" s="40">
        <v>0</v>
      </c>
      <c r="CC67" s="40">
        <v>64332535</v>
      </c>
      <c r="CD67" s="40">
        <v>729476662</v>
      </c>
      <c r="CE67" s="40">
        <v>4644992377</v>
      </c>
      <c r="CF67" s="41"/>
      <c r="CG67" s="41"/>
      <c r="CH67" s="42"/>
    </row>
    <row r="68" spans="1:86" ht="33.75">
      <c r="A68" s="38">
        <v>62</v>
      </c>
      <c r="B68" s="65" t="s">
        <v>19</v>
      </c>
      <c r="C68" s="39" t="s">
        <v>18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40">
        <v>0</v>
      </c>
      <c r="AJ68" s="40">
        <v>0</v>
      </c>
      <c r="AK68" s="40">
        <v>0</v>
      </c>
      <c r="AL68" s="40">
        <v>0</v>
      </c>
      <c r="AM68" s="40">
        <v>0</v>
      </c>
      <c r="AN68" s="40">
        <v>0</v>
      </c>
      <c r="AO68" s="40">
        <v>0</v>
      </c>
      <c r="AP68" s="40">
        <v>0</v>
      </c>
      <c r="AQ68" s="40">
        <v>0</v>
      </c>
      <c r="AR68" s="40">
        <v>0</v>
      </c>
      <c r="AS68" s="40">
        <v>0</v>
      </c>
      <c r="AT68" s="40">
        <v>0</v>
      </c>
      <c r="AU68" s="40">
        <v>0</v>
      </c>
      <c r="AV68" s="40">
        <v>0</v>
      </c>
      <c r="AW68" s="40">
        <v>0</v>
      </c>
      <c r="AX68" s="40">
        <v>0</v>
      </c>
      <c r="AY68" s="40">
        <v>0</v>
      </c>
      <c r="AZ68" s="40">
        <v>0</v>
      </c>
      <c r="BA68" s="40">
        <v>0</v>
      </c>
      <c r="BB68" s="40">
        <v>0</v>
      </c>
      <c r="BC68" s="40">
        <v>0</v>
      </c>
      <c r="BD68" s="40">
        <v>0</v>
      </c>
      <c r="BE68" s="40">
        <v>0</v>
      </c>
      <c r="BF68" s="40">
        <v>0</v>
      </c>
      <c r="BG68" s="40">
        <v>0</v>
      </c>
      <c r="BH68" s="40">
        <v>0</v>
      </c>
      <c r="BI68" s="40">
        <v>0</v>
      </c>
      <c r="BJ68" s="40">
        <v>0</v>
      </c>
      <c r="BK68" s="40">
        <v>0</v>
      </c>
      <c r="BL68" s="40">
        <v>0</v>
      </c>
      <c r="BM68" s="40">
        <v>0</v>
      </c>
      <c r="BN68" s="40">
        <v>0</v>
      </c>
      <c r="BO68" s="40">
        <v>0</v>
      </c>
      <c r="BP68" s="40">
        <v>0</v>
      </c>
      <c r="BQ68" s="40">
        <v>0</v>
      </c>
      <c r="BR68" s="40">
        <v>0</v>
      </c>
      <c r="BS68" s="40">
        <v>0</v>
      </c>
      <c r="BT68" s="40">
        <v>0</v>
      </c>
      <c r="BU68" s="40">
        <v>0</v>
      </c>
      <c r="BV68" s="40">
        <v>7183532954</v>
      </c>
      <c r="BW68" s="40">
        <v>0</v>
      </c>
      <c r="BX68" s="40">
        <v>7183532954</v>
      </c>
      <c r="BY68" s="40">
        <v>0</v>
      </c>
      <c r="BZ68" s="40">
        <v>0</v>
      </c>
      <c r="CA68" s="40">
        <v>0</v>
      </c>
      <c r="CB68" s="40">
        <v>0</v>
      </c>
      <c r="CC68" s="40">
        <v>0</v>
      </c>
      <c r="CD68" s="40">
        <v>7183532954</v>
      </c>
      <c r="CE68" s="40">
        <v>7183532954</v>
      </c>
      <c r="CF68" s="41"/>
      <c r="CG68" s="41"/>
      <c r="CH68" s="42"/>
    </row>
    <row r="69" spans="1:86">
      <c r="A69" s="38">
        <v>63</v>
      </c>
      <c r="B69" s="65" t="s">
        <v>17</v>
      </c>
      <c r="C69" s="39" t="s">
        <v>16</v>
      </c>
      <c r="D69" s="40">
        <v>16268</v>
      </c>
      <c r="E69" s="40">
        <v>38</v>
      </c>
      <c r="F69" s="40">
        <v>0</v>
      </c>
      <c r="G69" s="40">
        <v>1024</v>
      </c>
      <c r="H69" s="40">
        <v>492603</v>
      </c>
      <c r="I69" s="40">
        <v>23215</v>
      </c>
      <c r="J69" s="40">
        <v>60</v>
      </c>
      <c r="K69" s="40">
        <v>5051</v>
      </c>
      <c r="L69" s="40">
        <v>1533</v>
      </c>
      <c r="M69" s="40">
        <v>17993</v>
      </c>
      <c r="N69" s="40">
        <v>38087</v>
      </c>
      <c r="O69" s="40">
        <v>1708393</v>
      </c>
      <c r="P69" s="40">
        <v>0</v>
      </c>
      <c r="Q69" s="40">
        <v>391</v>
      </c>
      <c r="R69" s="40">
        <v>0</v>
      </c>
      <c r="S69" s="40">
        <v>0</v>
      </c>
      <c r="T69" s="40">
        <v>0</v>
      </c>
      <c r="U69" s="40">
        <v>0</v>
      </c>
      <c r="V69" s="40">
        <v>0</v>
      </c>
      <c r="W69" s="40">
        <v>0</v>
      </c>
      <c r="X69" s="40">
        <v>3715</v>
      </c>
      <c r="Y69" s="40">
        <v>0</v>
      </c>
      <c r="Z69" s="40">
        <v>104</v>
      </c>
      <c r="AA69" s="40">
        <v>590</v>
      </c>
      <c r="AB69" s="40">
        <v>6001</v>
      </c>
      <c r="AC69" s="40">
        <v>117</v>
      </c>
      <c r="AD69" s="40">
        <v>0</v>
      </c>
      <c r="AE69" s="40">
        <v>58</v>
      </c>
      <c r="AF69" s="40">
        <v>0</v>
      </c>
      <c r="AG69" s="40">
        <v>0</v>
      </c>
      <c r="AH69" s="40">
        <v>0</v>
      </c>
      <c r="AI69" s="40">
        <v>14</v>
      </c>
      <c r="AJ69" s="40">
        <v>192</v>
      </c>
      <c r="AK69" s="40">
        <v>5</v>
      </c>
      <c r="AL69" s="40">
        <v>0</v>
      </c>
      <c r="AM69" s="40">
        <v>0</v>
      </c>
      <c r="AN69" s="40">
        <v>82</v>
      </c>
      <c r="AO69" s="40">
        <v>941</v>
      </c>
      <c r="AP69" s="40">
        <v>10165</v>
      </c>
      <c r="AQ69" s="40">
        <v>757</v>
      </c>
      <c r="AR69" s="40">
        <v>221</v>
      </c>
      <c r="AS69" s="40">
        <v>364</v>
      </c>
      <c r="AT69" s="40">
        <v>20859</v>
      </c>
      <c r="AU69" s="40">
        <v>1039</v>
      </c>
      <c r="AV69" s="40">
        <v>16515</v>
      </c>
      <c r="AW69" s="40">
        <v>442471</v>
      </c>
      <c r="AX69" s="40">
        <v>129797</v>
      </c>
      <c r="AY69" s="40">
        <v>0</v>
      </c>
      <c r="AZ69" s="40">
        <v>809041</v>
      </c>
      <c r="BA69" s="40">
        <v>5867</v>
      </c>
      <c r="BB69" s="40">
        <v>0</v>
      </c>
      <c r="BC69" s="40">
        <v>0</v>
      </c>
      <c r="BD69" s="40">
        <v>0</v>
      </c>
      <c r="BE69" s="40">
        <v>223</v>
      </c>
      <c r="BF69" s="40">
        <v>251341</v>
      </c>
      <c r="BG69" s="40">
        <v>6129569</v>
      </c>
      <c r="BH69" s="40">
        <v>1082979</v>
      </c>
      <c r="BI69" s="40">
        <v>755984</v>
      </c>
      <c r="BJ69" s="40">
        <v>12411</v>
      </c>
      <c r="BK69" s="40">
        <v>665615</v>
      </c>
      <c r="BL69" s="40">
        <v>1554000</v>
      </c>
      <c r="BM69" s="40">
        <v>16284997</v>
      </c>
      <c r="BN69" s="40">
        <v>7559176</v>
      </c>
      <c r="BO69" s="40">
        <v>2362403</v>
      </c>
      <c r="BP69" s="40">
        <v>557889</v>
      </c>
      <c r="BQ69" s="40">
        <v>776</v>
      </c>
      <c r="BR69" s="40">
        <v>0</v>
      </c>
      <c r="BS69" s="40">
        <v>0</v>
      </c>
      <c r="BT69" s="40">
        <v>40970934</v>
      </c>
      <c r="BU69" s="40">
        <v>3468980638</v>
      </c>
      <c r="BV69" s="40">
        <v>5382766050</v>
      </c>
      <c r="BW69" s="40">
        <v>1847401</v>
      </c>
      <c r="BX69" s="40">
        <v>8853594089</v>
      </c>
      <c r="BY69" s="40">
        <v>0</v>
      </c>
      <c r="BZ69" s="40">
        <v>0</v>
      </c>
      <c r="CA69" s="40">
        <v>0</v>
      </c>
      <c r="CB69" s="40">
        <v>0</v>
      </c>
      <c r="CC69" s="40">
        <v>16730084</v>
      </c>
      <c r="CD69" s="40">
        <v>8870324173</v>
      </c>
      <c r="CE69" s="40">
        <v>8911295107</v>
      </c>
      <c r="CF69" s="41"/>
      <c r="CG69" s="41"/>
      <c r="CH69" s="42"/>
    </row>
    <row r="70" spans="1:86">
      <c r="A70" s="38">
        <v>64</v>
      </c>
      <c r="B70" s="65" t="s">
        <v>15</v>
      </c>
      <c r="C70" s="39" t="s">
        <v>14</v>
      </c>
      <c r="D70" s="40">
        <v>644</v>
      </c>
      <c r="E70" s="40">
        <v>0</v>
      </c>
      <c r="F70" s="40">
        <v>0</v>
      </c>
      <c r="G70" s="40">
        <v>95502</v>
      </c>
      <c r="H70" s="40">
        <v>649497</v>
      </c>
      <c r="I70" s="40">
        <v>30826</v>
      </c>
      <c r="J70" s="40">
        <v>0</v>
      </c>
      <c r="K70" s="40">
        <v>37858</v>
      </c>
      <c r="L70" s="40">
        <v>0</v>
      </c>
      <c r="M70" s="40">
        <v>41682</v>
      </c>
      <c r="N70" s="40">
        <v>3530</v>
      </c>
      <c r="O70" s="40">
        <v>0</v>
      </c>
      <c r="P70" s="40">
        <v>0</v>
      </c>
      <c r="Q70" s="40">
        <v>50</v>
      </c>
      <c r="R70" s="40">
        <v>654</v>
      </c>
      <c r="S70" s="40">
        <v>0</v>
      </c>
      <c r="T70" s="40">
        <v>0</v>
      </c>
      <c r="U70" s="40">
        <v>0</v>
      </c>
      <c r="V70" s="40">
        <v>0</v>
      </c>
      <c r="W70" s="40">
        <v>351885</v>
      </c>
      <c r="X70" s="40">
        <v>8787</v>
      </c>
      <c r="Y70" s="40">
        <v>0</v>
      </c>
      <c r="Z70" s="40">
        <v>86</v>
      </c>
      <c r="AA70" s="40">
        <v>2035</v>
      </c>
      <c r="AB70" s="40">
        <v>99582</v>
      </c>
      <c r="AC70" s="40">
        <v>71</v>
      </c>
      <c r="AD70" s="40">
        <v>0</v>
      </c>
      <c r="AE70" s="40">
        <v>1508</v>
      </c>
      <c r="AF70" s="40">
        <v>0</v>
      </c>
      <c r="AG70" s="40">
        <v>12</v>
      </c>
      <c r="AH70" s="40">
        <v>0</v>
      </c>
      <c r="AI70" s="40">
        <v>17</v>
      </c>
      <c r="AJ70" s="40">
        <v>30</v>
      </c>
      <c r="AK70" s="40">
        <v>0</v>
      </c>
      <c r="AL70" s="40">
        <v>0</v>
      </c>
      <c r="AM70" s="40">
        <v>0</v>
      </c>
      <c r="AN70" s="40">
        <v>1657</v>
      </c>
      <c r="AO70" s="40">
        <v>11013</v>
      </c>
      <c r="AP70" s="40">
        <v>215178</v>
      </c>
      <c r="AQ70" s="40">
        <v>7985</v>
      </c>
      <c r="AR70" s="40">
        <v>6334</v>
      </c>
      <c r="AS70" s="40">
        <v>4937</v>
      </c>
      <c r="AT70" s="40">
        <v>193404</v>
      </c>
      <c r="AU70" s="40">
        <v>6504</v>
      </c>
      <c r="AV70" s="40">
        <v>13502</v>
      </c>
      <c r="AW70" s="40">
        <v>5964</v>
      </c>
      <c r="AX70" s="40">
        <v>408074</v>
      </c>
      <c r="AY70" s="40">
        <v>0</v>
      </c>
      <c r="AZ70" s="40">
        <v>32796</v>
      </c>
      <c r="BA70" s="40">
        <v>776341</v>
      </c>
      <c r="BB70" s="40">
        <v>0</v>
      </c>
      <c r="BC70" s="40">
        <v>1155</v>
      </c>
      <c r="BD70" s="40">
        <v>188409</v>
      </c>
      <c r="BE70" s="40">
        <v>4034</v>
      </c>
      <c r="BF70" s="40">
        <v>18755</v>
      </c>
      <c r="BG70" s="40">
        <v>0</v>
      </c>
      <c r="BH70" s="40">
        <v>0</v>
      </c>
      <c r="BI70" s="40">
        <v>0</v>
      </c>
      <c r="BJ70" s="40">
        <v>491174</v>
      </c>
      <c r="BK70" s="40">
        <v>123079</v>
      </c>
      <c r="BL70" s="40">
        <v>1195640</v>
      </c>
      <c r="BM70" s="40">
        <v>0</v>
      </c>
      <c r="BN70" s="40">
        <v>0</v>
      </c>
      <c r="BO70" s="40">
        <v>0</v>
      </c>
      <c r="BP70" s="40">
        <v>0</v>
      </c>
      <c r="BQ70" s="40">
        <v>270</v>
      </c>
      <c r="BR70" s="40">
        <v>0</v>
      </c>
      <c r="BS70" s="40">
        <v>0</v>
      </c>
      <c r="BT70" s="40">
        <v>5030461</v>
      </c>
      <c r="BU70" s="40">
        <v>4438017002</v>
      </c>
      <c r="BV70" s="40">
        <v>1617598896</v>
      </c>
      <c r="BW70" s="40">
        <v>498500</v>
      </c>
      <c r="BX70" s="40">
        <v>6056114398</v>
      </c>
      <c r="BY70" s="40">
        <v>0</v>
      </c>
      <c r="BZ70" s="40">
        <v>0</v>
      </c>
      <c r="CA70" s="40">
        <v>0</v>
      </c>
      <c r="CB70" s="40">
        <v>0</v>
      </c>
      <c r="CC70" s="40">
        <v>1042999</v>
      </c>
      <c r="CD70" s="40">
        <v>6057157397</v>
      </c>
      <c r="CE70" s="40">
        <v>6062187858</v>
      </c>
      <c r="CF70" s="41"/>
      <c r="CG70" s="41"/>
      <c r="CH70" s="42"/>
    </row>
    <row r="71" spans="1:86">
      <c r="A71" s="38">
        <v>65</v>
      </c>
      <c r="B71" s="65" t="s">
        <v>13</v>
      </c>
      <c r="C71" s="39" t="s">
        <v>12</v>
      </c>
      <c r="D71" s="40">
        <v>0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 s="40">
        <v>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  <c r="AA71" s="40">
        <v>0</v>
      </c>
      <c r="AB71" s="40">
        <v>0</v>
      </c>
      <c r="AC71" s="40">
        <v>0</v>
      </c>
      <c r="AD71" s="40">
        <v>0</v>
      </c>
      <c r="AE71" s="40">
        <v>0</v>
      </c>
      <c r="AF71" s="40">
        <v>0</v>
      </c>
      <c r="AG71" s="40">
        <v>0</v>
      </c>
      <c r="AH71" s="40">
        <v>0</v>
      </c>
      <c r="AI71" s="40">
        <v>0</v>
      </c>
      <c r="AJ71" s="40">
        <v>0</v>
      </c>
      <c r="AK71" s="40">
        <v>0</v>
      </c>
      <c r="AL71" s="40">
        <v>0</v>
      </c>
      <c r="AM71" s="40">
        <v>0</v>
      </c>
      <c r="AN71" s="40">
        <v>0</v>
      </c>
      <c r="AO71" s="40">
        <v>0</v>
      </c>
      <c r="AP71" s="40">
        <v>0</v>
      </c>
      <c r="AQ71" s="40">
        <v>0</v>
      </c>
      <c r="AR71" s="40">
        <v>0</v>
      </c>
      <c r="AS71" s="40">
        <v>0</v>
      </c>
      <c r="AT71" s="40">
        <v>0</v>
      </c>
      <c r="AU71" s="40">
        <v>0</v>
      </c>
      <c r="AV71" s="40">
        <v>0</v>
      </c>
      <c r="AW71" s="40">
        <v>0</v>
      </c>
      <c r="AX71" s="40">
        <v>0</v>
      </c>
      <c r="AY71" s="40">
        <v>0</v>
      </c>
      <c r="AZ71" s="40">
        <v>0</v>
      </c>
      <c r="BA71" s="40">
        <v>0</v>
      </c>
      <c r="BB71" s="40">
        <v>0</v>
      </c>
      <c r="BC71" s="40">
        <v>0</v>
      </c>
      <c r="BD71" s="40">
        <v>0</v>
      </c>
      <c r="BE71" s="40">
        <v>0</v>
      </c>
      <c r="BF71" s="40">
        <v>0</v>
      </c>
      <c r="BG71" s="40">
        <v>0</v>
      </c>
      <c r="BH71" s="40">
        <v>0</v>
      </c>
      <c r="BI71" s="40">
        <v>0</v>
      </c>
      <c r="BJ71" s="40">
        <v>0</v>
      </c>
      <c r="BK71" s="40">
        <v>0</v>
      </c>
      <c r="BL71" s="40">
        <v>0</v>
      </c>
      <c r="BM71" s="40">
        <v>0</v>
      </c>
      <c r="BN71" s="40">
        <v>0</v>
      </c>
      <c r="BO71" s="40">
        <v>0</v>
      </c>
      <c r="BP71" s="40">
        <v>0</v>
      </c>
      <c r="BQ71" s="40">
        <v>0</v>
      </c>
      <c r="BR71" s="40">
        <v>0</v>
      </c>
      <c r="BS71" s="40">
        <v>0</v>
      </c>
      <c r="BT71" s="40">
        <v>0</v>
      </c>
      <c r="BU71" s="40">
        <v>14930141</v>
      </c>
      <c r="BV71" s="40">
        <v>104396351</v>
      </c>
      <c r="BW71" s="40">
        <v>1528000</v>
      </c>
      <c r="BX71" s="40">
        <v>120854492</v>
      </c>
      <c r="BY71" s="40">
        <v>0</v>
      </c>
      <c r="BZ71" s="40">
        <v>0</v>
      </c>
      <c r="CA71" s="40">
        <v>0</v>
      </c>
      <c r="CB71" s="40">
        <v>0</v>
      </c>
      <c r="CC71" s="40">
        <v>0</v>
      </c>
      <c r="CD71" s="40">
        <v>120854492</v>
      </c>
      <c r="CE71" s="40">
        <v>120854492</v>
      </c>
      <c r="CF71" s="41"/>
      <c r="CG71" s="41"/>
      <c r="CH71" s="42"/>
    </row>
    <row r="72" spans="1:86" ht="22.5">
      <c r="A72" s="38">
        <v>66</v>
      </c>
      <c r="B72" s="65" t="s">
        <v>93</v>
      </c>
      <c r="C72" s="39" t="s">
        <v>156</v>
      </c>
      <c r="D72" s="40">
        <v>0</v>
      </c>
      <c r="E72" s="40">
        <v>0</v>
      </c>
      <c r="F72" s="40">
        <v>0</v>
      </c>
      <c r="G72" s="40">
        <v>0</v>
      </c>
      <c r="H72" s="40">
        <v>10565</v>
      </c>
      <c r="I72" s="40">
        <v>490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T72" s="40">
        <v>0</v>
      </c>
      <c r="U72" s="40">
        <v>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0</v>
      </c>
      <c r="AD72" s="40">
        <v>0</v>
      </c>
      <c r="AE72" s="40">
        <v>0</v>
      </c>
      <c r="AF72" s="40">
        <v>0</v>
      </c>
      <c r="AG72" s="40">
        <v>0</v>
      </c>
      <c r="AH72" s="40">
        <v>0</v>
      </c>
      <c r="AI72" s="40">
        <v>0</v>
      </c>
      <c r="AJ72" s="40">
        <v>0</v>
      </c>
      <c r="AK72" s="40">
        <v>0</v>
      </c>
      <c r="AL72" s="40">
        <v>0</v>
      </c>
      <c r="AM72" s="40">
        <v>0</v>
      </c>
      <c r="AN72" s="40">
        <v>0</v>
      </c>
      <c r="AO72" s="40">
        <v>0</v>
      </c>
      <c r="AP72" s="40">
        <v>0</v>
      </c>
      <c r="AQ72" s="40">
        <v>0</v>
      </c>
      <c r="AR72" s="40">
        <v>0</v>
      </c>
      <c r="AS72" s="40">
        <v>0</v>
      </c>
      <c r="AT72" s="40">
        <v>10144</v>
      </c>
      <c r="AU72" s="40">
        <v>0</v>
      </c>
      <c r="AV72" s="40">
        <v>677</v>
      </c>
      <c r="AW72" s="40">
        <v>0</v>
      </c>
      <c r="AX72" s="40">
        <v>6191</v>
      </c>
      <c r="AY72" s="40">
        <v>0</v>
      </c>
      <c r="AZ72" s="40">
        <v>0</v>
      </c>
      <c r="BA72" s="40">
        <v>0</v>
      </c>
      <c r="BB72" s="40">
        <v>0</v>
      </c>
      <c r="BC72" s="40">
        <v>259796</v>
      </c>
      <c r="BD72" s="40">
        <v>0</v>
      </c>
      <c r="BE72" s="40">
        <v>444746</v>
      </c>
      <c r="BF72" s="40">
        <v>84584</v>
      </c>
      <c r="BG72" s="40">
        <v>735318</v>
      </c>
      <c r="BH72" s="40">
        <v>0</v>
      </c>
      <c r="BI72" s="40">
        <v>0</v>
      </c>
      <c r="BJ72" s="40">
        <v>262124</v>
      </c>
      <c r="BK72" s="40">
        <v>11400</v>
      </c>
      <c r="BL72" s="40">
        <v>53372</v>
      </c>
      <c r="BM72" s="40">
        <v>19562585</v>
      </c>
      <c r="BN72" s="40">
        <v>16923177</v>
      </c>
      <c r="BO72" s="40">
        <v>54088</v>
      </c>
      <c r="BP72" s="40">
        <v>238089</v>
      </c>
      <c r="BQ72" s="40">
        <v>6891459</v>
      </c>
      <c r="BR72" s="40">
        <v>0</v>
      </c>
      <c r="BS72" s="40">
        <v>0</v>
      </c>
      <c r="BT72" s="40">
        <v>45548805</v>
      </c>
      <c r="BU72" s="40">
        <v>1910738700</v>
      </c>
      <c r="BV72" s="40">
        <v>405825614</v>
      </c>
      <c r="BW72" s="40">
        <v>0</v>
      </c>
      <c r="BX72" s="40">
        <v>2316564314</v>
      </c>
      <c r="BY72" s="40">
        <v>8314351</v>
      </c>
      <c r="BZ72" s="40">
        <v>0</v>
      </c>
      <c r="CA72" s="40">
        <v>1854</v>
      </c>
      <c r="CB72" s="40">
        <v>8316205</v>
      </c>
      <c r="CC72" s="40">
        <v>153748098</v>
      </c>
      <c r="CD72" s="40">
        <v>2478628617</v>
      </c>
      <c r="CE72" s="40">
        <v>2524177422</v>
      </c>
      <c r="CF72" s="41"/>
      <c r="CG72" s="41"/>
      <c r="CH72" s="42"/>
    </row>
    <row r="73" spans="1:86">
      <c r="A73" s="38">
        <v>67</v>
      </c>
      <c r="B73" s="65" t="s">
        <v>92</v>
      </c>
      <c r="C73" s="39" t="s">
        <v>155</v>
      </c>
      <c r="D73" s="40">
        <v>1130</v>
      </c>
      <c r="E73" s="40">
        <v>10</v>
      </c>
      <c r="F73" s="40">
        <v>0</v>
      </c>
      <c r="G73" s="40">
        <v>789</v>
      </c>
      <c r="H73" s="40">
        <v>5543</v>
      </c>
      <c r="I73" s="40">
        <v>257</v>
      </c>
      <c r="J73" s="40">
        <v>0</v>
      </c>
      <c r="K73" s="40">
        <v>4519</v>
      </c>
      <c r="L73" s="40">
        <v>0</v>
      </c>
      <c r="M73" s="40">
        <v>232</v>
      </c>
      <c r="N73" s="40">
        <v>2017</v>
      </c>
      <c r="O73" s="40">
        <v>0</v>
      </c>
      <c r="P73" s="40">
        <v>0</v>
      </c>
      <c r="Q73" s="40">
        <v>67</v>
      </c>
      <c r="R73" s="40">
        <v>11</v>
      </c>
      <c r="S73" s="40">
        <v>0</v>
      </c>
      <c r="T73" s="40">
        <v>0</v>
      </c>
      <c r="U73" s="40">
        <v>0</v>
      </c>
      <c r="V73" s="40">
        <v>0</v>
      </c>
      <c r="W73" s="40">
        <v>0</v>
      </c>
      <c r="X73" s="40">
        <v>13</v>
      </c>
      <c r="Y73" s="40">
        <v>0</v>
      </c>
      <c r="Z73" s="40">
        <v>92</v>
      </c>
      <c r="AA73" s="40">
        <v>48659</v>
      </c>
      <c r="AB73" s="40">
        <v>0</v>
      </c>
      <c r="AC73" s="40">
        <v>0</v>
      </c>
      <c r="AD73" s="40">
        <v>0</v>
      </c>
      <c r="AE73" s="40">
        <v>3</v>
      </c>
      <c r="AF73" s="40">
        <v>0</v>
      </c>
      <c r="AG73" s="40">
        <v>0</v>
      </c>
      <c r="AH73" s="40">
        <v>0</v>
      </c>
      <c r="AI73" s="40">
        <v>6619</v>
      </c>
      <c r="AJ73" s="40">
        <v>7</v>
      </c>
      <c r="AK73" s="40">
        <v>0</v>
      </c>
      <c r="AL73" s="40">
        <v>16</v>
      </c>
      <c r="AM73" s="40">
        <v>33</v>
      </c>
      <c r="AN73" s="40">
        <v>0</v>
      </c>
      <c r="AO73" s="40">
        <v>1607</v>
      </c>
      <c r="AP73" s="40">
        <v>8172</v>
      </c>
      <c r="AQ73" s="40">
        <v>0</v>
      </c>
      <c r="AR73" s="40">
        <v>51</v>
      </c>
      <c r="AS73" s="40">
        <v>8</v>
      </c>
      <c r="AT73" s="40">
        <v>31644</v>
      </c>
      <c r="AU73" s="40">
        <v>1574</v>
      </c>
      <c r="AV73" s="40">
        <v>45955</v>
      </c>
      <c r="AW73" s="40">
        <v>214848</v>
      </c>
      <c r="AX73" s="40">
        <v>1081973</v>
      </c>
      <c r="AY73" s="40">
        <v>0</v>
      </c>
      <c r="AZ73" s="40">
        <v>192922</v>
      </c>
      <c r="BA73" s="40">
        <v>13177</v>
      </c>
      <c r="BB73" s="40">
        <v>0</v>
      </c>
      <c r="BC73" s="40">
        <v>3392690</v>
      </c>
      <c r="BD73" s="40">
        <v>2582</v>
      </c>
      <c r="BE73" s="40">
        <v>871301</v>
      </c>
      <c r="BF73" s="40">
        <v>11831776</v>
      </c>
      <c r="BG73" s="40">
        <v>6742591</v>
      </c>
      <c r="BH73" s="40">
        <v>6064408</v>
      </c>
      <c r="BI73" s="40">
        <v>3071099</v>
      </c>
      <c r="BJ73" s="40">
        <v>49849</v>
      </c>
      <c r="BK73" s="40">
        <v>1201592</v>
      </c>
      <c r="BL73" s="40">
        <v>10847</v>
      </c>
      <c r="BM73" s="40">
        <v>18447511</v>
      </c>
      <c r="BN73" s="40">
        <v>11115330</v>
      </c>
      <c r="BO73" s="40">
        <v>5787101</v>
      </c>
      <c r="BP73" s="40">
        <v>422161</v>
      </c>
      <c r="BQ73" s="40">
        <v>3640</v>
      </c>
      <c r="BR73" s="40">
        <v>26223</v>
      </c>
      <c r="BS73" s="40">
        <v>0</v>
      </c>
      <c r="BT73" s="40">
        <v>70702649</v>
      </c>
      <c r="BU73" s="40">
        <v>3431436402</v>
      </c>
      <c r="BV73" s="40">
        <v>0</v>
      </c>
      <c r="BW73" s="40">
        <v>320964000</v>
      </c>
      <c r="BX73" s="40">
        <v>3752400402</v>
      </c>
      <c r="BY73" s="40">
        <v>0</v>
      </c>
      <c r="BZ73" s="40">
        <v>0</v>
      </c>
      <c r="CA73" s="40">
        <v>0</v>
      </c>
      <c r="CB73" s="40">
        <v>0</v>
      </c>
      <c r="CC73" s="40">
        <v>65631939</v>
      </c>
      <c r="CD73" s="40">
        <v>3818032341</v>
      </c>
      <c r="CE73" s="40">
        <v>3888734990</v>
      </c>
      <c r="CF73" s="41"/>
      <c r="CG73" s="41"/>
      <c r="CH73" s="42"/>
    </row>
    <row r="74" spans="1:86" ht="45">
      <c r="A74" s="38">
        <v>68</v>
      </c>
      <c r="B74" s="65" t="s">
        <v>11</v>
      </c>
      <c r="C74" s="39" t="s">
        <v>10</v>
      </c>
      <c r="D74" s="40">
        <v>0</v>
      </c>
      <c r="E74" s="40">
        <v>0</v>
      </c>
      <c r="F74" s="40">
        <v>0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T74" s="40">
        <v>0</v>
      </c>
      <c r="U74" s="40">
        <v>0</v>
      </c>
      <c r="V74" s="40">
        <v>0</v>
      </c>
      <c r="W74" s="40">
        <v>0</v>
      </c>
      <c r="X74" s="40">
        <v>0</v>
      </c>
      <c r="Y74" s="40">
        <v>0</v>
      </c>
      <c r="Z74" s="40">
        <v>0</v>
      </c>
      <c r="AA74" s="40">
        <v>0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  <c r="AI74" s="40">
        <v>0</v>
      </c>
      <c r="AJ74" s="40">
        <v>0</v>
      </c>
      <c r="AK74" s="40">
        <v>0</v>
      </c>
      <c r="AL74" s="40">
        <v>0</v>
      </c>
      <c r="AM74" s="40">
        <v>0</v>
      </c>
      <c r="AN74" s="40">
        <v>0</v>
      </c>
      <c r="AO74" s="40">
        <v>0</v>
      </c>
      <c r="AP74" s="40">
        <v>0</v>
      </c>
      <c r="AQ74" s="40">
        <v>0</v>
      </c>
      <c r="AR74" s="40">
        <v>0</v>
      </c>
      <c r="AS74" s="40">
        <v>0</v>
      </c>
      <c r="AT74" s="40">
        <v>0</v>
      </c>
      <c r="AU74" s="40">
        <v>0</v>
      </c>
      <c r="AV74" s="40">
        <v>0</v>
      </c>
      <c r="AW74" s="40">
        <v>0</v>
      </c>
      <c r="AX74" s="40">
        <v>0</v>
      </c>
      <c r="AY74" s="40">
        <v>0</v>
      </c>
      <c r="AZ74" s="40">
        <v>0</v>
      </c>
      <c r="BA74" s="40">
        <v>0</v>
      </c>
      <c r="BB74" s="40">
        <v>0</v>
      </c>
      <c r="BC74" s="40">
        <v>0</v>
      </c>
      <c r="BD74" s="40">
        <v>0</v>
      </c>
      <c r="BE74" s="40">
        <v>0</v>
      </c>
      <c r="BF74" s="40">
        <v>0</v>
      </c>
      <c r="BG74" s="40">
        <v>0</v>
      </c>
      <c r="BH74" s="40">
        <v>0</v>
      </c>
      <c r="BI74" s="40">
        <v>0</v>
      </c>
      <c r="BJ74" s="40">
        <v>0</v>
      </c>
      <c r="BK74" s="40">
        <v>0</v>
      </c>
      <c r="BL74" s="40">
        <v>0</v>
      </c>
      <c r="BM74" s="40">
        <v>0</v>
      </c>
      <c r="BN74" s="40">
        <v>0</v>
      </c>
      <c r="BO74" s="40">
        <v>0</v>
      </c>
      <c r="BP74" s="40">
        <v>0</v>
      </c>
      <c r="BQ74" s="40">
        <v>0</v>
      </c>
      <c r="BR74" s="40">
        <v>0</v>
      </c>
      <c r="BS74" s="40">
        <v>0</v>
      </c>
      <c r="BT74" s="40">
        <v>0</v>
      </c>
      <c r="BU74" s="40">
        <v>293201329</v>
      </c>
      <c r="BV74" s="40">
        <v>0</v>
      </c>
      <c r="BW74" s="40">
        <v>0</v>
      </c>
      <c r="BX74" s="40">
        <v>293201329</v>
      </c>
      <c r="BY74" s="40">
        <v>0</v>
      </c>
      <c r="BZ74" s="40">
        <v>0</v>
      </c>
      <c r="CA74" s="40">
        <v>0</v>
      </c>
      <c r="CB74" s="40">
        <v>0</v>
      </c>
      <c r="CC74" s="40">
        <v>0</v>
      </c>
      <c r="CD74" s="40">
        <v>293201329</v>
      </c>
      <c r="CE74" s="40">
        <v>293201329</v>
      </c>
      <c r="CF74" s="41"/>
      <c r="CG74" s="41"/>
      <c r="CH74" s="42"/>
    </row>
    <row r="75" spans="1:86" ht="22.5">
      <c r="A75" s="38">
        <v>69</v>
      </c>
      <c r="B75" s="65"/>
      <c r="C75" s="39" t="s">
        <v>9</v>
      </c>
      <c r="D75" s="40">
        <v>0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40">
        <v>0</v>
      </c>
      <c r="S75" s="40">
        <v>0</v>
      </c>
      <c r="T75" s="40">
        <v>0</v>
      </c>
      <c r="U75" s="40">
        <v>0</v>
      </c>
      <c r="V75" s="40">
        <v>0</v>
      </c>
      <c r="W75" s="40">
        <v>0</v>
      </c>
      <c r="X75" s="40">
        <v>0</v>
      </c>
      <c r="Y75" s="40">
        <v>0</v>
      </c>
      <c r="Z75" s="40">
        <v>0</v>
      </c>
      <c r="AA75" s="40">
        <v>0</v>
      </c>
      <c r="AB75" s="40">
        <v>0</v>
      </c>
      <c r="AC75" s="40">
        <v>0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  <c r="AI75" s="40">
        <v>0</v>
      </c>
      <c r="AJ75" s="40">
        <v>0</v>
      </c>
      <c r="AK75" s="40">
        <v>0</v>
      </c>
      <c r="AL75" s="40">
        <v>0</v>
      </c>
      <c r="AM75" s="40">
        <v>0</v>
      </c>
      <c r="AN75" s="40">
        <v>0</v>
      </c>
      <c r="AO75" s="40">
        <v>0</v>
      </c>
      <c r="AP75" s="40">
        <v>0</v>
      </c>
      <c r="AQ75" s="40">
        <v>0</v>
      </c>
      <c r="AR75" s="40">
        <v>0</v>
      </c>
      <c r="AS75" s="40">
        <v>0</v>
      </c>
      <c r="AT75" s="40">
        <v>0</v>
      </c>
      <c r="AU75" s="40">
        <v>0</v>
      </c>
      <c r="AV75" s="40">
        <v>0</v>
      </c>
      <c r="AW75" s="40">
        <v>0</v>
      </c>
      <c r="AX75" s="40">
        <v>0</v>
      </c>
      <c r="AY75" s="40">
        <v>0</v>
      </c>
      <c r="AZ75" s="40">
        <v>0</v>
      </c>
      <c r="BA75" s="40">
        <v>0</v>
      </c>
      <c r="BB75" s="40">
        <v>0</v>
      </c>
      <c r="BC75" s="40">
        <v>0</v>
      </c>
      <c r="BD75" s="40">
        <v>0</v>
      </c>
      <c r="BE75" s="40">
        <v>0</v>
      </c>
      <c r="BF75" s="40">
        <v>0</v>
      </c>
      <c r="BG75" s="40">
        <v>0</v>
      </c>
      <c r="BH75" s="40">
        <v>0</v>
      </c>
      <c r="BI75" s="40">
        <v>0</v>
      </c>
      <c r="BJ75" s="40">
        <v>0</v>
      </c>
      <c r="BK75" s="40">
        <v>0</v>
      </c>
      <c r="BL75" s="40">
        <v>0</v>
      </c>
      <c r="BM75" s="40">
        <v>0</v>
      </c>
      <c r="BN75" s="40">
        <v>0</v>
      </c>
      <c r="BO75" s="40">
        <v>0</v>
      </c>
      <c r="BP75" s="40">
        <v>0</v>
      </c>
      <c r="BQ75" s="40">
        <v>0</v>
      </c>
      <c r="BR75" s="40">
        <v>0</v>
      </c>
      <c r="BS75" s="40">
        <v>0</v>
      </c>
      <c r="BT75" s="40">
        <v>0</v>
      </c>
      <c r="BU75" s="40">
        <v>0</v>
      </c>
      <c r="BV75" s="40">
        <v>0</v>
      </c>
      <c r="BW75" s="40">
        <v>0</v>
      </c>
      <c r="BX75" s="40">
        <v>0</v>
      </c>
      <c r="BY75" s="40">
        <v>0</v>
      </c>
      <c r="BZ75" s="40">
        <v>0</v>
      </c>
      <c r="CA75" s="40">
        <v>0</v>
      </c>
      <c r="CB75" s="40">
        <v>0</v>
      </c>
      <c r="CC75" s="40">
        <v>0</v>
      </c>
      <c r="CD75" s="40">
        <v>0</v>
      </c>
      <c r="CE75" s="40">
        <v>0</v>
      </c>
      <c r="CF75" s="41"/>
      <c r="CG75" s="41"/>
      <c r="CH75" s="42"/>
    </row>
    <row r="76" spans="1:86" ht="22.5">
      <c r="A76" s="38">
        <v>70</v>
      </c>
      <c r="B76" s="65"/>
      <c r="C76" s="39" t="s">
        <v>8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40">
        <v>0</v>
      </c>
      <c r="AJ76" s="40">
        <v>0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0</v>
      </c>
      <c r="AQ76" s="40">
        <v>0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40">
        <v>0</v>
      </c>
      <c r="BH76" s="40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  <c r="BO76" s="40">
        <v>0</v>
      </c>
      <c r="BP76" s="40">
        <v>0</v>
      </c>
      <c r="BQ76" s="40">
        <v>0</v>
      </c>
      <c r="BR76" s="40">
        <v>0</v>
      </c>
      <c r="BS76" s="40">
        <v>0</v>
      </c>
      <c r="BT76" s="40">
        <v>0</v>
      </c>
      <c r="BU76" s="40">
        <v>0</v>
      </c>
      <c r="BV76" s="40">
        <v>0</v>
      </c>
      <c r="BW76" s="40">
        <v>0</v>
      </c>
      <c r="BX76" s="40">
        <v>0</v>
      </c>
      <c r="BY76" s="40">
        <v>0</v>
      </c>
      <c r="BZ76" s="40">
        <v>0</v>
      </c>
      <c r="CA76" s="40">
        <v>0</v>
      </c>
      <c r="CB76" s="40">
        <v>0</v>
      </c>
      <c r="CC76" s="40">
        <v>0</v>
      </c>
      <c r="CD76" s="40">
        <v>0</v>
      </c>
      <c r="CE76" s="40">
        <v>0</v>
      </c>
      <c r="CF76" s="41"/>
      <c r="CG76" s="41"/>
      <c r="CH76" s="42"/>
    </row>
    <row r="77" spans="1:86">
      <c r="A77" s="38">
        <v>71</v>
      </c>
      <c r="B77" s="65"/>
      <c r="C77" s="60" t="s">
        <v>7</v>
      </c>
      <c r="D77" s="40">
        <v>3451518616</v>
      </c>
      <c r="E77" s="40">
        <v>9900870</v>
      </c>
      <c r="F77" s="40">
        <v>34043831</v>
      </c>
      <c r="G77" s="40">
        <v>333460233</v>
      </c>
      <c r="H77" s="40">
        <v>5055407113</v>
      </c>
      <c r="I77" s="40">
        <v>141026087</v>
      </c>
      <c r="J77" s="40">
        <v>378977854</v>
      </c>
      <c r="K77" s="40">
        <v>3292273529</v>
      </c>
      <c r="L77" s="40">
        <v>214487540</v>
      </c>
      <c r="M77" s="40">
        <v>386945770</v>
      </c>
      <c r="N77" s="40">
        <v>2652622113</v>
      </c>
      <c r="O77" s="40">
        <v>127825680</v>
      </c>
      <c r="P77" s="40">
        <v>76115296</v>
      </c>
      <c r="Q77" s="40">
        <v>39968746</v>
      </c>
      <c r="R77" s="40">
        <v>6565637</v>
      </c>
      <c r="S77" s="40">
        <v>30876004</v>
      </c>
      <c r="T77" s="40">
        <v>74947565</v>
      </c>
      <c r="U77" s="40">
        <v>37018294</v>
      </c>
      <c r="V77" s="40">
        <v>130546054</v>
      </c>
      <c r="W77" s="40">
        <v>702324487</v>
      </c>
      <c r="X77" s="40">
        <v>800987518</v>
      </c>
      <c r="Y77" s="40">
        <v>102807694</v>
      </c>
      <c r="Z77" s="40">
        <v>258052954</v>
      </c>
      <c r="AA77" s="40">
        <v>937962953</v>
      </c>
      <c r="AB77" s="40">
        <v>2476031018</v>
      </c>
      <c r="AC77" s="40">
        <v>111512544</v>
      </c>
      <c r="AD77" s="40">
        <v>112091592</v>
      </c>
      <c r="AE77" s="40">
        <v>5993334933</v>
      </c>
      <c r="AF77" s="40">
        <v>27777493</v>
      </c>
      <c r="AG77" s="40">
        <v>357631252</v>
      </c>
      <c r="AH77" s="40">
        <v>50002628</v>
      </c>
      <c r="AI77" s="40">
        <v>257327997</v>
      </c>
      <c r="AJ77" s="40">
        <v>318551318</v>
      </c>
      <c r="AK77" s="40">
        <v>1015480468</v>
      </c>
      <c r="AL77" s="40">
        <v>362147335</v>
      </c>
      <c r="AM77" s="40">
        <v>72585769</v>
      </c>
      <c r="AN77" s="40">
        <v>40280682</v>
      </c>
      <c r="AO77" s="40">
        <v>614815003</v>
      </c>
      <c r="AP77" s="40">
        <v>1306121555</v>
      </c>
      <c r="AQ77" s="40">
        <v>143621716</v>
      </c>
      <c r="AR77" s="40">
        <v>323510111</v>
      </c>
      <c r="AS77" s="40">
        <v>321397316</v>
      </c>
      <c r="AT77" s="40">
        <v>8245551650</v>
      </c>
      <c r="AU77" s="40">
        <v>1152050651</v>
      </c>
      <c r="AV77" s="40">
        <v>4804432124</v>
      </c>
      <c r="AW77" s="40">
        <v>2364380042</v>
      </c>
      <c r="AX77" s="40">
        <v>2412069918</v>
      </c>
      <c r="AY77" s="40">
        <v>32024131</v>
      </c>
      <c r="AZ77" s="40">
        <v>465195198</v>
      </c>
      <c r="BA77" s="40">
        <v>742288068</v>
      </c>
      <c r="BB77" s="40">
        <v>26185942</v>
      </c>
      <c r="BC77" s="40">
        <v>212739919</v>
      </c>
      <c r="BD77" s="40">
        <v>1153608490</v>
      </c>
      <c r="BE77" s="40">
        <v>921650024</v>
      </c>
      <c r="BF77" s="40">
        <v>460574933</v>
      </c>
      <c r="BG77" s="40">
        <v>1457551488</v>
      </c>
      <c r="BH77" s="40">
        <v>531248251</v>
      </c>
      <c r="BI77" s="40">
        <v>272697535</v>
      </c>
      <c r="BJ77" s="40">
        <v>2959247897</v>
      </c>
      <c r="BK77" s="40">
        <v>2160230696</v>
      </c>
      <c r="BL77" s="40">
        <v>1321904316</v>
      </c>
      <c r="BM77" s="40">
        <v>4501930290</v>
      </c>
      <c r="BN77" s="40">
        <v>2777434332</v>
      </c>
      <c r="BO77" s="40">
        <v>2855885355</v>
      </c>
      <c r="BP77" s="40">
        <v>71414006</v>
      </c>
      <c r="BQ77" s="40">
        <v>938030634</v>
      </c>
      <c r="BR77" s="40">
        <v>1313354568</v>
      </c>
      <c r="BS77" s="61">
        <v>0</v>
      </c>
      <c r="BT77" s="40">
        <v>77334563626</v>
      </c>
      <c r="BU77" s="40">
        <v>71840076262</v>
      </c>
      <c r="BV77" s="40">
        <v>14749596727</v>
      </c>
      <c r="BW77" s="40">
        <v>324837901</v>
      </c>
      <c r="BX77" s="40">
        <v>86914510890</v>
      </c>
      <c r="BY77" s="40">
        <v>30657898337</v>
      </c>
      <c r="BZ77" s="40">
        <v>3943296563</v>
      </c>
      <c r="CA77" s="40">
        <v>69913465</v>
      </c>
      <c r="CB77" s="40">
        <v>34671108365</v>
      </c>
      <c r="CC77" s="40">
        <v>40316065562</v>
      </c>
      <c r="CD77" s="40">
        <v>161901684817</v>
      </c>
      <c r="CE77" s="40">
        <v>239236248443</v>
      </c>
      <c r="CF77" s="41"/>
      <c r="CG77" s="41"/>
      <c r="CH77" s="42"/>
    </row>
    <row r="78" spans="1:86">
      <c r="A78" s="38">
        <v>72</v>
      </c>
      <c r="B78" s="65"/>
      <c r="C78" s="39" t="s">
        <v>106</v>
      </c>
      <c r="D78" s="40">
        <v>116420318</v>
      </c>
      <c r="E78" s="40">
        <v>123313</v>
      </c>
      <c r="F78" s="40">
        <v>2293592</v>
      </c>
      <c r="G78" s="40">
        <v>3812064</v>
      </c>
      <c r="H78" s="40">
        <v>36019013</v>
      </c>
      <c r="I78" s="40">
        <v>538116</v>
      </c>
      <c r="J78" s="40">
        <v>2401077</v>
      </c>
      <c r="K78" s="40">
        <v>17093214</v>
      </c>
      <c r="L78" s="40">
        <v>1270705</v>
      </c>
      <c r="M78" s="40">
        <v>1938964</v>
      </c>
      <c r="N78" s="40">
        <v>49283915</v>
      </c>
      <c r="O78" s="40">
        <v>2066847</v>
      </c>
      <c r="P78" s="40">
        <v>511704</v>
      </c>
      <c r="Q78" s="40">
        <v>1157479</v>
      </c>
      <c r="R78" s="40">
        <v>72796</v>
      </c>
      <c r="S78" s="40">
        <v>266963</v>
      </c>
      <c r="T78" s="40">
        <v>810613</v>
      </c>
      <c r="U78" s="40">
        <v>382755</v>
      </c>
      <c r="V78" s="40">
        <v>945267</v>
      </c>
      <c r="W78" s="40">
        <v>67284831</v>
      </c>
      <c r="X78" s="40">
        <v>3169248</v>
      </c>
      <c r="Y78" s="40">
        <v>9762431</v>
      </c>
      <c r="Z78" s="40">
        <v>3172628</v>
      </c>
      <c r="AA78" s="40">
        <v>5938830</v>
      </c>
      <c r="AB78" s="40">
        <v>9181774</v>
      </c>
      <c r="AC78" s="40">
        <v>390254</v>
      </c>
      <c r="AD78" s="40">
        <v>539519</v>
      </c>
      <c r="AE78" s="40">
        <v>16647864</v>
      </c>
      <c r="AF78" s="40">
        <v>82798</v>
      </c>
      <c r="AG78" s="40">
        <v>1406254</v>
      </c>
      <c r="AH78" s="40">
        <v>374094</v>
      </c>
      <c r="AI78" s="40">
        <v>767658</v>
      </c>
      <c r="AJ78" s="40">
        <v>1353939</v>
      </c>
      <c r="AK78" s="40">
        <v>8828082</v>
      </c>
      <c r="AL78" s="40">
        <v>1366180</v>
      </c>
      <c r="AM78" s="40">
        <v>905636</v>
      </c>
      <c r="AN78" s="40">
        <v>1582958</v>
      </c>
      <c r="AO78" s="40">
        <v>3802292</v>
      </c>
      <c r="AP78" s="40">
        <v>13983437</v>
      </c>
      <c r="AQ78" s="40">
        <v>4733668</v>
      </c>
      <c r="AR78" s="40">
        <v>2594165</v>
      </c>
      <c r="AS78" s="40">
        <v>2890099</v>
      </c>
      <c r="AT78" s="40">
        <v>247980489</v>
      </c>
      <c r="AU78" s="40">
        <v>21919932</v>
      </c>
      <c r="AV78" s="40">
        <v>78500784</v>
      </c>
      <c r="AW78" s="40">
        <v>49098314</v>
      </c>
      <c r="AX78" s="40">
        <v>87567434</v>
      </c>
      <c r="AY78" s="40">
        <v>2298856</v>
      </c>
      <c r="AZ78" s="40">
        <v>35674168</v>
      </c>
      <c r="BA78" s="40">
        <v>58963229</v>
      </c>
      <c r="BB78" s="40">
        <v>847911</v>
      </c>
      <c r="BC78" s="40">
        <v>8329998</v>
      </c>
      <c r="BD78" s="40">
        <v>35257407</v>
      </c>
      <c r="BE78" s="40">
        <v>17477754</v>
      </c>
      <c r="BF78" s="40">
        <v>9930053</v>
      </c>
      <c r="BG78" s="40">
        <v>58758687</v>
      </c>
      <c r="BH78" s="40">
        <v>30261150</v>
      </c>
      <c r="BI78" s="40">
        <v>20847462</v>
      </c>
      <c r="BJ78" s="40">
        <v>135490490</v>
      </c>
      <c r="BK78" s="40">
        <v>29796637</v>
      </c>
      <c r="BL78" s="40">
        <v>25954261</v>
      </c>
      <c r="BM78" s="40">
        <v>51041247</v>
      </c>
      <c r="BN78" s="40">
        <v>196814897</v>
      </c>
      <c r="BO78" s="40">
        <v>159294417</v>
      </c>
      <c r="BP78" s="40">
        <v>4582663</v>
      </c>
      <c r="BQ78" s="40">
        <v>50138104</v>
      </c>
      <c r="BR78" s="40">
        <v>44382778</v>
      </c>
      <c r="BS78" s="40">
        <v>0</v>
      </c>
      <c r="BT78" s="40">
        <v>1859376476</v>
      </c>
      <c r="BU78" s="40">
        <v>3391236072</v>
      </c>
      <c r="BV78" s="40">
        <v>0</v>
      </c>
      <c r="BW78" s="40">
        <v>0</v>
      </c>
      <c r="BX78" s="40">
        <v>3391236072</v>
      </c>
      <c r="BY78" s="40">
        <v>707672014</v>
      </c>
      <c r="BZ78" s="40">
        <v>0</v>
      </c>
      <c r="CA78" s="40">
        <v>0</v>
      </c>
      <c r="CB78" s="40">
        <v>707672014</v>
      </c>
      <c r="CC78" s="40">
        <v>2328205638</v>
      </c>
      <c r="CD78" s="40">
        <v>6427113724</v>
      </c>
      <c r="CE78" s="40">
        <v>8286490200</v>
      </c>
      <c r="CF78" s="41"/>
      <c r="CG78" s="41"/>
      <c r="CH78" s="42"/>
    </row>
    <row r="79" spans="1:86">
      <c r="A79" s="38">
        <v>73</v>
      </c>
      <c r="B79" s="65"/>
      <c r="C79" s="39" t="s">
        <v>195</v>
      </c>
      <c r="D79" s="40">
        <v>3567938934</v>
      </c>
      <c r="E79" s="40">
        <v>10024183</v>
      </c>
      <c r="F79" s="40">
        <v>36337423</v>
      </c>
      <c r="G79" s="40">
        <v>337272297</v>
      </c>
      <c r="H79" s="40">
        <v>5091426126</v>
      </c>
      <c r="I79" s="40">
        <v>141564203</v>
      </c>
      <c r="J79" s="40">
        <v>381378931</v>
      </c>
      <c r="K79" s="40">
        <v>3309366743</v>
      </c>
      <c r="L79" s="40">
        <v>215758245</v>
      </c>
      <c r="M79" s="40">
        <v>388884734</v>
      </c>
      <c r="N79" s="40">
        <v>2701906028</v>
      </c>
      <c r="O79" s="40">
        <v>129892527</v>
      </c>
      <c r="P79" s="40">
        <v>76627000</v>
      </c>
      <c r="Q79" s="40">
        <v>41126225</v>
      </c>
      <c r="R79" s="40">
        <v>6638433</v>
      </c>
      <c r="S79" s="40">
        <v>31142967</v>
      </c>
      <c r="T79" s="40">
        <v>75758178</v>
      </c>
      <c r="U79" s="40">
        <v>37401049</v>
      </c>
      <c r="V79" s="40">
        <v>131491321</v>
      </c>
      <c r="W79" s="40">
        <v>769609318</v>
      </c>
      <c r="X79" s="40">
        <v>804156766</v>
      </c>
      <c r="Y79" s="40">
        <v>112570125</v>
      </c>
      <c r="Z79" s="40">
        <v>261225582</v>
      </c>
      <c r="AA79" s="40">
        <v>943901783</v>
      </c>
      <c r="AB79" s="40">
        <v>2485212792</v>
      </c>
      <c r="AC79" s="40">
        <v>111902798</v>
      </c>
      <c r="AD79" s="40">
        <v>112631111</v>
      </c>
      <c r="AE79" s="40">
        <v>6009982797</v>
      </c>
      <c r="AF79" s="40">
        <v>27860291</v>
      </c>
      <c r="AG79" s="40">
        <v>359037506</v>
      </c>
      <c r="AH79" s="40">
        <v>50376722</v>
      </c>
      <c r="AI79" s="40">
        <v>258095655</v>
      </c>
      <c r="AJ79" s="40">
        <v>319905257</v>
      </c>
      <c r="AK79" s="40">
        <v>1024308550</v>
      </c>
      <c r="AL79" s="40">
        <v>363513515</v>
      </c>
      <c r="AM79" s="40">
        <v>73491405</v>
      </c>
      <c r="AN79" s="40">
        <v>41863640</v>
      </c>
      <c r="AO79" s="40">
        <v>618617295</v>
      </c>
      <c r="AP79" s="40">
        <v>1320104992</v>
      </c>
      <c r="AQ79" s="40">
        <v>148355384</v>
      </c>
      <c r="AR79" s="40">
        <v>326104276</v>
      </c>
      <c r="AS79" s="40">
        <v>324287415</v>
      </c>
      <c r="AT79" s="40">
        <v>8493532139</v>
      </c>
      <c r="AU79" s="40">
        <v>1173970583</v>
      </c>
      <c r="AV79" s="40">
        <v>4882932908</v>
      </c>
      <c r="AW79" s="40">
        <v>2413478356</v>
      </c>
      <c r="AX79" s="40">
        <v>2499637352</v>
      </c>
      <c r="AY79" s="40">
        <v>34322987</v>
      </c>
      <c r="AZ79" s="40">
        <v>500869366</v>
      </c>
      <c r="BA79" s="40">
        <v>801251297</v>
      </c>
      <c r="BB79" s="40">
        <v>27033853</v>
      </c>
      <c r="BC79" s="40">
        <v>221069917</v>
      </c>
      <c r="BD79" s="40">
        <v>1188865897</v>
      </c>
      <c r="BE79" s="40">
        <v>939127778</v>
      </c>
      <c r="BF79" s="40">
        <v>470504986</v>
      </c>
      <c r="BG79" s="40">
        <v>1516310175</v>
      </c>
      <c r="BH79" s="40">
        <v>561509401</v>
      </c>
      <c r="BI79" s="40">
        <v>293544997</v>
      </c>
      <c r="BJ79" s="40">
        <v>3094738387</v>
      </c>
      <c r="BK79" s="40">
        <v>2190027333</v>
      </c>
      <c r="BL79" s="40">
        <v>1347858577</v>
      </c>
      <c r="BM79" s="40">
        <v>4552971537</v>
      </c>
      <c r="BN79" s="40">
        <v>2974249229</v>
      </c>
      <c r="BO79" s="40">
        <v>3015179772</v>
      </c>
      <c r="BP79" s="40">
        <v>75996669</v>
      </c>
      <c r="BQ79" s="40">
        <v>988168738</v>
      </c>
      <c r="BR79" s="40">
        <v>1357737346</v>
      </c>
      <c r="BS79" s="40">
        <v>0</v>
      </c>
      <c r="BT79" s="40">
        <v>79193940102</v>
      </c>
      <c r="BU79" s="40">
        <v>75231312334</v>
      </c>
      <c r="BV79" s="40">
        <v>14749596727</v>
      </c>
      <c r="BW79" s="40">
        <v>324837901</v>
      </c>
      <c r="BX79" s="40">
        <v>90305746962</v>
      </c>
      <c r="BY79" s="40">
        <v>31365570351</v>
      </c>
      <c r="BZ79" s="40">
        <v>3943296563</v>
      </c>
      <c r="CA79" s="40">
        <v>69913465</v>
      </c>
      <c r="CB79" s="40">
        <v>35378780379</v>
      </c>
      <c r="CC79" s="40">
        <v>42644271200</v>
      </c>
      <c r="CD79" s="40">
        <v>168328798541</v>
      </c>
      <c r="CE79" s="40">
        <v>247522738643</v>
      </c>
      <c r="CF79" s="41"/>
      <c r="CG79" s="41"/>
      <c r="CH79" s="42"/>
    </row>
    <row r="80" spans="1:86">
      <c r="A80" s="38">
        <v>74</v>
      </c>
      <c r="B80" s="65"/>
      <c r="C80" s="39" t="s">
        <v>142</v>
      </c>
      <c r="D80" s="40">
        <v>1158652938</v>
      </c>
      <c r="E80" s="40">
        <v>10276393</v>
      </c>
      <c r="F80" s="40">
        <v>12721454</v>
      </c>
      <c r="G80" s="40">
        <v>234164307</v>
      </c>
      <c r="H80" s="40">
        <v>1716976586</v>
      </c>
      <c r="I80" s="40">
        <v>49953309</v>
      </c>
      <c r="J80" s="40">
        <v>199089024</v>
      </c>
      <c r="K80" s="40">
        <v>1148913267</v>
      </c>
      <c r="L80" s="40">
        <v>177573699</v>
      </c>
      <c r="M80" s="40">
        <v>436854676</v>
      </c>
      <c r="N80" s="40">
        <v>733276878</v>
      </c>
      <c r="O80" s="40">
        <v>41370139</v>
      </c>
      <c r="P80" s="40">
        <v>28462192</v>
      </c>
      <c r="Q80" s="40">
        <v>36042433</v>
      </c>
      <c r="R80" s="40">
        <v>3107791</v>
      </c>
      <c r="S80" s="40">
        <v>14469753</v>
      </c>
      <c r="T80" s="40">
        <v>30262061</v>
      </c>
      <c r="U80" s="40">
        <v>25001481</v>
      </c>
      <c r="V80" s="40">
        <v>7980704</v>
      </c>
      <c r="W80" s="40">
        <v>139365953</v>
      </c>
      <c r="X80" s="40">
        <v>237212925</v>
      </c>
      <c r="Y80" s="40">
        <v>39200295</v>
      </c>
      <c r="Z80" s="40">
        <v>109729500</v>
      </c>
      <c r="AA80" s="40">
        <v>302440060</v>
      </c>
      <c r="AB80" s="40">
        <v>662575439</v>
      </c>
      <c r="AC80" s="40">
        <v>34774678</v>
      </c>
      <c r="AD80" s="40">
        <v>18909368</v>
      </c>
      <c r="AE80" s="40">
        <v>1141348101</v>
      </c>
      <c r="AF80" s="40">
        <v>4667225</v>
      </c>
      <c r="AG80" s="40">
        <v>125870166</v>
      </c>
      <c r="AH80" s="40">
        <v>13558984</v>
      </c>
      <c r="AI80" s="40">
        <v>63484265</v>
      </c>
      <c r="AJ80" s="40">
        <v>200827118</v>
      </c>
      <c r="AK80" s="40">
        <v>98357196</v>
      </c>
      <c r="AL80" s="40">
        <v>78478243</v>
      </c>
      <c r="AM80" s="40">
        <v>32986377</v>
      </c>
      <c r="AN80" s="40">
        <v>23340298</v>
      </c>
      <c r="AO80" s="40">
        <v>348723836</v>
      </c>
      <c r="AP80" s="40">
        <v>600554910</v>
      </c>
      <c r="AQ80" s="40">
        <v>106778044</v>
      </c>
      <c r="AR80" s="40">
        <v>168256052</v>
      </c>
      <c r="AS80" s="40">
        <v>182911211</v>
      </c>
      <c r="AT80" s="40">
        <v>3486710887</v>
      </c>
      <c r="AU80" s="40">
        <v>796537351</v>
      </c>
      <c r="AV80" s="40">
        <v>4548305551</v>
      </c>
      <c r="AW80" s="40">
        <v>3772169237</v>
      </c>
      <c r="AX80" s="40">
        <v>1167131567</v>
      </c>
      <c r="AY80" s="40">
        <v>28977233</v>
      </c>
      <c r="AZ80" s="40">
        <v>263751494</v>
      </c>
      <c r="BA80" s="40">
        <v>833961055</v>
      </c>
      <c r="BB80" s="40">
        <v>44671284</v>
      </c>
      <c r="BC80" s="40">
        <v>177798343</v>
      </c>
      <c r="BD80" s="40">
        <v>440653779</v>
      </c>
      <c r="BE80" s="40">
        <v>856551033</v>
      </c>
      <c r="BF80" s="40">
        <v>333636153</v>
      </c>
      <c r="BG80" s="40">
        <v>1408248418</v>
      </c>
      <c r="BH80" s="40">
        <v>192511099</v>
      </c>
      <c r="BI80" s="40">
        <v>132840272</v>
      </c>
      <c r="BJ80" s="40">
        <v>660683606</v>
      </c>
      <c r="BK80" s="40">
        <v>1692323549</v>
      </c>
      <c r="BL80" s="40">
        <v>1466279217</v>
      </c>
      <c r="BM80" s="40">
        <v>1898440930</v>
      </c>
      <c r="BN80" s="40">
        <v>3622221451</v>
      </c>
      <c r="BO80" s="40">
        <v>2220945302</v>
      </c>
      <c r="BP80" s="40">
        <v>27605099</v>
      </c>
      <c r="BQ80" s="40">
        <v>659555102</v>
      </c>
      <c r="BR80" s="40">
        <v>553486069</v>
      </c>
      <c r="BS80" s="40">
        <v>293201329</v>
      </c>
      <c r="BT80" s="40">
        <v>42378695739</v>
      </c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1"/>
      <c r="CG80" s="41"/>
      <c r="CH80" s="42"/>
    </row>
    <row r="81" spans="1:86" ht="22.5">
      <c r="A81" s="38">
        <v>75</v>
      </c>
      <c r="B81" s="65"/>
      <c r="C81" s="39" t="s">
        <v>143</v>
      </c>
      <c r="D81" s="40">
        <v>-307512915</v>
      </c>
      <c r="E81" s="40">
        <v>458334</v>
      </c>
      <c r="F81" s="40">
        <v>-1688189</v>
      </c>
      <c r="G81" s="40">
        <v>13007560</v>
      </c>
      <c r="H81" s="40">
        <v>338295548</v>
      </c>
      <c r="I81" s="40">
        <v>9405724</v>
      </c>
      <c r="J81" s="40">
        <v>10500382</v>
      </c>
      <c r="K81" s="40">
        <v>90763834</v>
      </c>
      <c r="L81" s="40">
        <v>7248644</v>
      </c>
      <c r="M81" s="40">
        <v>11390443</v>
      </c>
      <c r="N81" s="40">
        <v>-13910995</v>
      </c>
      <c r="O81" s="40">
        <v>2354684</v>
      </c>
      <c r="P81" s="40">
        <v>191968</v>
      </c>
      <c r="Q81" s="40">
        <v>1454406</v>
      </c>
      <c r="R81" s="40">
        <v>238265</v>
      </c>
      <c r="S81" s="40">
        <v>261262</v>
      </c>
      <c r="T81" s="40">
        <v>1382419</v>
      </c>
      <c r="U81" s="40">
        <v>378925</v>
      </c>
      <c r="V81" s="40">
        <v>3874248</v>
      </c>
      <c r="W81" s="40">
        <v>21918388</v>
      </c>
      <c r="X81" s="40">
        <v>8479171</v>
      </c>
      <c r="Y81" s="40">
        <v>855564</v>
      </c>
      <c r="Z81" s="40">
        <v>2382891</v>
      </c>
      <c r="AA81" s="40">
        <v>5212806</v>
      </c>
      <c r="AB81" s="40">
        <v>5273822</v>
      </c>
      <c r="AC81" s="40">
        <v>199788</v>
      </c>
      <c r="AD81" s="40">
        <v>220846</v>
      </c>
      <c r="AE81" s="40">
        <v>11598485</v>
      </c>
      <c r="AF81" s="40">
        <v>59911</v>
      </c>
      <c r="AG81" s="40">
        <v>482235</v>
      </c>
      <c r="AH81" s="40">
        <v>224054</v>
      </c>
      <c r="AI81" s="40">
        <v>-422403</v>
      </c>
      <c r="AJ81" s="40">
        <v>2597924</v>
      </c>
      <c r="AK81" s="40">
        <v>-9181751</v>
      </c>
      <c r="AL81" s="40">
        <v>-2425625</v>
      </c>
      <c r="AM81" s="40">
        <v>370368</v>
      </c>
      <c r="AN81" s="40">
        <v>283310</v>
      </c>
      <c r="AO81" s="40">
        <v>10363556</v>
      </c>
      <c r="AP81" s="40">
        <v>62780470</v>
      </c>
      <c r="AQ81" s="40">
        <v>8639867</v>
      </c>
      <c r="AR81" s="40">
        <v>-24447303</v>
      </c>
      <c r="AS81" s="40">
        <v>9825274</v>
      </c>
      <c r="AT81" s="40">
        <v>73159571</v>
      </c>
      <c r="AU81" s="40">
        <v>10330049</v>
      </c>
      <c r="AV81" s="40">
        <v>84148172</v>
      </c>
      <c r="AW81" s="40">
        <v>62833383</v>
      </c>
      <c r="AX81" s="40">
        <v>121438534</v>
      </c>
      <c r="AY81" s="40">
        <v>503780</v>
      </c>
      <c r="AZ81" s="40">
        <v>7157008</v>
      </c>
      <c r="BA81" s="40">
        <v>67498748</v>
      </c>
      <c r="BB81" s="40">
        <v>1874487</v>
      </c>
      <c r="BC81" s="40">
        <v>7872372</v>
      </c>
      <c r="BD81" s="40">
        <v>10910482</v>
      </c>
      <c r="BE81" s="40">
        <v>22614136</v>
      </c>
      <c r="BF81" s="40">
        <v>20600817</v>
      </c>
      <c r="BG81" s="40">
        <v>62197557</v>
      </c>
      <c r="BH81" s="40">
        <v>14311600</v>
      </c>
      <c r="BI81" s="40">
        <v>16187419</v>
      </c>
      <c r="BJ81" s="40">
        <v>81157418</v>
      </c>
      <c r="BK81" s="40">
        <v>94794381</v>
      </c>
      <c r="BL81" s="40">
        <v>78692271</v>
      </c>
      <c r="BM81" s="40">
        <v>51380868</v>
      </c>
      <c r="BN81" s="40">
        <v>236971208</v>
      </c>
      <c r="BO81" s="40">
        <v>144582089</v>
      </c>
      <c r="BP81" s="40">
        <v>818989</v>
      </c>
      <c r="BQ81" s="40">
        <v>24625293</v>
      </c>
      <c r="BR81" s="40">
        <v>24570301</v>
      </c>
      <c r="BS81" s="40">
        <v>0</v>
      </c>
      <c r="BT81" s="40">
        <v>1604617128</v>
      </c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1"/>
      <c r="CG81" s="41"/>
      <c r="CH81" s="42"/>
    </row>
    <row r="82" spans="1:86">
      <c r="A82" s="38">
        <v>76</v>
      </c>
      <c r="B82" s="65"/>
      <c r="C82" s="39" t="s">
        <v>144</v>
      </c>
      <c r="D82" s="40">
        <v>610173809</v>
      </c>
      <c r="E82" s="40">
        <v>1382117</v>
      </c>
      <c r="F82" s="40">
        <v>2342195</v>
      </c>
      <c r="G82" s="40">
        <v>97637736</v>
      </c>
      <c r="H82" s="40">
        <v>2182528191</v>
      </c>
      <c r="I82" s="40">
        <v>84976232</v>
      </c>
      <c r="J82" s="40">
        <v>55150734</v>
      </c>
      <c r="K82" s="40">
        <v>672050547</v>
      </c>
      <c r="L82" s="40">
        <v>28707303</v>
      </c>
      <c r="M82" s="40">
        <v>83267965</v>
      </c>
      <c r="N82" s="40">
        <v>217501872</v>
      </c>
      <c r="O82" s="40">
        <v>12112218</v>
      </c>
      <c r="P82" s="40">
        <v>5514038</v>
      </c>
      <c r="Q82" s="40">
        <v>2411900</v>
      </c>
      <c r="R82" s="40">
        <v>1548111</v>
      </c>
      <c r="S82" s="40">
        <v>3186945</v>
      </c>
      <c r="T82" s="40">
        <v>15562657</v>
      </c>
      <c r="U82" s="40">
        <v>3330892</v>
      </c>
      <c r="V82" s="40">
        <v>18753830</v>
      </c>
      <c r="W82" s="40">
        <v>97475043</v>
      </c>
      <c r="X82" s="40">
        <v>93598956</v>
      </c>
      <c r="Y82" s="40">
        <v>5962221</v>
      </c>
      <c r="Z82" s="40">
        <v>20868404</v>
      </c>
      <c r="AA82" s="40">
        <v>101126082</v>
      </c>
      <c r="AB82" s="40">
        <v>170043071</v>
      </c>
      <c r="AC82" s="40">
        <v>5314813</v>
      </c>
      <c r="AD82" s="40">
        <v>8558045</v>
      </c>
      <c r="AE82" s="40">
        <v>292578470</v>
      </c>
      <c r="AF82" s="40">
        <v>1743268</v>
      </c>
      <c r="AG82" s="40">
        <v>22562524</v>
      </c>
      <c r="AH82" s="40">
        <v>2932241</v>
      </c>
      <c r="AI82" s="40">
        <v>15245716</v>
      </c>
      <c r="AJ82" s="40">
        <v>20414321</v>
      </c>
      <c r="AK82" s="40">
        <v>122719415</v>
      </c>
      <c r="AL82" s="40">
        <v>31222207</v>
      </c>
      <c r="AM82" s="40">
        <v>5768744</v>
      </c>
      <c r="AN82" s="40">
        <v>1404889</v>
      </c>
      <c r="AO82" s="40">
        <v>85782728</v>
      </c>
      <c r="AP82" s="40">
        <v>316369061</v>
      </c>
      <c r="AQ82" s="40">
        <v>41605913</v>
      </c>
      <c r="AR82" s="40">
        <v>81639388</v>
      </c>
      <c r="AS82" s="40">
        <v>86572891</v>
      </c>
      <c r="AT82" s="40">
        <v>530211360</v>
      </c>
      <c r="AU82" s="40">
        <v>190686091</v>
      </c>
      <c r="AV82" s="40">
        <v>1410266621</v>
      </c>
      <c r="AW82" s="40">
        <v>391912090</v>
      </c>
      <c r="AX82" s="40">
        <v>544477899</v>
      </c>
      <c r="AY82" s="40">
        <v>1705802</v>
      </c>
      <c r="AZ82" s="40">
        <v>47040726</v>
      </c>
      <c r="BA82" s="40">
        <v>206976642</v>
      </c>
      <c r="BB82" s="40">
        <v>4847183</v>
      </c>
      <c r="BC82" s="40">
        <v>14981909</v>
      </c>
      <c r="BD82" s="40">
        <v>98917363</v>
      </c>
      <c r="BE82" s="40">
        <v>133727414</v>
      </c>
      <c r="BF82" s="40">
        <v>123384390</v>
      </c>
      <c r="BG82" s="40">
        <v>121701812</v>
      </c>
      <c r="BH82" s="40">
        <v>45700300</v>
      </c>
      <c r="BI82" s="40">
        <v>9933206</v>
      </c>
      <c r="BJ82" s="40">
        <v>1573340721</v>
      </c>
      <c r="BK82" s="40">
        <v>193765062</v>
      </c>
      <c r="BL82" s="40">
        <v>113921924</v>
      </c>
      <c r="BM82" s="40">
        <v>680739619</v>
      </c>
      <c r="BN82" s="40">
        <v>445595313</v>
      </c>
      <c r="BO82" s="40">
        <v>177948202</v>
      </c>
      <c r="BP82" s="40">
        <v>14558530</v>
      </c>
      <c r="BQ82" s="40">
        <v>120177820</v>
      </c>
      <c r="BR82" s="40">
        <v>57902930</v>
      </c>
      <c r="BS82" s="40">
        <v>0</v>
      </c>
      <c r="BT82" s="40">
        <v>12984068632</v>
      </c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1"/>
      <c r="CG82" s="41"/>
      <c r="CH82" s="42"/>
    </row>
    <row r="83" spans="1:86">
      <c r="A83" s="38">
        <v>77</v>
      </c>
      <c r="B83" s="65"/>
      <c r="C83" s="39" t="s">
        <v>216</v>
      </c>
      <c r="D83" s="40">
        <v>3783353618</v>
      </c>
      <c r="E83" s="40">
        <v>4566174</v>
      </c>
      <c r="F83" s="40">
        <v>178412517</v>
      </c>
      <c r="G83" s="40">
        <v>161640700</v>
      </c>
      <c r="H83" s="40">
        <v>7053540749</v>
      </c>
      <c r="I83" s="40">
        <v>169555932</v>
      </c>
      <c r="J83" s="40">
        <v>287547729</v>
      </c>
      <c r="K83" s="40">
        <v>2861523909</v>
      </c>
      <c r="L83" s="40">
        <v>52417311</v>
      </c>
      <c r="M83" s="40">
        <v>131272582</v>
      </c>
      <c r="N83" s="40">
        <v>1797105206</v>
      </c>
      <c r="O83" s="40">
        <v>118033932</v>
      </c>
      <c r="P83" s="40">
        <v>18704300</v>
      </c>
      <c r="Q83" s="40">
        <v>9250836</v>
      </c>
      <c r="R83" s="40">
        <v>4074500</v>
      </c>
      <c r="S83" s="40">
        <v>19700973</v>
      </c>
      <c r="T83" s="40">
        <v>43988686</v>
      </c>
      <c r="U83" s="40">
        <v>17481910</v>
      </c>
      <c r="V83" s="40">
        <v>71542197</v>
      </c>
      <c r="W83" s="40">
        <v>292448397</v>
      </c>
      <c r="X83" s="40">
        <v>512595584</v>
      </c>
      <c r="Y83" s="40">
        <v>308591895</v>
      </c>
      <c r="Z83" s="40">
        <v>89851523</v>
      </c>
      <c r="AA83" s="40">
        <v>482065370</v>
      </c>
      <c r="AB83" s="40">
        <v>679555478</v>
      </c>
      <c r="AC83" s="40">
        <v>11460623</v>
      </c>
      <c r="AD83" s="40">
        <v>28063130</v>
      </c>
      <c r="AE83" s="40">
        <v>1396243546</v>
      </c>
      <c r="AF83" s="40">
        <v>11142105</v>
      </c>
      <c r="AG83" s="40">
        <v>134128467</v>
      </c>
      <c r="AH83" s="40">
        <v>19575995</v>
      </c>
      <c r="AI83" s="40">
        <v>106699969</v>
      </c>
      <c r="AJ83" s="40">
        <v>14387979</v>
      </c>
      <c r="AK83" s="40">
        <v>754435190</v>
      </c>
      <c r="AL83" s="40">
        <v>222840425</v>
      </c>
      <c r="AM83" s="40">
        <v>27117178</v>
      </c>
      <c r="AN83" s="40">
        <v>8496662</v>
      </c>
      <c r="AO83" s="40">
        <v>266188585</v>
      </c>
      <c r="AP83" s="40">
        <v>360468966</v>
      </c>
      <c r="AQ83" s="40">
        <v>48490292</v>
      </c>
      <c r="AR83" s="40">
        <v>131729987</v>
      </c>
      <c r="AS83" s="40">
        <v>122992505</v>
      </c>
      <c r="AT83" s="40">
        <v>1808884446</v>
      </c>
      <c r="AU83" s="40">
        <v>1404964262</v>
      </c>
      <c r="AV83" s="40">
        <v>11403661563</v>
      </c>
      <c r="AW83" s="40">
        <v>3127889181</v>
      </c>
      <c r="AX83" s="40">
        <v>2572711449</v>
      </c>
      <c r="AY83" s="40">
        <v>10156298</v>
      </c>
      <c r="AZ83" s="40">
        <v>209029406</v>
      </c>
      <c r="BA83" s="40">
        <v>1207090858</v>
      </c>
      <c r="BB83" s="40">
        <v>16383893</v>
      </c>
      <c r="BC83" s="40">
        <v>98112683</v>
      </c>
      <c r="BD83" s="40">
        <v>579768022</v>
      </c>
      <c r="BE83" s="40">
        <v>711319040</v>
      </c>
      <c r="BF83" s="40">
        <v>752483654</v>
      </c>
      <c r="BG83" s="40">
        <v>1541027589</v>
      </c>
      <c r="BH83" s="40">
        <v>1016928900</v>
      </c>
      <c r="BI83" s="40">
        <v>95688834</v>
      </c>
      <c r="BJ83" s="40">
        <v>10982868368</v>
      </c>
      <c r="BK83" s="40">
        <v>1931839212</v>
      </c>
      <c r="BL83" s="40">
        <v>1255061112</v>
      </c>
      <c r="BM83" s="40">
        <v>0</v>
      </c>
      <c r="BN83" s="40">
        <v>1545456476</v>
      </c>
      <c r="BO83" s="40">
        <v>492210304</v>
      </c>
      <c r="BP83" s="40">
        <v>1875205</v>
      </c>
      <c r="BQ83" s="40">
        <v>414937463</v>
      </c>
      <c r="BR83" s="40">
        <v>1891975923</v>
      </c>
      <c r="BS83" s="40">
        <v>0</v>
      </c>
      <c r="BT83" s="40">
        <v>67885607753</v>
      </c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1"/>
      <c r="CG83" s="41"/>
      <c r="CH83" s="42"/>
    </row>
    <row r="84" spans="1:86">
      <c r="A84" s="38">
        <v>78</v>
      </c>
      <c r="B84" s="65"/>
      <c r="C84" s="60" t="s">
        <v>145</v>
      </c>
      <c r="D84" s="40">
        <v>5244667450</v>
      </c>
      <c r="E84" s="40">
        <v>16683018</v>
      </c>
      <c r="F84" s="40">
        <v>191787977</v>
      </c>
      <c r="G84" s="40">
        <v>506450303</v>
      </c>
      <c r="H84" s="40">
        <v>11291341074</v>
      </c>
      <c r="I84" s="40">
        <v>313891197</v>
      </c>
      <c r="J84" s="40">
        <v>552287869</v>
      </c>
      <c r="K84" s="40">
        <v>4773251557</v>
      </c>
      <c r="L84" s="40">
        <v>265946957</v>
      </c>
      <c r="M84" s="40">
        <v>662785666</v>
      </c>
      <c r="N84" s="40">
        <v>2733972961</v>
      </c>
      <c r="O84" s="40">
        <v>173870973</v>
      </c>
      <c r="P84" s="40">
        <v>52872498</v>
      </c>
      <c r="Q84" s="40">
        <v>49159575</v>
      </c>
      <c r="R84" s="40">
        <v>8968667</v>
      </c>
      <c r="S84" s="40">
        <v>37618933</v>
      </c>
      <c r="T84" s="40">
        <v>91195823</v>
      </c>
      <c r="U84" s="40">
        <v>46193208</v>
      </c>
      <c r="V84" s="40">
        <v>102150979</v>
      </c>
      <c r="W84" s="40">
        <v>551207781</v>
      </c>
      <c r="X84" s="40">
        <v>851886636</v>
      </c>
      <c r="Y84" s="40">
        <v>354609975</v>
      </c>
      <c r="Z84" s="40">
        <v>222832318</v>
      </c>
      <c r="AA84" s="40">
        <v>890844318</v>
      </c>
      <c r="AB84" s="40">
        <v>1517447810</v>
      </c>
      <c r="AC84" s="40">
        <v>51749902</v>
      </c>
      <c r="AD84" s="40">
        <v>55751389</v>
      </c>
      <c r="AE84" s="40">
        <v>2841768602</v>
      </c>
      <c r="AF84" s="40">
        <v>17612509</v>
      </c>
      <c r="AG84" s="40">
        <v>283043392</v>
      </c>
      <c r="AH84" s="40">
        <v>36291274</v>
      </c>
      <c r="AI84" s="40">
        <v>185007547</v>
      </c>
      <c r="AJ84" s="40">
        <v>238227342</v>
      </c>
      <c r="AK84" s="40">
        <v>966330050</v>
      </c>
      <c r="AL84" s="40">
        <v>330115250</v>
      </c>
      <c r="AM84" s="40">
        <v>66242667</v>
      </c>
      <c r="AN84" s="40">
        <v>33525159</v>
      </c>
      <c r="AO84" s="40">
        <v>711058705</v>
      </c>
      <c r="AP84" s="40">
        <v>1340173407</v>
      </c>
      <c r="AQ84" s="40">
        <v>205514116</v>
      </c>
      <c r="AR84" s="40">
        <v>357178124</v>
      </c>
      <c r="AS84" s="40">
        <v>402301881</v>
      </c>
      <c r="AT84" s="40">
        <v>5898966264</v>
      </c>
      <c r="AU84" s="40">
        <v>2402517753</v>
      </c>
      <c r="AV84" s="40">
        <v>17446381907</v>
      </c>
      <c r="AW84" s="40">
        <v>7354803891</v>
      </c>
      <c r="AX84" s="40">
        <v>4405759449</v>
      </c>
      <c r="AY84" s="40">
        <v>41343113</v>
      </c>
      <c r="AZ84" s="40">
        <v>526978634</v>
      </c>
      <c r="BA84" s="40">
        <v>2315527303</v>
      </c>
      <c r="BB84" s="40">
        <v>67776847</v>
      </c>
      <c r="BC84" s="40">
        <v>298765307</v>
      </c>
      <c r="BD84" s="40">
        <v>1130249646</v>
      </c>
      <c r="BE84" s="40">
        <v>1724211623</v>
      </c>
      <c r="BF84" s="40">
        <v>1230105014</v>
      </c>
      <c r="BG84" s="40">
        <v>3133175376</v>
      </c>
      <c r="BH84" s="40">
        <v>1269451899</v>
      </c>
      <c r="BI84" s="40">
        <v>254649731</v>
      </c>
      <c r="BJ84" s="40">
        <v>13298050113</v>
      </c>
      <c r="BK84" s="40">
        <v>3912722204</v>
      </c>
      <c r="BL84" s="40">
        <v>2913954524</v>
      </c>
      <c r="BM84" s="40">
        <v>2630561417</v>
      </c>
      <c r="BN84" s="40">
        <v>5850244448</v>
      </c>
      <c r="BO84" s="40">
        <v>3035685897</v>
      </c>
      <c r="BP84" s="40">
        <v>44857823</v>
      </c>
      <c r="BQ84" s="40">
        <v>1219295678</v>
      </c>
      <c r="BR84" s="40">
        <v>2527935223</v>
      </c>
      <c r="BS84" s="40">
        <v>293201329</v>
      </c>
      <c r="BT84" s="40">
        <v>124852989252</v>
      </c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1"/>
      <c r="CG84" s="41"/>
      <c r="CH84" s="42"/>
    </row>
    <row r="85" spans="1:86">
      <c r="A85" s="38">
        <v>79</v>
      </c>
      <c r="B85" s="65"/>
      <c r="C85" s="60" t="s">
        <v>146</v>
      </c>
      <c r="D85" s="40">
        <v>8812606384</v>
      </c>
      <c r="E85" s="40">
        <v>26707201</v>
      </c>
      <c r="F85" s="40">
        <v>228125400</v>
      </c>
      <c r="G85" s="40">
        <v>843722600</v>
      </c>
      <c r="H85" s="40">
        <v>16382767200</v>
      </c>
      <c r="I85" s="40">
        <v>455455400</v>
      </c>
      <c r="J85" s="40">
        <v>933666800</v>
      </c>
      <c r="K85" s="40">
        <v>8082618300</v>
      </c>
      <c r="L85" s="40">
        <v>481705202</v>
      </c>
      <c r="M85" s="40">
        <v>1051670400</v>
      </c>
      <c r="N85" s="40">
        <v>5435878989</v>
      </c>
      <c r="O85" s="40">
        <v>303763500</v>
      </c>
      <c r="P85" s="40">
        <v>129499498</v>
      </c>
      <c r="Q85" s="40">
        <v>90285800</v>
      </c>
      <c r="R85" s="40">
        <v>15607100</v>
      </c>
      <c r="S85" s="40">
        <v>68761900</v>
      </c>
      <c r="T85" s="40">
        <v>166954001</v>
      </c>
      <c r="U85" s="40">
        <v>83594257</v>
      </c>
      <c r="V85" s="40">
        <v>233642300</v>
      </c>
      <c r="W85" s="40">
        <v>1320817099</v>
      </c>
      <c r="X85" s="40">
        <v>1656043402</v>
      </c>
      <c r="Y85" s="40">
        <v>467180100</v>
      </c>
      <c r="Z85" s="40">
        <v>484057900</v>
      </c>
      <c r="AA85" s="40">
        <v>1834746101</v>
      </c>
      <c r="AB85" s="40">
        <v>4002660602</v>
      </c>
      <c r="AC85" s="40">
        <v>163652700</v>
      </c>
      <c r="AD85" s="40">
        <v>168382500</v>
      </c>
      <c r="AE85" s="40">
        <v>8851751399</v>
      </c>
      <c r="AF85" s="40">
        <v>45472800</v>
      </c>
      <c r="AG85" s="40">
        <v>642080898</v>
      </c>
      <c r="AH85" s="40">
        <v>86667996</v>
      </c>
      <c r="AI85" s="40">
        <v>443103202</v>
      </c>
      <c r="AJ85" s="40">
        <v>558132599</v>
      </c>
      <c r="AK85" s="40">
        <v>1990638600</v>
      </c>
      <c r="AL85" s="40">
        <v>693628765</v>
      </c>
      <c r="AM85" s="40">
        <v>139734072</v>
      </c>
      <c r="AN85" s="40">
        <v>75388799</v>
      </c>
      <c r="AO85" s="40">
        <v>1329676000</v>
      </c>
      <c r="AP85" s="40">
        <v>2660278399</v>
      </c>
      <c r="AQ85" s="40">
        <v>353869500</v>
      </c>
      <c r="AR85" s="40">
        <v>683282400</v>
      </c>
      <c r="AS85" s="40">
        <v>726589296</v>
      </c>
      <c r="AT85" s="40">
        <v>14392498403</v>
      </c>
      <c r="AU85" s="40">
        <v>3576488336</v>
      </c>
      <c r="AV85" s="40">
        <v>22329314815</v>
      </c>
      <c r="AW85" s="40">
        <v>9768282247</v>
      </c>
      <c r="AX85" s="40">
        <v>6905396801</v>
      </c>
      <c r="AY85" s="40">
        <v>75666100</v>
      </c>
      <c r="AZ85" s="40">
        <v>1027848000</v>
      </c>
      <c r="BA85" s="40">
        <v>3116778600</v>
      </c>
      <c r="BB85" s="40">
        <v>94810700</v>
      </c>
      <c r="BC85" s="40">
        <v>519835224</v>
      </c>
      <c r="BD85" s="40">
        <v>2319115543</v>
      </c>
      <c r="BE85" s="40">
        <v>2663339401</v>
      </c>
      <c r="BF85" s="40">
        <v>1700610000</v>
      </c>
      <c r="BG85" s="40">
        <v>4649485551</v>
      </c>
      <c r="BH85" s="40">
        <v>1830961300</v>
      </c>
      <c r="BI85" s="40">
        <v>548194728</v>
      </c>
      <c r="BJ85" s="40">
        <v>16392788500</v>
      </c>
      <c r="BK85" s="40">
        <v>6102749537</v>
      </c>
      <c r="BL85" s="40">
        <v>4261813101</v>
      </c>
      <c r="BM85" s="40">
        <v>7183532954</v>
      </c>
      <c r="BN85" s="40">
        <v>8824493677</v>
      </c>
      <c r="BO85" s="40">
        <v>6050865669</v>
      </c>
      <c r="BP85" s="40">
        <v>120854492</v>
      </c>
      <c r="BQ85" s="40">
        <v>2207464416</v>
      </c>
      <c r="BR85" s="40">
        <v>3885672569</v>
      </c>
      <c r="BS85" s="40">
        <v>293201329</v>
      </c>
      <c r="BT85" s="40">
        <v>204046929354</v>
      </c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1"/>
      <c r="CG85" s="41"/>
      <c r="CH85" s="42"/>
    </row>
    <row r="86" spans="1:86">
      <c r="A86" s="38"/>
      <c r="B86" s="65"/>
      <c r="C86" s="60"/>
      <c r="D86" s="87">
        <f>D84/D85</f>
        <v>0.59513238438994831</v>
      </c>
      <c r="E86" s="87">
        <f t="shared" ref="E86:BP86" si="0">E84/E85</f>
        <v>0.62466366280764507</v>
      </c>
      <c r="F86" s="87">
        <f t="shared" si="0"/>
        <v>0.84071294559921872</v>
      </c>
      <c r="G86" s="87">
        <f t="shared" si="0"/>
        <v>0.60025688893482287</v>
      </c>
      <c r="H86" s="87">
        <f t="shared" si="0"/>
        <v>0.68922062653737759</v>
      </c>
      <c r="I86" s="87">
        <f t="shared" si="0"/>
        <v>0.68918097578818915</v>
      </c>
      <c r="J86" s="87">
        <f t="shared" si="0"/>
        <v>0.59152565883246566</v>
      </c>
      <c r="K86" s="87">
        <f t="shared" si="0"/>
        <v>0.5905575866424374</v>
      </c>
      <c r="L86" s="87">
        <f t="shared" si="0"/>
        <v>0.55209484119293362</v>
      </c>
      <c r="M86" s="87">
        <f t="shared" si="0"/>
        <v>0.63022185087647231</v>
      </c>
      <c r="N86" s="87">
        <f t="shared" si="0"/>
        <v>0.50294956280896708</v>
      </c>
      <c r="O86" s="87">
        <f t="shared" si="0"/>
        <v>0.57238928640208586</v>
      </c>
      <c r="P86" s="87">
        <f t="shared" si="0"/>
        <v>0.40828342052723632</v>
      </c>
      <c r="Q86" s="87">
        <f t="shared" si="0"/>
        <v>0.54448844668818352</v>
      </c>
      <c r="R86" s="87">
        <f t="shared" si="0"/>
        <v>0.57465301048881601</v>
      </c>
      <c r="S86" s="87">
        <f t="shared" si="0"/>
        <v>0.54708978373197947</v>
      </c>
      <c r="T86" s="87">
        <f t="shared" si="0"/>
        <v>0.54623322863643142</v>
      </c>
      <c r="U86" s="87">
        <f t="shared" si="0"/>
        <v>0.55258829562896883</v>
      </c>
      <c r="V86" s="87">
        <f t="shared" si="0"/>
        <v>0.43721098020349913</v>
      </c>
      <c r="W86" s="87">
        <f t="shared" si="0"/>
        <v>0.41732332312878395</v>
      </c>
      <c r="X86" s="87">
        <f t="shared" si="0"/>
        <v>0.51441081494070651</v>
      </c>
      <c r="Y86" s="87">
        <f t="shared" si="0"/>
        <v>0.75904340745678167</v>
      </c>
      <c r="Z86" s="87">
        <f t="shared" si="0"/>
        <v>0.46034228136758021</v>
      </c>
      <c r="AA86" s="87">
        <f t="shared" si="0"/>
        <v>0.4855409244442373</v>
      </c>
      <c r="AB86" s="87">
        <f t="shared" si="0"/>
        <v>0.37910978743533247</v>
      </c>
      <c r="AC86" s="87">
        <f t="shared" si="0"/>
        <v>0.31621783203088005</v>
      </c>
      <c r="AD86" s="87">
        <f t="shared" si="0"/>
        <v>0.33109966296972665</v>
      </c>
      <c r="AE86" s="87">
        <f t="shared" si="0"/>
        <v>0.32104026354841375</v>
      </c>
      <c r="AF86" s="87">
        <f t="shared" si="0"/>
        <v>0.38731965042838795</v>
      </c>
      <c r="AG86" s="87">
        <f t="shared" si="0"/>
        <v>0.44082200993931453</v>
      </c>
      <c r="AH86" s="87">
        <f t="shared" si="0"/>
        <v>0.41873904641801107</v>
      </c>
      <c r="AI86" s="87">
        <f t="shared" si="0"/>
        <v>0.41752699182706426</v>
      </c>
      <c r="AJ86" s="87">
        <f t="shared" si="0"/>
        <v>0.42682929186868729</v>
      </c>
      <c r="AK86" s="87">
        <f t="shared" si="0"/>
        <v>0.48543721095330916</v>
      </c>
      <c r="AL86" s="87">
        <f t="shared" si="0"/>
        <v>0.47592497119118177</v>
      </c>
      <c r="AM86" s="87">
        <f t="shared" si="0"/>
        <v>0.47406238186488975</v>
      </c>
      <c r="AN86" s="87">
        <f t="shared" si="0"/>
        <v>0.44469681762671404</v>
      </c>
      <c r="AO86" s="87">
        <f t="shared" si="0"/>
        <v>0.53476087783790938</v>
      </c>
      <c r="AP86" s="87">
        <f t="shared" si="0"/>
        <v>0.50377186369057159</v>
      </c>
      <c r="AQ86" s="87">
        <f t="shared" si="0"/>
        <v>0.58076244491260198</v>
      </c>
      <c r="AR86" s="87">
        <f t="shared" si="0"/>
        <v>0.5227386568130542</v>
      </c>
      <c r="AS86" s="87">
        <f t="shared" si="0"/>
        <v>0.55368539450655496</v>
      </c>
      <c r="AT86" s="87">
        <f t="shared" si="0"/>
        <v>0.40986395126300018</v>
      </c>
      <c r="AU86" s="87">
        <f t="shared" si="0"/>
        <v>0.67175327508183991</v>
      </c>
      <c r="AV86" s="87">
        <f t="shared" si="0"/>
        <v>0.78132186551824567</v>
      </c>
      <c r="AW86" s="87">
        <f t="shared" si="0"/>
        <v>0.75292704541361721</v>
      </c>
      <c r="AX86" s="87">
        <f t="shared" si="0"/>
        <v>0.63801684044600926</v>
      </c>
      <c r="AY86" s="87">
        <f t="shared" si="0"/>
        <v>0.54638884520280551</v>
      </c>
      <c r="AZ86" s="87">
        <f t="shared" si="0"/>
        <v>0.51270093827102836</v>
      </c>
      <c r="BA86" s="87">
        <f t="shared" si="0"/>
        <v>0.74292325511988566</v>
      </c>
      <c r="BB86" s="87">
        <f t="shared" si="0"/>
        <v>0.71486495722529209</v>
      </c>
      <c r="BC86" s="87">
        <f t="shared" si="0"/>
        <v>0.57473078623083074</v>
      </c>
      <c r="BD86" s="87">
        <f t="shared" si="0"/>
        <v>0.48736236942205685</v>
      </c>
      <c r="BE86" s="87">
        <f t="shared" si="0"/>
        <v>0.6473871194758779</v>
      </c>
      <c r="BF86" s="87">
        <f t="shared" si="0"/>
        <v>0.72333163629521169</v>
      </c>
      <c r="BG86" s="87">
        <f t="shared" si="0"/>
        <v>0.67387570982474054</v>
      </c>
      <c r="BH86" s="87">
        <f t="shared" si="0"/>
        <v>0.69332535810560281</v>
      </c>
      <c r="BI86" s="87">
        <f t="shared" si="0"/>
        <v>0.46452422468389737</v>
      </c>
      <c r="BJ86" s="87">
        <f t="shared" si="0"/>
        <v>0.81121342552549858</v>
      </c>
      <c r="BK86" s="87">
        <f t="shared" si="0"/>
        <v>0.64114087925086671</v>
      </c>
      <c r="BL86" s="87">
        <f t="shared" si="0"/>
        <v>0.68373587835568483</v>
      </c>
      <c r="BM86" s="87">
        <f t="shared" si="0"/>
        <v>0.36619326922349915</v>
      </c>
      <c r="BN86" s="87">
        <f t="shared" si="0"/>
        <v>0.66295525410686973</v>
      </c>
      <c r="BO86" s="87">
        <f t="shared" si="0"/>
        <v>0.50169447861857663</v>
      </c>
      <c r="BP86" s="87">
        <f t="shared" si="0"/>
        <v>0.3711721613127959</v>
      </c>
      <c r="BQ86" s="87">
        <f t="shared" ref="BQ86:BT86" si="1">BQ84/BQ85</f>
        <v>0.55235122666638714</v>
      </c>
      <c r="BR86" s="87">
        <f t="shared" si="1"/>
        <v>0.65057854930133208</v>
      </c>
      <c r="BS86" s="87">
        <f t="shared" si="1"/>
        <v>1</v>
      </c>
      <c r="BT86" s="87">
        <f t="shared" si="1"/>
        <v>0.61188369581094348</v>
      </c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1"/>
      <c r="CG86" s="41"/>
      <c r="CH86" s="42"/>
    </row>
    <row r="87" spans="1:86">
      <c r="A87" s="38">
        <v>80</v>
      </c>
      <c r="B87" s="65"/>
      <c r="C87" s="39" t="s">
        <v>154</v>
      </c>
      <c r="D87" s="40">
        <v>840427056</v>
      </c>
      <c r="E87" s="40">
        <v>2460929</v>
      </c>
      <c r="F87" s="40">
        <v>10160594</v>
      </c>
      <c r="G87" s="40">
        <v>66921856</v>
      </c>
      <c r="H87" s="40">
        <v>1934</v>
      </c>
      <c r="I87" s="40">
        <v>369969453</v>
      </c>
      <c r="J87" s="40">
        <v>9984</v>
      </c>
      <c r="K87" s="40">
        <v>320059699</v>
      </c>
      <c r="L87" s="40">
        <v>34177565</v>
      </c>
      <c r="M87" s="40">
        <v>1105907</v>
      </c>
      <c r="N87" s="40">
        <v>2776234826</v>
      </c>
      <c r="O87" s="40">
        <v>186306415</v>
      </c>
      <c r="P87" s="40">
        <v>680816820</v>
      </c>
      <c r="Q87" s="40">
        <v>1621663107</v>
      </c>
      <c r="R87" s="40">
        <v>468334705</v>
      </c>
      <c r="S87" s="40">
        <v>297601190</v>
      </c>
      <c r="T87" s="40">
        <v>412048905</v>
      </c>
      <c r="U87" s="40">
        <v>1878338</v>
      </c>
      <c r="V87" s="40">
        <v>77271043</v>
      </c>
      <c r="W87" s="40">
        <v>501862187</v>
      </c>
      <c r="X87" s="40">
        <v>2341989188</v>
      </c>
      <c r="Y87" s="40">
        <v>1346804898</v>
      </c>
      <c r="Z87" s="40">
        <v>1175347773</v>
      </c>
      <c r="AA87" s="40">
        <v>614637911</v>
      </c>
      <c r="AB87" s="40">
        <v>796195428</v>
      </c>
      <c r="AC87" s="40">
        <v>462035216</v>
      </c>
      <c r="AD87" s="40">
        <v>104355552</v>
      </c>
      <c r="AE87" s="40">
        <v>874973803</v>
      </c>
      <c r="AF87" s="40">
        <v>9326624</v>
      </c>
      <c r="AG87" s="40">
        <v>1085719376</v>
      </c>
      <c r="AH87" s="40">
        <v>2468333009</v>
      </c>
      <c r="AI87" s="40">
        <v>1600607092</v>
      </c>
      <c r="AJ87" s="40">
        <v>3594098178</v>
      </c>
      <c r="AK87" s="40">
        <v>3298492943</v>
      </c>
      <c r="AL87" s="40">
        <v>1547204450</v>
      </c>
      <c r="AM87" s="40">
        <v>279817103</v>
      </c>
      <c r="AN87" s="40">
        <v>835129767</v>
      </c>
      <c r="AO87" s="40">
        <v>148540985</v>
      </c>
      <c r="AP87" s="40">
        <v>160010009</v>
      </c>
      <c r="AQ87" s="40">
        <v>1865020</v>
      </c>
      <c r="AR87" s="40">
        <v>7002172</v>
      </c>
      <c r="AS87" s="40">
        <v>24533299</v>
      </c>
      <c r="AT87" s="40">
        <v>199433858</v>
      </c>
      <c r="AU87" s="40">
        <v>12925966</v>
      </c>
      <c r="AV87" s="40">
        <v>0</v>
      </c>
      <c r="AW87" s="40">
        <v>0</v>
      </c>
      <c r="AX87" s="40">
        <v>274043640</v>
      </c>
      <c r="AY87" s="40">
        <v>6349584</v>
      </c>
      <c r="AZ87" s="40">
        <v>68744839</v>
      </c>
      <c r="BA87" s="40">
        <v>175704178</v>
      </c>
      <c r="BB87" s="40">
        <v>1660912</v>
      </c>
      <c r="BC87" s="40">
        <v>303638041</v>
      </c>
      <c r="BD87" s="40">
        <v>227054357</v>
      </c>
      <c r="BE87" s="40">
        <v>277312675</v>
      </c>
      <c r="BF87" s="40">
        <v>137213231</v>
      </c>
      <c r="BG87" s="40">
        <v>305759852</v>
      </c>
      <c r="BH87" s="40">
        <v>4050721</v>
      </c>
      <c r="BI87" s="40">
        <v>0</v>
      </c>
      <c r="BJ87" s="40">
        <v>75324692</v>
      </c>
      <c r="BK87" s="40">
        <v>872691912</v>
      </c>
      <c r="BL87" s="40">
        <v>383179276</v>
      </c>
      <c r="BM87" s="40">
        <v>0</v>
      </c>
      <c r="BN87" s="40">
        <v>86801430</v>
      </c>
      <c r="BO87" s="40">
        <v>11322189</v>
      </c>
      <c r="BP87" s="40">
        <v>0</v>
      </c>
      <c r="BQ87" s="40">
        <v>316713006</v>
      </c>
      <c r="BR87" s="40">
        <v>3062421</v>
      </c>
      <c r="BS87" s="40">
        <v>0</v>
      </c>
      <c r="BT87" s="40">
        <v>35189319089</v>
      </c>
      <c r="BU87" s="40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1"/>
      <c r="CG87" s="41"/>
      <c r="CH87" s="42"/>
    </row>
    <row r="88" spans="1:86">
      <c r="A88" s="43">
        <v>81</v>
      </c>
      <c r="B88" s="66"/>
      <c r="C88" s="59" t="s">
        <v>153</v>
      </c>
      <c r="D88" s="47">
        <v>9653033440</v>
      </c>
      <c r="E88" s="47">
        <v>29168130</v>
      </c>
      <c r="F88" s="47">
        <v>238285994</v>
      </c>
      <c r="G88" s="47">
        <v>910644456</v>
      </c>
      <c r="H88" s="47">
        <v>16382769134</v>
      </c>
      <c r="I88" s="47">
        <v>825424853</v>
      </c>
      <c r="J88" s="47">
        <v>933676784</v>
      </c>
      <c r="K88" s="47">
        <v>8402677999</v>
      </c>
      <c r="L88" s="47">
        <v>515882767</v>
      </c>
      <c r="M88" s="47">
        <v>1052776307</v>
      </c>
      <c r="N88" s="47">
        <v>8212113815</v>
      </c>
      <c r="O88" s="47">
        <v>490069915</v>
      </c>
      <c r="P88" s="47">
        <v>810316318</v>
      </c>
      <c r="Q88" s="47">
        <v>1711948907</v>
      </c>
      <c r="R88" s="47">
        <v>483941805</v>
      </c>
      <c r="S88" s="47">
        <v>366363090</v>
      </c>
      <c r="T88" s="47">
        <v>579002906</v>
      </c>
      <c r="U88" s="47">
        <v>85472595</v>
      </c>
      <c r="V88" s="47">
        <v>310913343</v>
      </c>
      <c r="W88" s="47">
        <v>1822679286</v>
      </c>
      <c r="X88" s="47">
        <v>3998032590</v>
      </c>
      <c r="Y88" s="47">
        <v>1813984998</v>
      </c>
      <c r="Z88" s="47">
        <v>1659405673</v>
      </c>
      <c r="AA88" s="47">
        <v>2449384012</v>
      </c>
      <c r="AB88" s="47">
        <v>4798856030</v>
      </c>
      <c r="AC88" s="47">
        <v>625687916</v>
      </c>
      <c r="AD88" s="47">
        <v>272738052</v>
      </c>
      <c r="AE88" s="47">
        <v>9726725202</v>
      </c>
      <c r="AF88" s="47">
        <v>54799424</v>
      </c>
      <c r="AG88" s="47">
        <v>1727800274</v>
      </c>
      <c r="AH88" s="47">
        <v>2555001005</v>
      </c>
      <c r="AI88" s="47">
        <v>2043710294</v>
      </c>
      <c r="AJ88" s="47">
        <v>4152230777</v>
      </c>
      <c r="AK88" s="47">
        <v>5289131543</v>
      </c>
      <c r="AL88" s="47">
        <v>2240833215</v>
      </c>
      <c r="AM88" s="47">
        <v>419551175</v>
      </c>
      <c r="AN88" s="47">
        <v>910518566</v>
      </c>
      <c r="AO88" s="47">
        <v>1478216985</v>
      </c>
      <c r="AP88" s="47">
        <v>2820288408</v>
      </c>
      <c r="AQ88" s="47">
        <v>355734520</v>
      </c>
      <c r="AR88" s="47">
        <v>690284572</v>
      </c>
      <c r="AS88" s="47">
        <v>751122595</v>
      </c>
      <c r="AT88" s="47">
        <v>14591932261</v>
      </c>
      <c r="AU88" s="47">
        <v>3589414302</v>
      </c>
      <c r="AV88" s="47">
        <v>22329314815</v>
      </c>
      <c r="AW88" s="47">
        <v>9768282247</v>
      </c>
      <c r="AX88" s="47">
        <v>7179440441</v>
      </c>
      <c r="AY88" s="47">
        <v>82015684</v>
      </c>
      <c r="AZ88" s="47">
        <v>1096592839</v>
      </c>
      <c r="BA88" s="47">
        <v>3292482778</v>
      </c>
      <c r="BB88" s="47">
        <v>96471612</v>
      </c>
      <c r="BC88" s="47">
        <v>823473265</v>
      </c>
      <c r="BD88" s="47">
        <v>2546169900</v>
      </c>
      <c r="BE88" s="47">
        <v>2940652076</v>
      </c>
      <c r="BF88" s="47">
        <v>1837823231</v>
      </c>
      <c r="BG88" s="47">
        <v>4955245403</v>
      </c>
      <c r="BH88" s="47">
        <v>1835012021</v>
      </c>
      <c r="BI88" s="47">
        <v>548194728</v>
      </c>
      <c r="BJ88" s="47">
        <v>16468113192</v>
      </c>
      <c r="BK88" s="47">
        <v>6975441449</v>
      </c>
      <c r="BL88" s="47">
        <v>4644992377</v>
      </c>
      <c r="BM88" s="47">
        <v>7183532954</v>
      </c>
      <c r="BN88" s="47">
        <v>8911295107</v>
      </c>
      <c r="BO88" s="47">
        <v>6062187858</v>
      </c>
      <c r="BP88" s="47">
        <v>120854492</v>
      </c>
      <c r="BQ88" s="47">
        <v>2524177422</v>
      </c>
      <c r="BR88" s="47">
        <v>3888734990</v>
      </c>
      <c r="BS88" s="47">
        <v>293201329</v>
      </c>
      <c r="BT88" s="47">
        <v>239236248443</v>
      </c>
      <c r="BU88" s="47"/>
      <c r="BV88" s="47"/>
      <c r="BW88" s="47"/>
      <c r="BX88" s="47"/>
      <c r="BY88" s="47"/>
      <c r="BZ88" s="47"/>
      <c r="CA88" s="47"/>
      <c r="CB88" s="47"/>
      <c r="CC88" s="47"/>
      <c r="CD88" s="47"/>
      <c r="CE88" s="47"/>
      <c r="CF88" s="41"/>
      <c r="CG88" s="41"/>
      <c r="CH88" s="42"/>
    </row>
  </sheetData>
  <mergeCells count="1">
    <mergeCell ref="A2:K2"/>
  </mergeCells>
  <pageMargins left="0.78740157480314965" right="0.39370078740157483" top="0.39370078740157483" bottom="0.39370078740157483" header="0.11811023622047245" footer="0.11811023622047245"/>
  <pageSetup paperSize="9" firstPageNumber="337" orientation="landscape" useFirstPageNumber="1" r:id="rId1"/>
  <headerFooter>
    <oddFooter>&amp;R&amp;P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H78"/>
  <sheetViews>
    <sheetView workbookViewId="0">
      <pane xSplit="4" ySplit="7" topLeftCell="E8" activePane="bottomRight" state="frozen"/>
      <selection pane="topRight" activeCell="E1" sqref="E1"/>
      <selection pane="bottomLeft" activeCell="A9" sqref="A9"/>
      <selection pane="bottomRight" activeCell="B4" sqref="B4:I16"/>
    </sheetView>
  </sheetViews>
  <sheetFormatPr defaultColWidth="8" defaultRowHeight="11.25"/>
  <cols>
    <col min="1" max="1" width="3.28515625" style="24" customWidth="1"/>
    <col min="2" max="2" width="9.42578125" style="62" customWidth="1"/>
    <col min="3" max="3" width="33.85546875" style="27" customWidth="1"/>
    <col min="4" max="4" width="13.85546875" style="24" customWidth="1"/>
    <col min="5" max="5" width="12.5703125" style="24" customWidth="1"/>
    <col min="6" max="6" width="11.28515625" style="24" bestFit="1" customWidth="1"/>
    <col min="7" max="7" width="11" style="24" bestFit="1" customWidth="1"/>
    <col min="8" max="8" width="12.5703125" style="24" bestFit="1" customWidth="1"/>
    <col min="9" max="9" width="11.7109375" style="24" bestFit="1" customWidth="1"/>
    <col min="10" max="10" width="10.7109375" style="24" customWidth="1"/>
    <col min="11" max="11" width="12.28515625" style="24" customWidth="1"/>
    <col min="12" max="12" width="11.85546875" style="24" bestFit="1" customWidth="1"/>
    <col min="13" max="13" width="11" style="24" bestFit="1" customWidth="1"/>
    <col min="14" max="15" width="10.85546875" style="24" bestFit="1" customWidth="1"/>
    <col min="16" max="16" width="12.140625" style="24" customWidth="1"/>
    <col min="17" max="17" width="12.85546875" style="24" customWidth="1"/>
    <col min="18" max="18" width="16.42578125" style="24" customWidth="1"/>
    <col min="19" max="19" width="14.140625" style="24" customWidth="1"/>
    <col min="20" max="24" width="14.28515625" style="24" customWidth="1"/>
    <col min="25" max="25" width="13.7109375" style="24" customWidth="1"/>
    <col min="26" max="26" width="14.28515625" style="24" customWidth="1"/>
    <col min="27" max="27" width="14" style="24" customWidth="1"/>
    <col min="28" max="28" width="12.5703125" style="24" bestFit="1" customWidth="1"/>
    <col min="29" max="29" width="11.28515625" style="24" bestFit="1" customWidth="1"/>
    <col min="30" max="30" width="12.5703125" style="24" customWidth="1"/>
    <col min="31" max="31" width="12.5703125" style="24" bestFit="1" customWidth="1"/>
    <col min="32" max="32" width="14.5703125" style="24" bestFit="1" customWidth="1"/>
    <col min="33" max="33" width="10.85546875" style="24" bestFit="1" customWidth="1"/>
    <col min="34" max="34" width="11.7109375" style="24" customWidth="1"/>
    <col min="35" max="35" width="14" style="24" customWidth="1"/>
    <col min="36" max="36" width="13.5703125" style="24" customWidth="1"/>
    <col min="37" max="37" width="15.5703125" style="24" bestFit="1" customWidth="1"/>
    <col min="38" max="38" width="14.28515625" style="24" customWidth="1"/>
    <col min="39" max="39" width="13.5703125" style="24" customWidth="1"/>
    <col min="40" max="40" width="14.28515625" style="24" customWidth="1"/>
    <col min="41" max="41" width="13.7109375" style="24" customWidth="1"/>
    <col min="42" max="42" width="12.5703125" style="24" bestFit="1" customWidth="1"/>
    <col min="43" max="43" width="15.28515625" style="24" bestFit="1" customWidth="1"/>
    <col min="44" max="44" width="10" style="24" bestFit="1" customWidth="1"/>
    <col min="45" max="45" width="11" style="24" bestFit="1" customWidth="1"/>
    <col min="46" max="46" width="14.28515625" style="24" bestFit="1" customWidth="1"/>
    <col min="47" max="47" width="11.42578125" style="24" customWidth="1"/>
    <col min="48" max="48" width="11" style="24" bestFit="1" customWidth="1"/>
    <col min="49" max="49" width="13.5703125" style="24" customWidth="1"/>
    <col min="50" max="50" width="12.42578125" style="24" customWidth="1"/>
    <col min="51" max="51" width="11.28515625" style="24" customWidth="1"/>
    <col min="52" max="52" width="11.5703125" style="24" customWidth="1"/>
    <col min="53" max="53" width="15.140625" style="24" customWidth="1"/>
    <col min="54" max="54" width="13.42578125" style="24" customWidth="1"/>
    <col min="55" max="55" width="11.28515625" style="24" bestFit="1" customWidth="1"/>
    <col min="56" max="56" width="12.5703125" style="24" bestFit="1" customWidth="1"/>
    <col min="57" max="57" width="13.140625" style="24" customWidth="1"/>
    <col min="58" max="58" width="17" style="24" bestFit="1" customWidth="1"/>
    <col min="59" max="64" width="13.7109375" style="24" customWidth="1"/>
    <col min="65" max="65" width="16.42578125" style="24" bestFit="1" customWidth="1"/>
    <col min="66" max="66" width="12.5703125" style="24" customWidth="1"/>
    <col min="67" max="67" width="12.7109375" style="24" customWidth="1"/>
    <col min="68" max="68" width="16.28515625" style="24" customWidth="1"/>
    <col min="69" max="69" width="14" style="24" customWidth="1"/>
    <col min="70" max="70" width="11.85546875" style="24" customWidth="1"/>
    <col min="71" max="71" width="15.28515625" style="24" customWidth="1"/>
    <col min="72" max="74" width="14.42578125" style="24" customWidth="1"/>
    <col min="75" max="75" width="15.28515625" style="24" customWidth="1"/>
    <col min="76" max="76" width="12.42578125" style="25" customWidth="1"/>
    <col min="77" max="77" width="14" style="24" customWidth="1"/>
    <col min="78" max="78" width="14.42578125" style="25" customWidth="1"/>
    <col min="79" max="79" width="13.5703125" style="24" customWidth="1"/>
    <col min="80" max="82" width="14.28515625" style="24" customWidth="1"/>
    <col min="83" max="83" width="13.140625" style="24" customWidth="1"/>
    <col min="84" max="84" width="8" style="24"/>
    <col min="85" max="85" width="9.5703125" style="24" bestFit="1" customWidth="1"/>
    <col min="86" max="16384" width="8" style="24"/>
  </cols>
  <sheetData>
    <row r="2" spans="1:86" ht="12.75">
      <c r="A2" s="122" t="s">
        <v>128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</row>
    <row r="3" spans="1:86">
      <c r="A3" s="26" t="s">
        <v>112</v>
      </c>
      <c r="D3" s="28"/>
      <c r="E3" s="28"/>
      <c r="F3" s="28"/>
      <c r="G3" s="28"/>
      <c r="H3" s="28"/>
      <c r="I3" s="28"/>
      <c r="J3" s="28"/>
      <c r="L3" s="28"/>
      <c r="M3" s="28"/>
      <c r="N3" s="28"/>
      <c r="O3" s="28"/>
      <c r="P3" s="28"/>
      <c r="Q3" s="28"/>
      <c r="R3" s="28"/>
      <c r="S3" s="29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9"/>
      <c r="BN3" s="28"/>
      <c r="BO3" s="28"/>
      <c r="BP3" s="28"/>
      <c r="BQ3" s="28"/>
      <c r="BR3" s="28"/>
      <c r="BS3" s="28"/>
      <c r="BT3" s="28"/>
      <c r="BU3" s="29"/>
      <c r="BV3" s="28"/>
      <c r="BW3" s="28"/>
      <c r="BX3" s="28"/>
      <c r="BY3" s="29"/>
      <c r="BZ3" s="28"/>
      <c r="CA3" s="28"/>
      <c r="CB3" s="28"/>
      <c r="CC3" s="28"/>
      <c r="CD3" s="28"/>
      <c r="CE3" s="28"/>
      <c r="CG3" s="25"/>
    </row>
    <row r="4" spans="1:86" ht="93" customHeight="1">
      <c r="A4" s="30"/>
      <c r="B4" s="63"/>
      <c r="C4" s="31"/>
      <c r="D4" s="32" t="s">
        <v>189</v>
      </c>
      <c r="E4" s="33" t="s">
        <v>134</v>
      </c>
      <c r="F4" s="33" t="s">
        <v>89</v>
      </c>
      <c r="G4" s="33" t="s">
        <v>87</v>
      </c>
      <c r="H4" s="33" t="s">
        <v>187</v>
      </c>
      <c r="I4" s="33" t="s">
        <v>185</v>
      </c>
      <c r="J4" s="33" t="s">
        <v>183</v>
      </c>
      <c r="K4" s="33" t="s">
        <v>181</v>
      </c>
      <c r="L4" s="33" t="s">
        <v>180</v>
      </c>
      <c r="M4" s="33" t="s">
        <v>85</v>
      </c>
      <c r="N4" s="33" t="s">
        <v>178</v>
      </c>
      <c r="O4" s="33" t="s">
        <v>83</v>
      </c>
      <c r="P4" s="33" t="s">
        <v>177</v>
      </c>
      <c r="Q4" s="33" t="s">
        <v>82</v>
      </c>
      <c r="R4" s="33" t="s">
        <v>80</v>
      </c>
      <c r="S4" s="33" t="s">
        <v>78</v>
      </c>
      <c r="T4" s="33" t="s">
        <v>76</v>
      </c>
      <c r="U4" s="33" t="s">
        <v>74</v>
      </c>
      <c r="V4" s="33" t="s">
        <v>72</v>
      </c>
      <c r="W4" s="33" t="s">
        <v>70</v>
      </c>
      <c r="X4" s="33" t="s">
        <v>176</v>
      </c>
      <c r="Y4" s="33" t="s">
        <v>68</v>
      </c>
      <c r="Z4" s="33" t="s">
        <v>175</v>
      </c>
      <c r="AA4" s="33" t="s">
        <v>67</v>
      </c>
      <c r="AB4" s="33" t="s">
        <v>173</v>
      </c>
      <c r="AC4" s="33" t="s">
        <v>171</v>
      </c>
      <c r="AD4" s="33" t="s">
        <v>169</v>
      </c>
      <c r="AE4" s="33" t="s">
        <v>167</v>
      </c>
      <c r="AF4" s="33" t="s">
        <v>165</v>
      </c>
      <c r="AG4" s="33" t="s">
        <v>65</v>
      </c>
      <c r="AH4" s="33" t="s">
        <v>135</v>
      </c>
      <c r="AI4" s="33" t="s">
        <v>164</v>
      </c>
      <c r="AJ4" s="33" t="s">
        <v>163</v>
      </c>
      <c r="AK4" s="33" t="s">
        <v>62</v>
      </c>
      <c r="AL4" s="33" t="s">
        <v>60</v>
      </c>
      <c r="AM4" s="33" t="s">
        <v>58</v>
      </c>
      <c r="AN4" s="33" t="s">
        <v>56</v>
      </c>
      <c r="AO4" s="33" t="s">
        <v>136</v>
      </c>
      <c r="AP4" s="33" t="s">
        <v>53</v>
      </c>
      <c r="AQ4" s="33" t="s">
        <v>51</v>
      </c>
      <c r="AR4" s="33" t="s">
        <v>49</v>
      </c>
      <c r="AS4" s="33" t="s">
        <v>162</v>
      </c>
      <c r="AT4" s="33" t="s">
        <v>47</v>
      </c>
      <c r="AU4" s="33" t="s">
        <v>137</v>
      </c>
      <c r="AV4" s="33" t="s">
        <v>44</v>
      </c>
      <c r="AW4" s="33" t="s">
        <v>42</v>
      </c>
      <c r="AX4" s="33" t="s">
        <v>40</v>
      </c>
      <c r="AY4" s="33" t="s">
        <v>38</v>
      </c>
      <c r="AZ4" s="33" t="s">
        <v>36</v>
      </c>
      <c r="BA4" s="33" t="s">
        <v>34</v>
      </c>
      <c r="BB4" s="33" t="s">
        <v>32</v>
      </c>
      <c r="BC4" s="33" t="s">
        <v>30</v>
      </c>
      <c r="BD4" s="33" t="s">
        <v>28</v>
      </c>
      <c r="BE4" s="33" t="s">
        <v>161</v>
      </c>
      <c r="BF4" s="33" t="s">
        <v>26</v>
      </c>
      <c r="BG4" s="33" t="s">
        <v>24</v>
      </c>
      <c r="BH4" s="33" t="s">
        <v>138</v>
      </c>
      <c r="BI4" s="33" t="s">
        <v>139</v>
      </c>
      <c r="BJ4" s="33" t="s">
        <v>20</v>
      </c>
      <c r="BK4" s="33" t="s">
        <v>159</v>
      </c>
      <c r="BL4" s="33" t="s">
        <v>157</v>
      </c>
      <c r="BM4" s="33" t="s">
        <v>18</v>
      </c>
      <c r="BN4" s="33" t="s">
        <v>16</v>
      </c>
      <c r="BO4" s="33" t="s">
        <v>14</v>
      </c>
      <c r="BP4" s="33" t="s">
        <v>12</v>
      </c>
      <c r="BQ4" s="33" t="s">
        <v>156</v>
      </c>
      <c r="BR4" s="33" t="s">
        <v>155</v>
      </c>
      <c r="BS4" s="33" t="s">
        <v>10</v>
      </c>
      <c r="BT4" s="33" t="s">
        <v>123</v>
      </c>
      <c r="BU4" s="33" t="s">
        <v>122</v>
      </c>
      <c r="BV4" s="33" t="s">
        <v>193</v>
      </c>
      <c r="BW4" s="33" t="s">
        <v>121</v>
      </c>
      <c r="BX4" s="34" t="s">
        <v>120</v>
      </c>
      <c r="BY4" s="33" t="s">
        <v>119</v>
      </c>
      <c r="BZ4" s="35" t="s">
        <v>118</v>
      </c>
      <c r="CA4" s="35" t="s">
        <v>117</v>
      </c>
      <c r="CB4" s="35" t="s">
        <v>116</v>
      </c>
      <c r="CC4" s="35" t="s">
        <v>115</v>
      </c>
      <c r="CD4" s="35" t="s">
        <v>114</v>
      </c>
      <c r="CE4" s="35" t="s">
        <v>113</v>
      </c>
    </row>
    <row r="5" spans="1:86" s="25" customFormat="1" ht="15" customHeight="1">
      <c r="A5" s="36"/>
      <c r="B5" s="64" t="s">
        <v>148</v>
      </c>
      <c r="C5" s="37"/>
      <c r="D5" s="32" t="s">
        <v>103</v>
      </c>
      <c r="E5" s="33" t="s">
        <v>91</v>
      </c>
      <c r="F5" s="33" t="s">
        <v>90</v>
      </c>
      <c r="G5" s="33" t="s">
        <v>88</v>
      </c>
      <c r="H5" s="33" t="s">
        <v>188</v>
      </c>
      <c r="I5" s="33" t="s">
        <v>186</v>
      </c>
      <c r="J5" s="33" t="s">
        <v>184</v>
      </c>
      <c r="K5" s="33" t="s">
        <v>182</v>
      </c>
      <c r="L5" s="33" t="s">
        <v>102</v>
      </c>
      <c r="M5" s="33" t="s">
        <v>86</v>
      </c>
      <c r="N5" s="33" t="s">
        <v>179</v>
      </c>
      <c r="O5" s="33" t="s">
        <v>84</v>
      </c>
      <c r="P5" s="33" t="s">
        <v>101</v>
      </c>
      <c r="Q5" s="33" t="s">
        <v>100</v>
      </c>
      <c r="R5" s="33" t="s">
        <v>81</v>
      </c>
      <c r="S5" s="33" t="s">
        <v>79</v>
      </c>
      <c r="T5" s="33" t="s">
        <v>77</v>
      </c>
      <c r="U5" s="33" t="s">
        <v>75</v>
      </c>
      <c r="V5" s="33" t="s">
        <v>73</v>
      </c>
      <c r="W5" s="33" t="s">
        <v>71</v>
      </c>
      <c r="X5" s="33" t="s">
        <v>99</v>
      </c>
      <c r="Y5" s="33" t="s">
        <v>69</v>
      </c>
      <c r="Z5" s="33" t="s">
        <v>98</v>
      </c>
      <c r="AA5" s="33" t="s">
        <v>97</v>
      </c>
      <c r="AB5" s="33">
        <v>241</v>
      </c>
      <c r="AC5" s="33">
        <v>242</v>
      </c>
      <c r="AD5" s="33">
        <v>243</v>
      </c>
      <c r="AE5" s="33">
        <v>244</v>
      </c>
      <c r="AF5" s="33">
        <v>245</v>
      </c>
      <c r="AG5" s="33" t="s">
        <v>66</v>
      </c>
      <c r="AH5" s="33" t="s">
        <v>64</v>
      </c>
      <c r="AI5" s="33" t="s">
        <v>96</v>
      </c>
      <c r="AJ5" s="33" t="s">
        <v>95</v>
      </c>
      <c r="AK5" s="33" t="s">
        <v>63</v>
      </c>
      <c r="AL5" s="33" t="s">
        <v>61</v>
      </c>
      <c r="AM5" s="33" t="s">
        <v>59</v>
      </c>
      <c r="AN5" s="33" t="s">
        <v>57</v>
      </c>
      <c r="AO5" s="33" t="s">
        <v>55</v>
      </c>
      <c r="AP5" s="33">
        <v>351</v>
      </c>
      <c r="AQ5" s="33">
        <v>352</v>
      </c>
      <c r="AR5" s="33">
        <v>353</v>
      </c>
      <c r="AS5" s="33" t="s">
        <v>94</v>
      </c>
      <c r="AT5" s="33" t="s">
        <v>48</v>
      </c>
      <c r="AU5" s="33" t="s">
        <v>46</v>
      </c>
      <c r="AV5" s="33" t="s">
        <v>45</v>
      </c>
      <c r="AW5" s="33" t="s">
        <v>43</v>
      </c>
      <c r="AX5" s="33" t="s">
        <v>41</v>
      </c>
      <c r="AY5" s="33" t="s">
        <v>39</v>
      </c>
      <c r="AZ5" s="33" t="s">
        <v>37</v>
      </c>
      <c r="BA5" s="33" t="s">
        <v>35</v>
      </c>
      <c r="BB5" s="33" t="s">
        <v>33</v>
      </c>
      <c r="BC5" s="33" t="s">
        <v>31</v>
      </c>
      <c r="BD5" s="33" t="s">
        <v>29</v>
      </c>
      <c r="BE5" s="33" t="s">
        <v>198</v>
      </c>
      <c r="BF5" s="33" t="s">
        <v>27</v>
      </c>
      <c r="BG5" s="33" t="s">
        <v>25</v>
      </c>
      <c r="BH5" s="33" t="s">
        <v>23</v>
      </c>
      <c r="BI5" s="33" t="s">
        <v>22</v>
      </c>
      <c r="BJ5" s="33" t="s">
        <v>21</v>
      </c>
      <c r="BK5" s="33" t="s">
        <v>160</v>
      </c>
      <c r="BL5" s="33" t="s">
        <v>158</v>
      </c>
      <c r="BM5" s="33" t="s">
        <v>19</v>
      </c>
      <c r="BN5" s="33" t="s">
        <v>17</v>
      </c>
      <c r="BO5" s="33" t="s">
        <v>15</v>
      </c>
      <c r="BP5" s="33" t="s">
        <v>13</v>
      </c>
      <c r="BQ5" s="33" t="s">
        <v>93</v>
      </c>
      <c r="BR5" s="33" t="s">
        <v>92</v>
      </c>
      <c r="BS5" s="33" t="s">
        <v>11</v>
      </c>
      <c r="BT5" s="33"/>
      <c r="BU5" s="33"/>
      <c r="BV5" s="33"/>
      <c r="BW5" s="33"/>
      <c r="BX5" s="34"/>
      <c r="BY5" s="33"/>
      <c r="BZ5" s="35"/>
      <c r="CA5" s="35"/>
      <c r="CB5" s="35"/>
      <c r="CC5" s="35"/>
      <c r="CD5" s="35"/>
      <c r="CE5" s="35"/>
    </row>
    <row r="6" spans="1:86" ht="11.25" customHeight="1">
      <c r="A6" s="30" t="s">
        <v>147</v>
      </c>
      <c r="B6" s="63"/>
      <c r="C6" s="30"/>
      <c r="D6" s="35">
        <v>1</v>
      </c>
      <c r="E6" s="35">
        <v>2</v>
      </c>
      <c r="F6" s="35">
        <v>3</v>
      </c>
      <c r="G6" s="35">
        <v>4</v>
      </c>
      <c r="H6" s="35">
        <v>5</v>
      </c>
      <c r="I6" s="35">
        <v>6</v>
      </c>
      <c r="J6" s="35">
        <v>7</v>
      </c>
      <c r="K6" s="35">
        <v>8</v>
      </c>
      <c r="L6" s="35">
        <v>9</v>
      </c>
      <c r="M6" s="35">
        <v>10</v>
      </c>
      <c r="N6" s="35">
        <v>11</v>
      </c>
      <c r="O6" s="35">
        <v>12</v>
      </c>
      <c r="P6" s="35">
        <v>13</v>
      </c>
      <c r="Q6" s="35">
        <v>14</v>
      </c>
      <c r="R6" s="35">
        <v>15</v>
      </c>
      <c r="S6" s="35">
        <v>16</v>
      </c>
      <c r="T6" s="35">
        <v>17</v>
      </c>
      <c r="U6" s="35">
        <v>18</v>
      </c>
      <c r="V6" s="35">
        <v>19</v>
      </c>
      <c r="W6" s="35">
        <v>20</v>
      </c>
      <c r="X6" s="35">
        <v>21</v>
      </c>
      <c r="Y6" s="35">
        <v>22</v>
      </c>
      <c r="Z6" s="35">
        <v>23</v>
      </c>
      <c r="AA6" s="35">
        <v>24</v>
      </c>
      <c r="AB6" s="35">
        <v>25</v>
      </c>
      <c r="AC6" s="35">
        <v>26</v>
      </c>
      <c r="AD6" s="35">
        <v>27</v>
      </c>
      <c r="AE6" s="35">
        <v>28</v>
      </c>
      <c r="AF6" s="35">
        <v>29</v>
      </c>
      <c r="AG6" s="35">
        <v>30</v>
      </c>
      <c r="AH6" s="35">
        <v>31</v>
      </c>
      <c r="AI6" s="35">
        <v>32</v>
      </c>
      <c r="AJ6" s="35">
        <v>33</v>
      </c>
      <c r="AK6" s="35">
        <v>34</v>
      </c>
      <c r="AL6" s="35">
        <v>35</v>
      </c>
      <c r="AM6" s="35">
        <v>36</v>
      </c>
      <c r="AN6" s="35">
        <v>37</v>
      </c>
      <c r="AO6" s="35">
        <v>38</v>
      </c>
      <c r="AP6" s="35">
        <v>39</v>
      </c>
      <c r="AQ6" s="35">
        <v>40</v>
      </c>
      <c r="AR6" s="35">
        <v>41</v>
      </c>
      <c r="AS6" s="35">
        <v>42</v>
      </c>
      <c r="AT6" s="35">
        <v>43</v>
      </c>
      <c r="AU6" s="35">
        <v>44</v>
      </c>
      <c r="AV6" s="35">
        <v>45</v>
      </c>
      <c r="AW6" s="35">
        <v>46</v>
      </c>
      <c r="AX6" s="35">
        <v>47</v>
      </c>
      <c r="AY6" s="35">
        <v>48</v>
      </c>
      <c r="AZ6" s="35">
        <v>49</v>
      </c>
      <c r="BA6" s="35">
        <v>50</v>
      </c>
      <c r="BB6" s="35">
        <v>51</v>
      </c>
      <c r="BC6" s="35">
        <v>52</v>
      </c>
      <c r="BD6" s="35">
        <v>53</v>
      </c>
      <c r="BE6" s="35">
        <v>54</v>
      </c>
      <c r="BF6" s="35">
        <v>55</v>
      </c>
      <c r="BG6" s="35">
        <v>56</v>
      </c>
      <c r="BH6" s="35">
        <v>57</v>
      </c>
      <c r="BI6" s="35">
        <v>58</v>
      </c>
      <c r="BJ6" s="35">
        <v>59</v>
      </c>
      <c r="BK6" s="35">
        <v>60</v>
      </c>
      <c r="BL6" s="35">
        <v>61</v>
      </c>
      <c r="BM6" s="35">
        <v>62</v>
      </c>
      <c r="BN6" s="35">
        <v>63</v>
      </c>
      <c r="BO6" s="35">
        <v>64</v>
      </c>
      <c r="BP6" s="35">
        <v>65</v>
      </c>
      <c r="BQ6" s="35">
        <v>66</v>
      </c>
      <c r="BR6" s="35">
        <v>67</v>
      </c>
      <c r="BS6" s="35">
        <v>68</v>
      </c>
      <c r="BT6" s="35">
        <v>69</v>
      </c>
      <c r="BU6" s="35">
        <v>70</v>
      </c>
      <c r="BV6" s="35">
        <v>71</v>
      </c>
      <c r="BW6" s="35">
        <v>72</v>
      </c>
      <c r="BX6" s="35">
        <v>73</v>
      </c>
      <c r="BY6" s="35">
        <v>74</v>
      </c>
      <c r="BZ6" s="35">
        <v>75</v>
      </c>
      <c r="CA6" s="35">
        <v>76</v>
      </c>
      <c r="CB6" s="35">
        <v>77</v>
      </c>
      <c r="CC6" s="35">
        <v>78</v>
      </c>
      <c r="CD6" s="35">
        <v>79</v>
      </c>
      <c r="CE6" s="35">
        <v>80</v>
      </c>
    </row>
    <row r="7" spans="1:86" ht="11.25" customHeight="1">
      <c r="A7" s="38">
        <v>1</v>
      </c>
      <c r="B7" s="65" t="s">
        <v>103</v>
      </c>
      <c r="C7" s="39" t="s">
        <v>189</v>
      </c>
      <c r="D7" s="40">
        <v>69289461</v>
      </c>
      <c r="E7" s="40">
        <v>138161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225180262</v>
      </c>
      <c r="O7" s="40">
        <v>17776522</v>
      </c>
      <c r="P7" s="40">
        <v>13641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1045795</v>
      </c>
      <c r="Y7" s="40">
        <v>640216</v>
      </c>
      <c r="Z7" s="40">
        <v>2098286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0</v>
      </c>
      <c r="AP7" s="40">
        <v>0</v>
      </c>
      <c r="AQ7" s="40">
        <v>0</v>
      </c>
      <c r="AR7" s="40">
        <v>0</v>
      </c>
      <c r="AS7" s="40">
        <v>4102</v>
      </c>
      <c r="AT7" s="40">
        <v>0</v>
      </c>
      <c r="AU7" s="40">
        <v>0</v>
      </c>
      <c r="AV7" s="40">
        <v>3363263</v>
      </c>
      <c r="AW7" s="40">
        <v>0</v>
      </c>
      <c r="AX7" s="40">
        <v>0</v>
      </c>
      <c r="AY7" s="40">
        <v>0</v>
      </c>
      <c r="AZ7" s="40">
        <v>0</v>
      </c>
      <c r="BA7" s="40">
        <v>0</v>
      </c>
      <c r="BB7" s="40">
        <v>0</v>
      </c>
      <c r="BC7" s="40">
        <v>568984</v>
      </c>
      <c r="BD7" s="40">
        <v>27849817</v>
      </c>
      <c r="BE7" s="40">
        <v>0</v>
      </c>
      <c r="BF7" s="40">
        <v>0</v>
      </c>
      <c r="BG7" s="40">
        <v>0</v>
      </c>
      <c r="BH7" s="40">
        <v>0</v>
      </c>
      <c r="BI7" s="40">
        <v>0</v>
      </c>
      <c r="BJ7" s="40">
        <v>0</v>
      </c>
      <c r="BK7" s="40">
        <v>1028817</v>
      </c>
      <c r="BL7" s="40">
        <v>6926505</v>
      </c>
      <c r="BM7" s="40">
        <v>8017410</v>
      </c>
      <c r="BN7" s="40">
        <v>9891114</v>
      </c>
      <c r="BO7" s="40">
        <v>2816869</v>
      </c>
      <c r="BP7" s="40">
        <v>94193</v>
      </c>
      <c r="BQ7" s="40">
        <v>213124</v>
      </c>
      <c r="BR7" s="40">
        <v>0</v>
      </c>
      <c r="BS7" s="40">
        <v>0</v>
      </c>
      <c r="BT7" s="40">
        <v>376956542</v>
      </c>
      <c r="BU7" s="40">
        <v>424104714</v>
      </c>
      <c r="BV7" s="40">
        <v>0</v>
      </c>
      <c r="BW7" s="40">
        <v>0</v>
      </c>
      <c r="BX7" s="40">
        <v>424104714</v>
      </c>
      <c r="BY7" s="40">
        <v>17277005</v>
      </c>
      <c r="BZ7" s="40">
        <v>22088795</v>
      </c>
      <c r="CA7" s="40">
        <v>0</v>
      </c>
      <c r="CB7" s="40">
        <v>39365800</v>
      </c>
      <c r="CC7" s="40">
        <v>0</v>
      </c>
      <c r="CD7" s="40">
        <v>463470514</v>
      </c>
      <c r="CE7" s="40">
        <v>840427056</v>
      </c>
      <c r="CF7" s="41"/>
      <c r="CG7" s="41"/>
      <c r="CH7" s="42"/>
    </row>
    <row r="8" spans="1:86" ht="22.5">
      <c r="A8" s="38">
        <v>2</v>
      </c>
      <c r="B8" s="65" t="s">
        <v>91</v>
      </c>
      <c r="C8" s="39" t="s">
        <v>134</v>
      </c>
      <c r="D8" s="40">
        <v>21506</v>
      </c>
      <c r="E8" s="40">
        <v>0</v>
      </c>
      <c r="F8" s="40">
        <v>0</v>
      </c>
      <c r="G8" s="40">
        <v>0</v>
      </c>
      <c r="H8" s="40">
        <v>465</v>
      </c>
      <c r="I8" s="40">
        <v>22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1335775</v>
      </c>
      <c r="T8" s="40">
        <v>0</v>
      </c>
      <c r="U8" s="40">
        <v>0</v>
      </c>
      <c r="V8" s="40">
        <v>0</v>
      </c>
      <c r="W8" s="40">
        <v>0</v>
      </c>
      <c r="X8" s="40">
        <v>145244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0</v>
      </c>
      <c r="AP8" s="40">
        <v>0</v>
      </c>
      <c r="AQ8" s="40">
        <v>0</v>
      </c>
      <c r="AR8" s="40">
        <v>0</v>
      </c>
      <c r="AS8" s="40">
        <v>0</v>
      </c>
      <c r="AT8" s="40">
        <v>3339</v>
      </c>
      <c r="AU8" s="40">
        <v>0</v>
      </c>
      <c r="AV8" s="40">
        <v>0</v>
      </c>
      <c r="AW8" s="40">
        <v>0</v>
      </c>
      <c r="AX8" s="40">
        <v>0</v>
      </c>
      <c r="AY8" s="40">
        <v>0</v>
      </c>
      <c r="AZ8" s="40">
        <v>0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40">
        <v>0</v>
      </c>
      <c r="BG8" s="40">
        <v>0</v>
      </c>
      <c r="BH8" s="40">
        <v>0</v>
      </c>
      <c r="BI8" s="40">
        <v>0</v>
      </c>
      <c r="BJ8" s="40">
        <v>0</v>
      </c>
      <c r="BK8" s="40">
        <v>250</v>
      </c>
      <c r="BL8" s="40">
        <v>14067</v>
      </c>
      <c r="BM8" s="40">
        <v>335351</v>
      </c>
      <c r="BN8" s="40">
        <v>7681</v>
      </c>
      <c r="BO8" s="40">
        <v>0</v>
      </c>
      <c r="BP8" s="40">
        <v>3</v>
      </c>
      <c r="BQ8" s="40">
        <v>0</v>
      </c>
      <c r="BR8" s="40">
        <v>0</v>
      </c>
      <c r="BS8" s="40">
        <v>0</v>
      </c>
      <c r="BT8" s="40">
        <v>1863703</v>
      </c>
      <c r="BU8" s="40">
        <v>44990</v>
      </c>
      <c r="BV8" s="40">
        <v>0</v>
      </c>
      <c r="BW8" s="40">
        <v>0</v>
      </c>
      <c r="BX8" s="40">
        <v>44990</v>
      </c>
      <c r="BY8" s="40">
        <v>0</v>
      </c>
      <c r="BZ8" s="40">
        <v>552236</v>
      </c>
      <c r="CA8" s="40">
        <v>0</v>
      </c>
      <c r="CB8" s="40">
        <v>552236</v>
      </c>
      <c r="CC8" s="40">
        <v>0</v>
      </c>
      <c r="CD8" s="40">
        <v>597226</v>
      </c>
      <c r="CE8" s="40">
        <v>2460929</v>
      </c>
      <c r="CF8" s="41"/>
      <c r="CG8" s="41"/>
      <c r="CH8" s="42"/>
    </row>
    <row r="9" spans="1:86" ht="33.75">
      <c r="A9" s="38">
        <v>3</v>
      </c>
      <c r="B9" s="65" t="s">
        <v>90</v>
      </c>
      <c r="C9" s="39" t="s">
        <v>89</v>
      </c>
      <c r="D9" s="40">
        <v>0</v>
      </c>
      <c r="E9" s="40">
        <v>0</v>
      </c>
      <c r="F9" s="40">
        <v>4606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49</v>
      </c>
      <c r="O9" s="40">
        <v>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0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0</v>
      </c>
      <c r="AV9" s="40">
        <v>0</v>
      </c>
      <c r="AW9" s="40">
        <v>0</v>
      </c>
      <c r="AX9" s="40">
        <v>0</v>
      </c>
      <c r="AY9" s="40">
        <v>0</v>
      </c>
      <c r="AZ9" s="40">
        <v>0</v>
      </c>
      <c r="BA9" s="40">
        <v>0</v>
      </c>
      <c r="BB9" s="40">
        <v>0</v>
      </c>
      <c r="BC9" s="40">
        <v>5347</v>
      </c>
      <c r="BD9" s="40">
        <v>1339443</v>
      </c>
      <c r="BE9" s="40">
        <v>0</v>
      </c>
      <c r="BF9" s="40">
        <v>0</v>
      </c>
      <c r="BG9" s="40">
        <v>0</v>
      </c>
      <c r="BH9" s="40">
        <v>0</v>
      </c>
      <c r="BI9" s="40">
        <v>0</v>
      </c>
      <c r="BJ9" s="40">
        <v>0</v>
      </c>
      <c r="BK9" s="40">
        <v>0</v>
      </c>
      <c r="BL9" s="40">
        <v>0</v>
      </c>
      <c r="BM9" s="40">
        <v>347760</v>
      </c>
      <c r="BN9" s="40">
        <v>462180</v>
      </c>
      <c r="BO9" s="40">
        <v>211274</v>
      </c>
      <c r="BP9" s="40">
        <v>11467</v>
      </c>
      <c r="BQ9" s="40">
        <v>0</v>
      </c>
      <c r="BR9" s="40">
        <v>0</v>
      </c>
      <c r="BS9" s="40">
        <v>0</v>
      </c>
      <c r="BT9" s="40">
        <v>2382126</v>
      </c>
      <c r="BU9" s="40">
        <v>7778468</v>
      </c>
      <c r="BV9" s="40">
        <v>0</v>
      </c>
      <c r="BW9" s="40">
        <v>0</v>
      </c>
      <c r="BX9" s="40">
        <v>7778468</v>
      </c>
      <c r="BY9" s="40">
        <v>0</v>
      </c>
      <c r="BZ9" s="40">
        <v>0</v>
      </c>
      <c r="CA9" s="40">
        <v>0</v>
      </c>
      <c r="CB9" s="40">
        <v>0</v>
      </c>
      <c r="CC9" s="40">
        <v>0</v>
      </c>
      <c r="CD9" s="40">
        <v>7778468</v>
      </c>
      <c r="CE9" s="40">
        <v>10160594</v>
      </c>
      <c r="CF9" s="41"/>
      <c r="CG9" s="41"/>
      <c r="CH9" s="42"/>
    </row>
    <row r="10" spans="1:86">
      <c r="A10" s="38">
        <v>4</v>
      </c>
      <c r="B10" s="65" t="s">
        <v>88</v>
      </c>
      <c r="C10" s="39" t="s">
        <v>87</v>
      </c>
      <c r="D10" s="40">
        <v>157554</v>
      </c>
      <c r="E10" s="40">
        <v>0</v>
      </c>
      <c r="F10" s="40">
        <v>0</v>
      </c>
      <c r="G10" s="40">
        <v>1838580</v>
      </c>
      <c r="H10" s="40">
        <v>733</v>
      </c>
      <c r="I10" s="40">
        <v>35</v>
      </c>
      <c r="J10" s="40">
        <v>219859</v>
      </c>
      <c r="K10" s="40">
        <v>150016</v>
      </c>
      <c r="L10" s="40">
        <v>373</v>
      </c>
      <c r="M10" s="40">
        <v>1115</v>
      </c>
      <c r="N10" s="40">
        <v>6444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208</v>
      </c>
      <c r="U10" s="40">
        <v>0</v>
      </c>
      <c r="V10" s="40">
        <v>7746199</v>
      </c>
      <c r="W10" s="40">
        <v>0</v>
      </c>
      <c r="X10" s="40">
        <v>572</v>
      </c>
      <c r="Y10" s="40">
        <v>0</v>
      </c>
      <c r="Z10" s="40">
        <v>0</v>
      </c>
      <c r="AA10" s="40">
        <v>370983</v>
      </c>
      <c r="AB10" s="40">
        <v>420133</v>
      </c>
      <c r="AC10" s="40">
        <v>0</v>
      </c>
      <c r="AD10" s="40">
        <v>0</v>
      </c>
      <c r="AE10" s="40">
        <v>63438</v>
      </c>
      <c r="AF10" s="40">
        <v>0</v>
      </c>
      <c r="AG10" s="40">
        <v>117</v>
      </c>
      <c r="AH10" s="40">
        <v>0</v>
      </c>
      <c r="AI10" s="40">
        <v>0</v>
      </c>
      <c r="AJ10" s="40">
        <v>1937</v>
      </c>
      <c r="AK10" s="40">
        <v>0</v>
      </c>
      <c r="AL10" s="40">
        <v>835</v>
      </c>
      <c r="AM10" s="40">
        <v>0</v>
      </c>
      <c r="AN10" s="40">
        <v>38</v>
      </c>
      <c r="AO10" s="40">
        <v>2519</v>
      </c>
      <c r="AP10" s="40">
        <v>17374299</v>
      </c>
      <c r="AQ10" s="40">
        <v>0</v>
      </c>
      <c r="AR10" s="40">
        <v>3379431</v>
      </c>
      <c r="AS10" s="40">
        <v>436420</v>
      </c>
      <c r="AT10" s="40">
        <v>16466</v>
      </c>
      <c r="AU10" s="40">
        <v>0</v>
      </c>
      <c r="AV10" s="40">
        <v>6260</v>
      </c>
      <c r="AW10" s="40">
        <v>3183</v>
      </c>
      <c r="AX10" s="40">
        <v>12732105</v>
      </c>
      <c r="AY10" s="40">
        <v>0</v>
      </c>
      <c r="AZ10" s="40">
        <v>0</v>
      </c>
      <c r="BA10" s="40">
        <v>17569</v>
      </c>
      <c r="BB10" s="40">
        <v>0</v>
      </c>
      <c r="BC10" s="40">
        <v>0</v>
      </c>
      <c r="BD10" s="40">
        <v>0</v>
      </c>
      <c r="BE10" s="40">
        <v>0</v>
      </c>
      <c r="BF10" s="40">
        <v>0</v>
      </c>
      <c r="BG10" s="40">
        <v>0</v>
      </c>
      <c r="BH10" s="40">
        <v>0</v>
      </c>
      <c r="BI10" s="40">
        <v>0</v>
      </c>
      <c r="BJ10" s="40">
        <v>8746</v>
      </c>
      <c r="BK10" s="40">
        <v>62864</v>
      </c>
      <c r="BL10" s="40">
        <v>16604</v>
      </c>
      <c r="BM10" s="40">
        <v>3216752</v>
      </c>
      <c r="BN10" s="40">
        <v>10534770</v>
      </c>
      <c r="BO10" s="40">
        <v>8048347</v>
      </c>
      <c r="BP10" s="40">
        <v>51100</v>
      </c>
      <c r="BQ10" s="40">
        <v>35252</v>
      </c>
      <c r="BR10" s="40">
        <v>0</v>
      </c>
      <c r="BS10" s="40">
        <v>0</v>
      </c>
      <c r="BT10" s="40">
        <v>66921856</v>
      </c>
      <c r="BU10" s="40">
        <v>0</v>
      </c>
      <c r="BV10" s="40">
        <v>0</v>
      </c>
      <c r="BW10" s="40">
        <v>0</v>
      </c>
      <c r="BX10" s="40">
        <v>0</v>
      </c>
      <c r="BY10" s="40">
        <v>0</v>
      </c>
      <c r="BZ10" s="40">
        <v>0</v>
      </c>
      <c r="CA10" s="40">
        <v>0</v>
      </c>
      <c r="CB10" s="40">
        <v>0</v>
      </c>
      <c r="CC10" s="40">
        <v>0</v>
      </c>
      <c r="CD10" s="40">
        <v>0</v>
      </c>
      <c r="CE10" s="40">
        <v>66921856</v>
      </c>
      <c r="CF10" s="41"/>
      <c r="CG10" s="41"/>
      <c r="CH10" s="42"/>
    </row>
    <row r="11" spans="1:86">
      <c r="A11" s="38">
        <v>5</v>
      </c>
      <c r="B11" s="65" t="s">
        <v>188</v>
      </c>
      <c r="C11" s="39" t="s">
        <v>187</v>
      </c>
      <c r="D11" s="40">
        <v>0</v>
      </c>
      <c r="E11" s="40">
        <v>0</v>
      </c>
      <c r="F11" s="40">
        <v>0</v>
      </c>
      <c r="G11" s="40">
        <v>0</v>
      </c>
      <c r="H11" s="40">
        <v>387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1546</v>
      </c>
      <c r="X11" s="40">
        <v>0</v>
      </c>
      <c r="Y11" s="40">
        <v>0</v>
      </c>
      <c r="Z11" s="40">
        <v>1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40">
        <v>0</v>
      </c>
      <c r="AN11" s="40">
        <v>0</v>
      </c>
      <c r="AO11" s="40">
        <v>0</v>
      </c>
      <c r="AP11" s="40">
        <v>0</v>
      </c>
      <c r="AQ11" s="40">
        <v>0</v>
      </c>
      <c r="AR11" s="40">
        <v>0</v>
      </c>
      <c r="AS11" s="40">
        <v>0</v>
      </c>
      <c r="AT11" s="40">
        <v>0</v>
      </c>
      <c r="AU11" s="40">
        <v>0</v>
      </c>
      <c r="AV11" s="40">
        <v>0</v>
      </c>
      <c r="AW11" s="40">
        <v>0</v>
      </c>
      <c r="AX11" s="40">
        <v>0</v>
      </c>
      <c r="AY11" s="40">
        <v>0</v>
      </c>
      <c r="AZ11" s="40">
        <v>0</v>
      </c>
      <c r="BA11" s="40">
        <v>0</v>
      </c>
      <c r="BB11" s="40">
        <v>0</v>
      </c>
      <c r="BC11" s="40">
        <v>0</v>
      </c>
      <c r="BD11" s="40">
        <v>0</v>
      </c>
      <c r="BE11" s="40">
        <v>0</v>
      </c>
      <c r="BF11" s="40">
        <v>0</v>
      </c>
      <c r="BG11" s="40">
        <v>0</v>
      </c>
      <c r="BH11" s="40">
        <v>0</v>
      </c>
      <c r="BI11" s="40">
        <v>0</v>
      </c>
      <c r="BJ11" s="40">
        <v>0</v>
      </c>
      <c r="BK11" s="40">
        <v>0</v>
      </c>
      <c r="BL11" s="40">
        <v>0</v>
      </c>
      <c r="BM11" s="40">
        <v>0</v>
      </c>
      <c r="BN11" s="40">
        <v>0</v>
      </c>
      <c r="BO11" s="40">
        <v>0</v>
      </c>
      <c r="BP11" s="40">
        <v>0</v>
      </c>
      <c r="BQ11" s="40">
        <v>0</v>
      </c>
      <c r="BR11" s="40">
        <v>0</v>
      </c>
      <c r="BS11" s="40">
        <v>0</v>
      </c>
      <c r="BT11" s="40">
        <v>1934</v>
      </c>
      <c r="BU11" s="40">
        <v>0</v>
      </c>
      <c r="BV11" s="40">
        <v>0</v>
      </c>
      <c r="BW11" s="40">
        <v>0</v>
      </c>
      <c r="BX11" s="40">
        <v>0</v>
      </c>
      <c r="BY11" s="40">
        <v>0</v>
      </c>
      <c r="BZ11" s="40">
        <v>0</v>
      </c>
      <c r="CA11" s="40">
        <v>0</v>
      </c>
      <c r="CB11" s="40">
        <v>0</v>
      </c>
      <c r="CC11" s="40">
        <v>0</v>
      </c>
      <c r="CD11" s="40">
        <v>0</v>
      </c>
      <c r="CE11" s="40">
        <v>1934</v>
      </c>
      <c r="CF11" s="41"/>
      <c r="CG11" s="41"/>
      <c r="CH11" s="42"/>
    </row>
    <row r="12" spans="1:86" ht="22.5">
      <c r="A12" s="38">
        <v>6</v>
      </c>
      <c r="B12" s="65" t="s">
        <v>186</v>
      </c>
      <c r="C12" s="39" t="s">
        <v>185</v>
      </c>
      <c r="D12" s="40">
        <v>518215</v>
      </c>
      <c r="E12" s="40">
        <v>0</v>
      </c>
      <c r="F12" s="40">
        <v>0</v>
      </c>
      <c r="G12" s="40">
        <v>0</v>
      </c>
      <c r="H12" s="40">
        <v>14175522</v>
      </c>
      <c r="I12" s="40">
        <v>677865</v>
      </c>
      <c r="J12" s="40">
        <v>290353</v>
      </c>
      <c r="K12" s="40">
        <v>611</v>
      </c>
      <c r="L12" s="40">
        <v>10853</v>
      </c>
      <c r="M12" s="40">
        <v>523803</v>
      </c>
      <c r="N12" s="40">
        <v>1313370</v>
      </c>
      <c r="O12" s="40">
        <v>0</v>
      </c>
      <c r="P12" s="40">
        <v>1035</v>
      </c>
      <c r="Q12" s="40">
        <v>621</v>
      </c>
      <c r="R12" s="40">
        <v>1087</v>
      </c>
      <c r="S12" s="40">
        <v>0</v>
      </c>
      <c r="T12" s="40">
        <v>41764</v>
      </c>
      <c r="U12" s="40">
        <v>0</v>
      </c>
      <c r="V12" s="40">
        <v>0</v>
      </c>
      <c r="W12" s="40">
        <v>2917882</v>
      </c>
      <c r="X12" s="40">
        <v>213733</v>
      </c>
      <c r="Y12" s="40">
        <v>114303</v>
      </c>
      <c r="Z12" s="40">
        <v>0</v>
      </c>
      <c r="AA12" s="40">
        <v>177306</v>
      </c>
      <c r="AB12" s="40">
        <v>3339</v>
      </c>
      <c r="AC12" s="40">
        <v>0</v>
      </c>
      <c r="AD12" s="40">
        <v>112</v>
      </c>
      <c r="AE12" s="40">
        <v>0</v>
      </c>
      <c r="AF12" s="40">
        <v>0</v>
      </c>
      <c r="AG12" s="40">
        <v>1865</v>
      </c>
      <c r="AH12" s="40">
        <v>0</v>
      </c>
      <c r="AI12" s="40">
        <v>0</v>
      </c>
      <c r="AJ12" s="40">
        <v>0</v>
      </c>
      <c r="AK12" s="40">
        <v>1891</v>
      </c>
      <c r="AL12" s="40">
        <v>0</v>
      </c>
      <c r="AM12" s="40">
        <v>0</v>
      </c>
      <c r="AN12" s="40">
        <v>0</v>
      </c>
      <c r="AO12" s="40">
        <v>5945</v>
      </c>
      <c r="AP12" s="40">
        <v>23666446</v>
      </c>
      <c r="AQ12" s="40">
        <v>75794198</v>
      </c>
      <c r="AR12" s="40">
        <v>3789389</v>
      </c>
      <c r="AS12" s="40">
        <v>38934</v>
      </c>
      <c r="AT12" s="40">
        <v>55888</v>
      </c>
      <c r="AU12" s="40">
        <v>0</v>
      </c>
      <c r="AV12" s="40">
        <v>92683</v>
      </c>
      <c r="AW12" s="40">
        <v>16388</v>
      </c>
      <c r="AX12" s="40">
        <v>32185258</v>
      </c>
      <c r="AY12" s="40">
        <v>0</v>
      </c>
      <c r="AZ12" s="40">
        <v>0</v>
      </c>
      <c r="BA12" s="40">
        <v>30820</v>
      </c>
      <c r="BB12" s="40">
        <v>0</v>
      </c>
      <c r="BC12" s="40">
        <v>257224</v>
      </c>
      <c r="BD12" s="40">
        <v>831</v>
      </c>
      <c r="BE12" s="40">
        <v>0</v>
      </c>
      <c r="BF12" s="40">
        <v>0</v>
      </c>
      <c r="BG12" s="40">
        <v>0</v>
      </c>
      <c r="BH12" s="40">
        <v>0</v>
      </c>
      <c r="BI12" s="40">
        <v>0</v>
      </c>
      <c r="BJ12" s="40">
        <v>4858711</v>
      </c>
      <c r="BK12" s="40">
        <v>2470</v>
      </c>
      <c r="BL12" s="40">
        <v>174217</v>
      </c>
      <c r="BM12" s="40">
        <v>0</v>
      </c>
      <c r="BN12" s="40">
        <v>0</v>
      </c>
      <c r="BO12" s="40">
        <v>0</v>
      </c>
      <c r="BP12" s="40">
        <v>0</v>
      </c>
      <c r="BQ12" s="40">
        <v>0</v>
      </c>
      <c r="BR12" s="40">
        <v>0</v>
      </c>
      <c r="BS12" s="40">
        <v>0</v>
      </c>
      <c r="BT12" s="40">
        <v>161954932</v>
      </c>
      <c r="BU12" s="40">
        <v>0</v>
      </c>
      <c r="BV12" s="40">
        <v>0</v>
      </c>
      <c r="BW12" s="40">
        <v>0</v>
      </c>
      <c r="BX12" s="40">
        <v>0</v>
      </c>
      <c r="BY12" s="40">
        <v>0</v>
      </c>
      <c r="BZ12" s="40">
        <v>208014521</v>
      </c>
      <c r="CA12" s="40">
        <v>0</v>
      </c>
      <c r="CB12" s="40">
        <v>208014521</v>
      </c>
      <c r="CC12" s="40">
        <v>0</v>
      </c>
      <c r="CD12" s="40">
        <v>208014521</v>
      </c>
      <c r="CE12" s="40">
        <v>369969453</v>
      </c>
      <c r="CF12" s="41"/>
      <c r="CG12" s="41"/>
      <c r="CH12" s="42"/>
    </row>
    <row r="13" spans="1:86">
      <c r="A13" s="38">
        <v>7</v>
      </c>
      <c r="B13" s="65" t="s">
        <v>184</v>
      </c>
      <c r="C13" s="39" t="s">
        <v>183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9984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>
        <v>0</v>
      </c>
      <c r="AL13" s="40">
        <v>0</v>
      </c>
      <c r="AM13" s="40">
        <v>0</v>
      </c>
      <c r="AN13" s="40">
        <v>0</v>
      </c>
      <c r="AO13" s="40">
        <v>0</v>
      </c>
      <c r="AP13" s="40">
        <v>0</v>
      </c>
      <c r="AQ13" s="40">
        <v>0</v>
      </c>
      <c r="AR13" s="40">
        <v>0</v>
      </c>
      <c r="AS13" s="40">
        <v>0</v>
      </c>
      <c r="AT13" s="40">
        <v>0</v>
      </c>
      <c r="AU13" s="40">
        <v>0</v>
      </c>
      <c r="AV13" s="40">
        <v>0</v>
      </c>
      <c r="AW13" s="40">
        <v>0</v>
      </c>
      <c r="AX13" s="40">
        <v>0</v>
      </c>
      <c r="AY13" s="40">
        <v>0</v>
      </c>
      <c r="AZ13" s="40">
        <v>0</v>
      </c>
      <c r="BA13" s="40">
        <v>0</v>
      </c>
      <c r="BB13" s="40">
        <v>0</v>
      </c>
      <c r="BC13" s="40">
        <v>0</v>
      </c>
      <c r="BD13" s="40">
        <v>0</v>
      </c>
      <c r="BE13" s="40">
        <v>0</v>
      </c>
      <c r="BF13" s="40">
        <v>0</v>
      </c>
      <c r="BG13" s="40">
        <v>0</v>
      </c>
      <c r="BH13" s="40">
        <v>0</v>
      </c>
      <c r="BI13" s="40">
        <v>0</v>
      </c>
      <c r="BJ13" s="40">
        <v>0</v>
      </c>
      <c r="BK13" s="40">
        <v>0</v>
      </c>
      <c r="BL13" s="40">
        <v>0</v>
      </c>
      <c r="BM13" s="40">
        <v>0</v>
      </c>
      <c r="BN13" s="40">
        <v>0</v>
      </c>
      <c r="BO13" s="40">
        <v>0</v>
      </c>
      <c r="BP13" s="40">
        <v>0</v>
      </c>
      <c r="BQ13" s="40">
        <v>0</v>
      </c>
      <c r="BR13" s="40">
        <v>0</v>
      </c>
      <c r="BS13" s="40">
        <v>0</v>
      </c>
      <c r="BT13" s="40">
        <v>9984</v>
      </c>
      <c r="BU13" s="40">
        <v>0</v>
      </c>
      <c r="BV13" s="40">
        <v>0</v>
      </c>
      <c r="BW13" s="40">
        <v>0</v>
      </c>
      <c r="BX13" s="40">
        <v>0</v>
      </c>
      <c r="BY13" s="40">
        <v>0</v>
      </c>
      <c r="BZ13" s="40">
        <v>0</v>
      </c>
      <c r="CA13" s="40">
        <v>0</v>
      </c>
      <c r="CB13" s="40">
        <v>0</v>
      </c>
      <c r="CC13" s="40">
        <v>0</v>
      </c>
      <c r="CD13" s="40">
        <v>0</v>
      </c>
      <c r="CE13" s="40">
        <v>9984</v>
      </c>
      <c r="CF13" s="41"/>
      <c r="CG13" s="41"/>
      <c r="CH13" s="42"/>
    </row>
    <row r="14" spans="1:86">
      <c r="A14" s="38">
        <v>8</v>
      </c>
      <c r="B14" s="65" t="s">
        <v>182</v>
      </c>
      <c r="C14" s="39" t="s">
        <v>181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16917236</v>
      </c>
      <c r="Y14" s="40">
        <v>0</v>
      </c>
      <c r="Z14" s="40">
        <v>0</v>
      </c>
      <c r="AA14" s="40">
        <v>0</v>
      </c>
      <c r="AB14" s="40">
        <v>12475278</v>
      </c>
      <c r="AC14" s="40">
        <v>0</v>
      </c>
      <c r="AD14" s="40">
        <v>0</v>
      </c>
      <c r="AE14" s="40">
        <v>290667185</v>
      </c>
      <c r="AF14" s="40">
        <v>0</v>
      </c>
      <c r="AG14" s="40">
        <v>0</v>
      </c>
      <c r="AH14" s="40">
        <v>0</v>
      </c>
      <c r="AI14" s="40">
        <v>0</v>
      </c>
      <c r="AJ14" s="40">
        <v>0</v>
      </c>
      <c r="AK14" s="40">
        <v>0</v>
      </c>
      <c r="AL14" s="40">
        <v>0</v>
      </c>
      <c r="AM14" s="40">
        <v>0</v>
      </c>
      <c r="AN14" s="40">
        <v>0</v>
      </c>
      <c r="AO14" s="40">
        <v>0</v>
      </c>
      <c r="AP14" s="40">
        <v>0</v>
      </c>
      <c r="AQ14" s="40">
        <v>0</v>
      </c>
      <c r="AR14" s="40">
        <v>0</v>
      </c>
      <c r="AS14" s="40">
        <v>0</v>
      </c>
      <c r="AT14" s="40">
        <v>0</v>
      </c>
      <c r="AU14" s="40">
        <v>0</v>
      </c>
      <c r="AV14" s="40">
        <v>0</v>
      </c>
      <c r="AW14" s="40">
        <v>0</v>
      </c>
      <c r="AX14" s="40">
        <v>0</v>
      </c>
      <c r="AY14" s="40">
        <v>0</v>
      </c>
      <c r="AZ14" s="40">
        <v>0</v>
      </c>
      <c r="BA14" s="40">
        <v>0</v>
      </c>
      <c r="BB14" s="40">
        <v>0</v>
      </c>
      <c r="BC14" s="40">
        <v>0</v>
      </c>
      <c r="BD14" s="40">
        <v>0</v>
      </c>
      <c r="BE14" s="40">
        <v>0</v>
      </c>
      <c r="BF14" s="40">
        <v>0</v>
      </c>
      <c r="BG14" s="40">
        <v>0</v>
      </c>
      <c r="BH14" s="40">
        <v>0</v>
      </c>
      <c r="BI14" s="40">
        <v>0</v>
      </c>
      <c r="BJ14" s="40">
        <v>0</v>
      </c>
      <c r="BK14" s="40">
        <v>0</v>
      </c>
      <c r="BL14" s="40">
        <v>0</v>
      </c>
      <c r="BM14" s="40">
        <v>0</v>
      </c>
      <c r="BN14" s="40">
        <v>0</v>
      </c>
      <c r="BO14" s="40">
        <v>0</v>
      </c>
      <c r="BP14" s="40">
        <v>0</v>
      </c>
      <c r="BQ14" s="40">
        <v>0</v>
      </c>
      <c r="BR14" s="40">
        <v>0</v>
      </c>
      <c r="BS14" s="40">
        <v>0</v>
      </c>
      <c r="BT14" s="40">
        <v>320059699</v>
      </c>
      <c r="BU14" s="40">
        <v>0</v>
      </c>
      <c r="BV14" s="40">
        <v>0</v>
      </c>
      <c r="BW14" s="40">
        <v>0</v>
      </c>
      <c r="BX14" s="40">
        <v>0</v>
      </c>
      <c r="BY14" s="40">
        <v>0</v>
      </c>
      <c r="BZ14" s="40">
        <v>0</v>
      </c>
      <c r="CA14" s="40">
        <v>0</v>
      </c>
      <c r="CB14" s="40">
        <v>0</v>
      </c>
      <c r="CC14" s="40">
        <v>0</v>
      </c>
      <c r="CD14" s="40">
        <v>0</v>
      </c>
      <c r="CE14" s="40">
        <v>320059699</v>
      </c>
      <c r="CF14" s="41"/>
      <c r="CG14" s="41"/>
      <c r="CH14" s="42"/>
    </row>
    <row r="15" spans="1:86" ht="22.5">
      <c r="A15" s="38">
        <v>9</v>
      </c>
      <c r="B15" s="65" t="s">
        <v>102</v>
      </c>
      <c r="C15" s="39" t="s">
        <v>180</v>
      </c>
      <c r="D15" s="40">
        <v>1693316</v>
      </c>
      <c r="E15" s="40">
        <v>12</v>
      </c>
      <c r="F15" s="40">
        <v>6467</v>
      </c>
      <c r="G15" s="40">
        <v>0</v>
      </c>
      <c r="H15" s="40">
        <v>2199587</v>
      </c>
      <c r="I15" s="40">
        <v>104421</v>
      </c>
      <c r="J15" s="40">
        <v>0</v>
      </c>
      <c r="K15" s="40">
        <v>0</v>
      </c>
      <c r="L15" s="40">
        <v>360332</v>
      </c>
      <c r="M15" s="40">
        <v>17972</v>
      </c>
      <c r="N15" s="40">
        <v>44275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508443</v>
      </c>
      <c r="U15" s="40">
        <v>0</v>
      </c>
      <c r="V15" s="40">
        <v>0</v>
      </c>
      <c r="W15" s="40">
        <v>39</v>
      </c>
      <c r="X15" s="40">
        <v>999653</v>
      </c>
      <c r="Y15" s="40">
        <v>27120</v>
      </c>
      <c r="Z15" s="40">
        <v>155188</v>
      </c>
      <c r="AA15" s="40">
        <v>11013865</v>
      </c>
      <c r="AB15" s="40">
        <v>287876</v>
      </c>
      <c r="AC15" s="40">
        <v>51</v>
      </c>
      <c r="AD15" s="40">
        <v>126</v>
      </c>
      <c r="AE15" s="40">
        <v>1149</v>
      </c>
      <c r="AF15" s="40">
        <v>0</v>
      </c>
      <c r="AG15" s="40">
        <v>0</v>
      </c>
      <c r="AH15" s="40">
        <v>0</v>
      </c>
      <c r="AI15" s="40">
        <v>0</v>
      </c>
      <c r="AJ15" s="40">
        <v>70</v>
      </c>
      <c r="AK15" s="40">
        <v>6138</v>
      </c>
      <c r="AL15" s="40">
        <v>2646</v>
      </c>
      <c r="AM15" s="40">
        <v>0</v>
      </c>
      <c r="AN15" s="40">
        <v>60111</v>
      </c>
      <c r="AO15" s="40">
        <v>0</v>
      </c>
      <c r="AP15" s="40">
        <v>208996</v>
      </c>
      <c r="AQ15" s="40">
        <v>0</v>
      </c>
      <c r="AR15" s="40">
        <v>89929</v>
      </c>
      <c r="AS15" s="40">
        <v>166423</v>
      </c>
      <c r="AT15" s="40">
        <v>5216010</v>
      </c>
      <c r="AU15" s="40">
        <v>0</v>
      </c>
      <c r="AV15" s="40">
        <v>0</v>
      </c>
      <c r="AW15" s="40">
        <v>0</v>
      </c>
      <c r="AX15" s="40">
        <v>0</v>
      </c>
      <c r="AY15" s="40">
        <v>0</v>
      </c>
      <c r="AZ15" s="40">
        <v>0</v>
      </c>
      <c r="BA15" s="40">
        <v>0</v>
      </c>
      <c r="BB15" s="40">
        <v>0</v>
      </c>
      <c r="BC15" s="40">
        <v>0</v>
      </c>
      <c r="BD15" s="40">
        <v>0</v>
      </c>
      <c r="BE15" s="40">
        <v>0</v>
      </c>
      <c r="BF15" s="40">
        <v>0</v>
      </c>
      <c r="BG15" s="40">
        <v>0</v>
      </c>
      <c r="BH15" s="40">
        <v>0</v>
      </c>
      <c r="BI15" s="40">
        <v>0</v>
      </c>
      <c r="BJ15" s="40">
        <v>0</v>
      </c>
      <c r="BK15" s="40">
        <v>296865</v>
      </c>
      <c r="BL15" s="40">
        <v>84592</v>
      </c>
      <c r="BM15" s="40">
        <v>7738</v>
      </c>
      <c r="BN15" s="40">
        <v>190402</v>
      </c>
      <c r="BO15" s="40">
        <v>114816</v>
      </c>
      <c r="BP15" s="40">
        <v>466</v>
      </c>
      <c r="BQ15" s="40">
        <v>35443</v>
      </c>
      <c r="BR15" s="40">
        <v>0</v>
      </c>
      <c r="BS15" s="40">
        <v>0</v>
      </c>
      <c r="BT15" s="40">
        <v>23900537</v>
      </c>
      <c r="BU15" s="40">
        <v>3493</v>
      </c>
      <c r="BV15" s="40">
        <v>0</v>
      </c>
      <c r="BW15" s="40">
        <v>0</v>
      </c>
      <c r="BX15" s="40">
        <v>3493</v>
      </c>
      <c r="BY15" s="40">
        <v>0</v>
      </c>
      <c r="BZ15" s="40">
        <v>10273535</v>
      </c>
      <c r="CA15" s="40">
        <v>0</v>
      </c>
      <c r="CB15" s="40">
        <v>10273535</v>
      </c>
      <c r="CC15" s="40">
        <v>0</v>
      </c>
      <c r="CD15" s="40">
        <v>10277028</v>
      </c>
      <c r="CE15" s="40">
        <v>34177565</v>
      </c>
      <c r="CF15" s="41"/>
      <c r="CG15" s="41"/>
      <c r="CH15" s="42"/>
    </row>
    <row r="16" spans="1:86" ht="22.5">
      <c r="A16" s="38">
        <v>10</v>
      </c>
      <c r="B16" s="65" t="s">
        <v>86</v>
      </c>
      <c r="C16" s="39" t="s">
        <v>85</v>
      </c>
      <c r="D16" s="40">
        <v>0</v>
      </c>
      <c r="E16" s="40">
        <v>0</v>
      </c>
      <c r="F16" s="40">
        <v>0</v>
      </c>
      <c r="G16" s="40">
        <v>51480</v>
      </c>
      <c r="H16" s="40">
        <v>815768</v>
      </c>
      <c r="I16" s="40">
        <v>30770</v>
      </c>
      <c r="J16" s="40">
        <v>35029</v>
      </c>
      <c r="K16" s="40">
        <v>152319</v>
      </c>
      <c r="L16" s="40">
        <v>20541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40">
        <v>0</v>
      </c>
      <c r="AR16" s="40">
        <v>0</v>
      </c>
      <c r="AS16" s="40">
        <v>0</v>
      </c>
      <c r="AT16" s="40">
        <v>0</v>
      </c>
      <c r="AU16" s="40">
        <v>0</v>
      </c>
      <c r="AV16" s="40">
        <v>0</v>
      </c>
      <c r="AW16" s="40">
        <v>0</v>
      </c>
      <c r="AX16" s="40">
        <v>0</v>
      </c>
      <c r="AY16" s="40">
        <v>0</v>
      </c>
      <c r="AZ16" s="40">
        <v>0</v>
      </c>
      <c r="BA16" s="40">
        <v>0</v>
      </c>
      <c r="BB16" s="40">
        <v>0</v>
      </c>
      <c r="BC16" s="40">
        <v>0</v>
      </c>
      <c r="BD16" s="40">
        <v>0</v>
      </c>
      <c r="BE16" s="40">
        <v>0</v>
      </c>
      <c r="BF16" s="40">
        <v>0</v>
      </c>
      <c r="BG16" s="40">
        <v>0</v>
      </c>
      <c r="BH16" s="40">
        <v>0</v>
      </c>
      <c r="BI16" s="40">
        <v>0</v>
      </c>
      <c r="BJ16" s="40">
        <v>0</v>
      </c>
      <c r="BK16" s="40">
        <v>0</v>
      </c>
      <c r="BL16" s="40">
        <v>0</v>
      </c>
      <c r="BM16" s="40">
        <v>0</v>
      </c>
      <c r="BN16" s="40">
        <v>0</v>
      </c>
      <c r="BO16" s="40">
        <v>0</v>
      </c>
      <c r="BP16" s="40">
        <v>0</v>
      </c>
      <c r="BQ16" s="40">
        <v>0</v>
      </c>
      <c r="BR16" s="40">
        <v>0</v>
      </c>
      <c r="BS16" s="40">
        <v>0</v>
      </c>
      <c r="BT16" s="40">
        <v>1105907</v>
      </c>
      <c r="BU16" s="40">
        <v>0</v>
      </c>
      <c r="BV16" s="40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0</v>
      </c>
      <c r="CC16" s="40">
        <v>0</v>
      </c>
      <c r="CD16" s="40">
        <v>0</v>
      </c>
      <c r="CE16" s="40">
        <v>1105907</v>
      </c>
      <c r="CF16" s="41"/>
      <c r="CG16" s="41"/>
      <c r="CH16" s="42"/>
    </row>
    <row r="17" spans="1:86">
      <c r="A17" s="38">
        <v>11</v>
      </c>
      <c r="B17" s="65" t="s">
        <v>179</v>
      </c>
      <c r="C17" s="39" t="s">
        <v>178</v>
      </c>
      <c r="D17" s="40">
        <v>30441028</v>
      </c>
      <c r="E17" s="40">
        <v>0</v>
      </c>
      <c r="F17" s="40">
        <v>363902</v>
      </c>
      <c r="G17" s="40">
        <v>0</v>
      </c>
      <c r="H17" s="40">
        <v>0</v>
      </c>
      <c r="I17" s="40">
        <v>0</v>
      </c>
      <c r="J17" s="40">
        <v>0</v>
      </c>
      <c r="K17" s="40">
        <v>0</v>
      </c>
      <c r="L17" s="40">
        <v>0</v>
      </c>
      <c r="M17" s="40">
        <v>126</v>
      </c>
      <c r="N17" s="40">
        <v>144199316</v>
      </c>
      <c r="O17" s="40">
        <v>0</v>
      </c>
      <c r="P17" s="40">
        <v>74580</v>
      </c>
      <c r="Q17" s="40">
        <v>0</v>
      </c>
      <c r="R17" s="40">
        <v>9625</v>
      </c>
      <c r="S17" s="40">
        <v>0</v>
      </c>
      <c r="T17" s="40">
        <v>154835</v>
      </c>
      <c r="U17" s="40">
        <v>0</v>
      </c>
      <c r="V17" s="40">
        <v>0</v>
      </c>
      <c r="W17" s="40">
        <v>0</v>
      </c>
      <c r="X17" s="40">
        <v>19299899</v>
      </c>
      <c r="Y17" s="40">
        <v>32921820</v>
      </c>
      <c r="Z17" s="40">
        <v>0</v>
      </c>
      <c r="AA17" s="40">
        <v>0</v>
      </c>
      <c r="AB17" s="40">
        <v>3</v>
      </c>
      <c r="AC17" s="40">
        <v>0</v>
      </c>
      <c r="AD17" s="40">
        <v>0</v>
      </c>
      <c r="AE17" s="40">
        <v>0</v>
      </c>
      <c r="AF17" s="40">
        <v>0</v>
      </c>
      <c r="AG17" s="40">
        <v>6</v>
      </c>
      <c r="AH17" s="40">
        <v>0</v>
      </c>
      <c r="AI17" s="40">
        <v>0</v>
      </c>
      <c r="AJ17" s="40">
        <v>0</v>
      </c>
      <c r="AK17" s="40">
        <v>0</v>
      </c>
      <c r="AL17" s="40">
        <v>0</v>
      </c>
      <c r="AM17" s="40">
        <v>0</v>
      </c>
      <c r="AN17" s="40">
        <v>0</v>
      </c>
      <c r="AO17" s="40">
        <v>0</v>
      </c>
      <c r="AP17" s="40">
        <v>0</v>
      </c>
      <c r="AQ17" s="40">
        <v>0</v>
      </c>
      <c r="AR17" s="40">
        <v>1</v>
      </c>
      <c r="AS17" s="40">
        <v>1</v>
      </c>
      <c r="AT17" s="40">
        <v>0</v>
      </c>
      <c r="AU17" s="40">
        <v>0</v>
      </c>
      <c r="AV17" s="40">
        <v>3</v>
      </c>
      <c r="AW17" s="40">
        <v>2</v>
      </c>
      <c r="AX17" s="40">
        <v>3</v>
      </c>
      <c r="AY17" s="40">
        <v>0</v>
      </c>
      <c r="AZ17" s="40">
        <v>0</v>
      </c>
      <c r="BA17" s="40">
        <v>0</v>
      </c>
      <c r="BB17" s="40">
        <v>0</v>
      </c>
      <c r="BC17" s="40">
        <v>11038379</v>
      </c>
      <c r="BD17" s="40">
        <v>73396792</v>
      </c>
      <c r="BE17" s="40">
        <v>18137</v>
      </c>
      <c r="BF17" s="40">
        <v>0</v>
      </c>
      <c r="BG17" s="40">
        <v>74238</v>
      </c>
      <c r="BH17" s="40">
        <v>0</v>
      </c>
      <c r="BI17" s="40">
        <v>358</v>
      </c>
      <c r="BJ17" s="40">
        <v>0</v>
      </c>
      <c r="BK17" s="40">
        <v>1365481</v>
      </c>
      <c r="BL17" s="40">
        <v>0</v>
      </c>
      <c r="BM17" s="40">
        <v>6109694</v>
      </c>
      <c r="BN17" s="40">
        <v>45739132</v>
      </c>
      <c r="BO17" s="40">
        <v>26849942</v>
      </c>
      <c r="BP17" s="40">
        <v>954882</v>
      </c>
      <c r="BQ17" s="40">
        <v>3660454</v>
      </c>
      <c r="BR17" s="40">
        <v>0</v>
      </c>
      <c r="BS17" s="40">
        <v>0</v>
      </c>
      <c r="BT17" s="40">
        <v>396672639</v>
      </c>
      <c r="BU17" s="40">
        <v>2341396470</v>
      </c>
      <c r="BV17" s="40">
        <v>0</v>
      </c>
      <c r="BW17" s="40">
        <v>0</v>
      </c>
      <c r="BX17" s="40">
        <v>2341396470</v>
      </c>
      <c r="BY17" s="40">
        <v>0</v>
      </c>
      <c r="BZ17" s="40">
        <v>38165717</v>
      </c>
      <c r="CA17" s="40">
        <v>0</v>
      </c>
      <c r="CB17" s="40">
        <v>38165717</v>
      </c>
      <c r="CC17" s="40">
        <v>0</v>
      </c>
      <c r="CD17" s="40">
        <v>2379562187</v>
      </c>
      <c r="CE17" s="40">
        <v>2776234826</v>
      </c>
      <c r="CF17" s="41"/>
      <c r="CG17" s="41"/>
      <c r="CH17" s="42"/>
    </row>
    <row r="18" spans="1:86">
      <c r="A18" s="38">
        <v>12</v>
      </c>
      <c r="B18" s="65" t="s">
        <v>84</v>
      </c>
      <c r="C18" s="39" t="s">
        <v>83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1476346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0</v>
      </c>
      <c r="AP18" s="40">
        <v>0</v>
      </c>
      <c r="AQ18" s="40">
        <v>0</v>
      </c>
      <c r="AR18" s="40">
        <v>0</v>
      </c>
      <c r="AS18" s="40">
        <v>0</v>
      </c>
      <c r="AT18" s="40">
        <v>0</v>
      </c>
      <c r="AU18" s="40">
        <v>0</v>
      </c>
      <c r="AV18" s="40">
        <v>0</v>
      </c>
      <c r="AW18" s="40">
        <v>0</v>
      </c>
      <c r="AX18" s="40">
        <v>0</v>
      </c>
      <c r="AY18" s="40">
        <v>0</v>
      </c>
      <c r="AZ18" s="40">
        <v>0</v>
      </c>
      <c r="BA18" s="40">
        <v>0</v>
      </c>
      <c r="BB18" s="40">
        <v>0</v>
      </c>
      <c r="BC18" s="40">
        <v>0</v>
      </c>
      <c r="BD18" s="40">
        <v>0</v>
      </c>
      <c r="BE18" s="40">
        <v>0</v>
      </c>
      <c r="BF18" s="40">
        <v>0</v>
      </c>
      <c r="BG18" s="40">
        <v>0</v>
      </c>
      <c r="BH18" s="40">
        <v>0</v>
      </c>
      <c r="BI18" s="40">
        <v>0</v>
      </c>
      <c r="BJ18" s="40">
        <v>0</v>
      </c>
      <c r="BK18" s="40">
        <v>0</v>
      </c>
      <c r="BL18" s="40">
        <v>0</v>
      </c>
      <c r="BM18" s="40">
        <v>0</v>
      </c>
      <c r="BN18" s="40">
        <v>0</v>
      </c>
      <c r="BO18" s="40">
        <v>0</v>
      </c>
      <c r="BP18" s="40">
        <v>0</v>
      </c>
      <c r="BQ18" s="40">
        <v>0</v>
      </c>
      <c r="BR18" s="40">
        <v>0</v>
      </c>
      <c r="BS18" s="40">
        <v>0</v>
      </c>
      <c r="BT18" s="40">
        <v>1476346</v>
      </c>
      <c r="BU18" s="40">
        <v>184830069</v>
      </c>
      <c r="BV18" s="40">
        <v>0</v>
      </c>
      <c r="BW18" s="40">
        <v>0</v>
      </c>
      <c r="BX18" s="40">
        <v>184830069</v>
      </c>
      <c r="BY18" s="40">
        <v>0</v>
      </c>
      <c r="BZ18" s="40">
        <v>0</v>
      </c>
      <c r="CA18" s="40">
        <v>0</v>
      </c>
      <c r="CB18" s="40">
        <v>0</v>
      </c>
      <c r="CC18" s="40">
        <v>0</v>
      </c>
      <c r="CD18" s="40">
        <v>184830069</v>
      </c>
      <c r="CE18" s="40">
        <v>186306415</v>
      </c>
      <c r="CF18" s="41"/>
      <c r="CG18" s="41"/>
      <c r="CH18" s="42"/>
    </row>
    <row r="19" spans="1:86">
      <c r="A19" s="38">
        <v>13</v>
      </c>
      <c r="B19" s="65" t="s">
        <v>101</v>
      </c>
      <c r="C19" s="39" t="s">
        <v>177</v>
      </c>
      <c r="D19" s="40">
        <v>3457553</v>
      </c>
      <c r="E19" s="40">
        <v>14266</v>
      </c>
      <c r="F19" s="40">
        <v>1810049</v>
      </c>
      <c r="G19" s="40">
        <v>150280</v>
      </c>
      <c r="H19" s="40">
        <v>3906629</v>
      </c>
      <c r="I19" s="40">
        <v>184286</v>
      </c>
      <c r="J19" s="40">
        <v>36045</v>
      </c>
      <c r="K19" s="40">
        <v>90959</v>
      </c>
      <c r="L19" s="40">
        <v>0</v>
      </c>
      <c r="M19" s="40">
        <v>17747</v>
      </c>
      <c r="N19" s="40">
        <v>815872</v>
      </c>
      <c r="O19" s="40">
        <v>0</v>
      </c>
      <c r="P19" s="40">
        <v>11944275</v>
      </c>
      <c r="Q19" s="40">
        <v>22176744</v>
      </c>
      <c r="R19" s="40">
        <v>812147</v>
      </c>
      <c r="S19" s="40">
        <v>0</v>
      </c>
      <c r="T19" s="40">
        <v>0</v>
      </c>
      <c r="U19" s="40">
        <v>0</v>
      </c>
      <c r="V19" s="40">
        <v>0</v>
      </c>
      <c r="W19" s="40">
        <v>419232</v>
      </c>
      <c r="X19" s="40">
        <v>8702582</v>
      </c>
      <c r="Y19" s="40">
        <v>296116</v>
      </c>
      <c r="Z19" s="40">
        <v>232690</v>
      </c>
      <c r="AA19" s="40">
        <v>157038</v>
      </c>
      <c r="AB19" s="40">
        <v>8153</v>
      </c>
      <c r="AC19" s="40">
        <v>0</v>
      </c>
      <c r="AD19" s="40">
        <v>0</v>
      </c>
      <c r="AE19" s="40">
        <v>6077</v>
      </c>
      <c r="AF19" s="40">
        <v>0</v>
      </c>
      <c r="AG19" s="40">
        <v>0</v>
      </c>
      <c r="AH19" s="40">
        <v>0</v>
      </c>
      <c r="AI19" s="40">
        <v>0</v>
      </c>
      <c r="AJ19" s="40">
        <v>6869</v>
      </c>
      <c r="AK19" s="40">
        <v>11444943</v>
      </c>
      <c r="AL19" s="40">
        <v>82670</v>
      </c>
      <c r="AM19" s="40">
        <v>2391977</v>
      </c>
      <c r="AN19" s="40">
        <v>12631</v>
      </c>
      <c r="AO19" s="40">
        <v>45704</v>
      </c>
      <c r="AP19" s="40">
        <v>19849</v>
      </c>
      <c r="AQ19" s="40">
        <v>0</v>
      </c>
      <c r="AR19" s="40">
        <v>2168</v>
      </c>
      <c r="AS19" s="40">
        <v>0</v>
      </c>
      <c r="AT19" s="40">
        <v>4404626</v>
      </c>
      <c r="AU19" s="40">
        <v>0</v>
      </c>
      <c r="AV19" s="40">
        <v>3632359</v>
      </c>
      <c r="AW19" s="40">
        <v>2465175</v>
      </c>
      <c r="AX19" s="40">
        <v>180137</v>
      </c>
      <c r="AY19" s="40">
        <v>1083550</v>
      </c>
      <c r="AZ19" s="40">
        <v>0</v>
      </c>
      <c r="BA19" s="40">
        <v>259716</v>
      </c>
      <c r="BB19" s="40">
        <v>274875</v>
      </c>
      <c r="BC19" s="40">
        <v>24626447</v>
      </c>
      <c r="BD19" s="40">
        <v>0</v>
      </c>
      <c r="BE19" s="40">
        <v>468</v>
      </c>
      <c r="BF19" s="40">
        <v>0</v>
      </c>
      <c r="BG19" s="40">
        <v>37754</v>
      </c>
      <c r="BH19" s="40">
        <v>0</v>
      </c>
      <c r="BI19" s="40">
        <v>0</v>
      </c>
      <c r="BJ19" s="40">
        <v>782420</v>
      </c>
      <c r="BK19" s="40">
        <v>206530</v>
      </c>
      <c r="BL19" s="40">
        <v>376376</v>
      </c>
      <c r="BM19" s="40">
        <v>17035431</v>
      </c>
      <c r="BN19" s="40">
        <v>15109906</v>
      </c>
      <c r="BO19" s="40">
        <v>34747144</v>
      </c>
      <c r="BP19" s="40">
        <v>2783481</v>
      </c>
      <c r="BQ19" s="40">
        <v>27165451</v>
      </c>
      <c r="BR19" s="40">
        <v>2193958</v>
      </c>
      <c r="BS19" s="40">
        <v>0</v>
      </c>
      <c r="BT19" s="40">
        <v>206611355</v>
      </c>
      <c r="BU19" s="40">
        <v>407048220</v>
      </c>
      <c r="BV19" s="40">
        <v>0</v>
      </c>
      <c r="BW19" s="40">
        <v>0</v>
      </c>
      <c r="BX19" s="40">
        <v>407048220</v>
      </c>
      <c r="BY19" s="40">
        <v>24163159</v>
      </c>
      <c r="BZ19" s="40">
        <v>42994086</v>
      </c>
      <c r="CA19" s="40">
        <v>0</v>
      </c>
      <c r="CB19" s="40">
        <v>67157245</v>
      </c>
      <c r="CC19" s="40">
        <v>0</v>
      </c>
      <c r="CD19" s="40">
        <v>474205465</v>
      </c>
      <c r="CE19" s="40">
        <v>680816820</v>
      </c>
      <c r="CF19" s="41"/>
      <c r="CG19" s="41"/>
      <c r="CH19" s="42"/>
    </row>
    <row r="20" spans="1:86">
      <c r="A20" s="38">
        <v>14</v>
      </c>
      <c r="B20" s="65" t="s">
        <v>100</v>
      </c>
      <c r="C20" s="39" t="s">
        <v>82</v>
      </c>
      <c r="D20" s="40">
        <v>50249</v>
      </c>
      <c r="E20" s="40">
        <v>581</v>
      </c>
      <c r="F20" s="40">
        <v>0</v>
      </c>
      <c r="G20" s="40">
        <v>17054</v>
      </c>
      <c r="H20" s="40">
        <v>735088</v>
      </c>
      <c r="I20" s="40">
        <v>34764</v>
      </c>
      <c r="J20" s="40">
        <v>5098</v>
      </c>
      <c r="K20" s="40">
        <v>32523</v>
      </c>
      <c r="L20" s="40">
        <v>887</v>
      </c>
      <c r="M20" s="40">
        <v>32188</v>
      </c>
      <c r="N20" s="40">
        <v>10978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40">
        <v>58</v>
      </c>
      <c r="U20" s="40">
        <v>0</v>
      </c>
      <c r="V20" s="40">
        <v>207</v>
      </c>
      <c r="W20" s="40">
        <v>34576</v>
      </c>
      <c r="X20" s="40">
        <v>18700</v>
      </c>
      <c r="Y20" s="40">
        <v>577721</v>
      </c>
      <c r="Z20" s="40">
        <v>2543</v>
      </c>
      <c r="AA20" s="40">
        <v>5950</v>
      </c>
      <c r="AB20" s="40">
        <v>0</v>
      </c>
      <c r="AC20" s="40">
        <v>52</v>
      </c>
      <c r="AD20" s="40">
        <v>0</v>
      </c>
      <c r="AE20" s="40">
        <v>816</v>
      </c>
      <c r="AF20" s="40">
        <v>0</v>
      </c>
      <c r="AG20" s="40">
        <v>908</v>
      </c>
      <c r="AH20" s="40">
        <v>0</v>
      </c>
      <c r="AI20" s="40">
        <v>0</v>
      </c>
      <c r="AJ20" s="40">
        <v>574</v>
      </c>
      <c r="AK20" s="40">
        <v>0</v>
      </c>
      <c r="AL20" s="40">
        <v>4793</v>
      </c>
      <c r="AM20" s="40">
        <v>0</v>
      </c>
      <c r="AN20" s="40">
        <v>0</v>
      </c>
      <c r="AO20" s="40">
        <v>38979</v>
      </c>
      <c r="AP20" s="40">
        <v>43986</v>
      </c>
      <c r="AQ20" s="40">
        <v>670</v>
      </c>
      <c r="AR20" s="40">
        <v>6785</v>
      </c>
      <c r="AS20" s="40">
        <v>14746</v>
      </c>
      <c r="AT20" s="40">
        <v>473137</v>
      </c>
      <c r="AU20" s="40">
        <v>1887</v>
      </c>
      <c r="AV20" s="40">
        <v>6389</v>
      </c>
      <c r="AW20" s="40">
        <v>208032</v>
      </c>
      <c r="AX20" s="40">
        <v>146141</v>
      </c>
      <c r="AY20" s="40">
        <v>941</v>
      </c>
      <c r="AZ20" s="40">
        <v>166385</v>
      </c>
      <c r="BA20" s="40">
        <v>117888</v>
      </c>
      <c r="BB20" s="40">
        <v>2125</v>
      </c>
      <c r="BC20" s="40">
        <v>629992</v>
      </c>
      <c r="BD20" s="40">
        <v>0</v>
      </c>
      <c r="BE20" s="40">
        <v>2436</v>
      </c>
      <c r="BF20" s="40">
        <v>7350</v>
      </c>
      <c r="BG20" s="40">
        <v>33866</v>
      </c>
      <c r="BH20" s="40">
        <v>24246</v>
      </c>
      <c r="BI20" s="40">
        <v>33172</v>
      </c>
      <c r="BJ20" s="40">
        <v>29688</v>
      </c>
      <c r="BK20" s="40">
        <v>178926</v>
      </c>
      <c r="BL20" s="40">
        <v>1488924</v>
      </c>
      <c r="BM20" s="40">
        <v>2170358</v>
      </c>
      <c r="BN20" s="40">
        <v>4870250</v>
      </c>
      <c r="BO20" s="40">
        <v>3057644</v>
      </c>
      <c r="BP20" s="40">
        <v>40957</v>
      </c>
      <c r="BQ20" s="40">
        <v>17354693</v>
      </c>
      <c r="BR20" s="40">
        <v>176234</v>
      </c>
      <c r="BS20" s="40">
        <v>0</v>
      </c>
      <c r="BT20" s="40">
        <v>32893135</v>
      </c>
      <c r="BU20" s="40">
        <v>1366403397</v>
      </c>
      <c r="BV20" s="40">
        <v>0</v>
      </c>
      <c r="BW20" s="40">
        <v>0</v>
      </c>
      <c r="BX20" s="40">
        <v>1366403397</v>
      </c>
      <c r="BY20" s="40">
        <v>0</v>
      </c>
      <c r="BZ20" s="40">
        <v>222366575</v>
      </c>
      <c r="CA20" s="40">
        <v>0</v>
      </c>
      <c r="CB20" s="40">
        <v>222366575</v>
      </c>
      <c r="CC20" s="40">
        <v>0</v>
      </c>
      <c r="CD20" s="40">
        <v>1588769972</v>
      </c>
      <c r="CE20" s="40">
        <v>1621663107</v>
      </c>
      <c r="CF20" s="41"/>
      <c r="CG20" s="41"/>
      <c r="CH20" s="42"/>
    </row>
    <row r="21" spans="1:86">
      <c r="A21" s="38">
        <v>15</v>
      </c>
      <c r="B21" s="65" t="s">
        <v>81</v>
      </c>
      <c r="C21" s="39" t="s">
        <v>80</v>
      </c>
      <c r="D21" s="40">
        <v>2066</v>
      </c>
      <c r="E21" s="40">
        <v>75</v>
      </c>
      <c r="F21" s="40">
        <v>0</v>
      </c>
      <c r="G21" s="40">
        <v>0</v>
      </c>
      <c r="H21" s="40">
        <v>8975</v>
      </c>
      <c r="I21" s="40">
        <v>394</v>
      </c>
      <c r="J21" s="40">
        <v>0</v>
      </c>
      <c r="K21" s="40">
        <v>2394</v>
      </c>
      <c r="L21" s="40">
        <v>0</v>
      </c>
      <c r="M21" s="40">
        <v>1508</v>
      </c>
      <c r="N21" s="40">
        <v>0</v>
      </c>
      <c r="O21" s="40">
        <v>0</v>
      </c>
      <c r="P21" s="40">
        <v>0</v>
      </c>
      <c r="Q21" s="40">
        <v>0</v>
      </c>
      <c r="R21" s="40">
        <v>651942</v>
      </c>
      <c r="S21" s="40">
        <v>0</v>
      </c>
      <c r="T21" s="40">
        <v>0</v>
      </c>
      <c r="U21" s="40">
        <v>0</v>
      </c>
      <c r="V21" s="40">
        <v>0</v>
      </c>
      <c r="W21" s="40">
        <v>80</v>
      </c>
      <c r="X21" s="40">
        <v>4686</v>
      </c>
      <c r="Y21" s="40">
        <v>0</v>
      </c>
      <c r="Z21" s="40">
        <v>163</v>
      </c>
      <c r="AA21" s="40">
        <v>595</v>
      </c>
      <c r="AB21" s="40">
        <v>76</v>
      </c>
      <c r="AC21" s="40">
        <v>0</v>
      </c>
      <c r="AD21" s="40">
        <v>0</v>
      </c>
      <c r="AE21" s="40">
        <v>351</v>
      </c>
      <c r="AF21" s="40">
        <v>0</v>
      </c>
      <c r="AG21" s="40">
        <v>60</v>
      </c>
      <c r="AH21" s="40">
        <v>0</v>
      </c>
      <c r="AI21" s="40">
        <v>1</v>
      </c>
      <c r="AJ21" s="40">
        <v>100</v>
      </c>
      <c r="AK21" s="40">
        <v>0</v>
      </c>
      <c r="AL21" s="40">
        <v>0</v>
      </c>
      <c r="AM21" s="40">
        <v>0</v>
      </c>
      <c r="AN21" s="40">
        <v>0</v>
      </c>
      <c r="AO21" s="40">
        <v>3857</v>
      </c>
      <c r="AP21" s="40">
        <v>7039</v>
      </c>
      <c r="AQ21" s="40">
        <v>0</v>
      </c>
      <c r="AR21" s="40">
        <v>1004</v>
      </c>
      <c r="AS21" s="40">
        <v>1094</v>
      </c>
      <c r="AT21" s="40">
        <v>211024</v>
      </c>
      <c r="AU21" s="40">
        <v>0</v>
      </c>
      <c r="AV21" s="40">
        <v>0</v>
      </c>
      <c r="AW21" s="40">
        <v>0</v>
      </c>
      <c r="AX21" s="40">
        <v>6594</v>
      </c>
      <c r="AY21" s="40">
        <v>0</v>
      </c>
      <c r="AZ21" s="40">
        <v>0</v>
      </c>
      <c r="BA21" s="40">
        <v>0</v>
      </c>
      <c r="BB21" s="40">
        <v>0</v>
      </c>
      <c r="BC21" s="40">
        <v>18110</v>
      </c>
      <c r="BD21" s="40">
        <v>0</v>
      </c>
      <c r="BE21" s="40">
        <v>111489</v>
      </c>
      <c r="BF21" s="40">
        <v>0</v>
      </c>
      <c r="BG21" s="40">
        <v>0</v>
      </c>
      <c r="BH21" s="40">
        <v>0</v>
      </c>
      <c r="BI21" s="40">
        <v>0</v>
      </c>
      <c r="BJ21" s="40">
        <v>0</v>
      </c>
      <c r="BK21" s="40">
        <v>102427</v>
      </c>
      <c r="BL21" s="40">
        <v>103858</v>
      </c>
      <c r="BM21" s="40">
        <v>1224163</v>
      </c>
      <c r="BN21" s="40">
        <v>1896828</v>
      </c>
      <c r="BO21" s="40">
        <v>335137</v>
      </c>
      <c r="BP21" s="40">
        <v>27995</v>
      </c>
      <c r="BQ21" s="40">
        <v>10722</v>
      </c>
      <c r="BR21" s="40">
        <v>0</v>
      </c>
      <c r="BS21" s="40">
        <v>0</v>
      </c>
      <c r="BT21" s="40">
        <v>4734807</v>
      </c>
      <c r="BU21" s="40">
        <v>424131304</v>
      </c>
      <c r="BV21" s="40">
        <v>0</v>
      </c>
      <c r="BW21" s="40">
        <v>0</v>
      </c>
      <c r="BX21" s="40">
        <v>424131304</v>
      </c>
      <c r="BY21" s="40">
        <v>0</v>
      </c>
      <c r="BZ21" s="40">
        <v>39468594</v>
      </c>
      <c r="CA21" s="40">
        <v>0</v>
      </c>
      <c r="CB21" s="40">
        <v>39468594</v>
      </c>
      <c r="CC21" s="40">
        <v>0</v>
      </c>
      <c r="CD21" s="40">
        <v>463599898</v>
      </c>
      <c r="CE21" s="40">
        <v>468334705</v>
      </c>
      <c r="CF21" s="41"/>
      <c r="CG21" s="41"/>
      <c r="CH21" s="42"/>
    </row>
    <row r="22" spans="1:86" ht="33.75">
      <c r="A22" s="38">
        <v>16</v>
      </c>
      <c r="B22" s="65" t="s">
        <v>79</v>
      </c>
      <c r="C22" s="39" t="s">
        <v>78</v>
      </c>
      <c r="D22" s="40">
        <v>706553</v>
      </c>
      <c r="E22" s="40">
        <v>0</v>
      </c>
      <c r="F22" s="40">
        <v>2396</v>
      </c>
      <c r="G22" s="40">
        <v>840714</v>
      </c>
      <c r="H22" s="40">
        <v>149257</v>
      </c>
      <c r="I22" s="40">
        <v>7096</v>
      </c>
      <c r="J22" s="40">
        <v>0</v>
      </c>
      <c r="K22" s="40">
        <v>490433</v>
      </c>
      <c r="L22" s="40">
        <v>34431</v>
      </c>
      <c r="M22" s="40">
        <v>1007167</v>
      </c>
      <c r="N22" s="40">
        <v>340285</v>
      </c>
      <c r="O22" s="40">
        <v>0</v>
      </c>
      <c r="P22" s="40">
        <v>0</v>
      </c>
      <c r="Q22" s="40">
        <v>0</v>
      </c>
      <c r="R22" s="40">
        <v>0</v>
      </c>
      <c r="S22" s="40">
        <v>6825609</v>
      </c>
      <c r="T22" s="40">
        <v>8185375</v>
      </c>
      <c r="U22" s="40">
        <v>1098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1023836</v>
      </c>
      <c r="AB22" s="40">
        <v>34523</v>
      </c>
      <c r="AC22" s="40">
        <v>13</v>
      </c>
      <c r="AD22" s="40">
        <v>1507</v>
      </c>
      <c r="AE22" s="40">
        <v>12486</v>
      </c>
      <c r="AF22" s="40">
        <v>0</v>
      </c>
      <c r="AG22" s="40">
        <v>0</v>
      </c>
      <c r="AH22" s="40">
        <v>0</v>
      </c>
      <c r="AI22" s="40">
        <v>0</v>
      </c>
      <c r="AJ22" s="40">
        <v>3123</v>
      </c>
      <c r="AK22" s="40">
        <v>20945</v>
      </c>
      <c r="AL22" s="40">
        <v>3015</v>
      </c>
      <c r="AM22" s="40">
        <v>25024776</v>
      </c>
      <c r="AN22" s="40">
        <v>53432</v>
      </c>
      <c r="AO22" s="40">
        <v>90981</v>
      </c>
      <c r="AP22" s="40">
        <v>561186</v>
      </c>
      <c r="AQ22" s="40">
        <v>0</v>
      </c>
      <c r="AR22" s="40">
        <v>9909</v>
      </c>
      <c r="AS22" s="40">
        <v>0</v>
      </c>
      <c r="AT22" s="40">
        <v>192510414</v>
      </c>
      <c r="AU22" s="40">
        <v>0</v>
      </c>
      <c r="AV22" s="40">
        <v>1865514</v>
      </c>
      <c r="AW22" s="40">
        <v>869345</v>
      </c>
      <c r="AX22" s="40">
        <v>22510</v>
      </c>
      <c r="AY22" s="40">
        <v>0</v>
      </c>
      <c r="AZ22" s="40">
        <v>0</v>
      </c>
      <c r="BA22" s="40">
        <v>1330443</v>
      </c>
      <c r="BB22" s="40">
        <v>86896</v>
      </c>
      <c r="BC22" s="40">
        <v>0</v>
      </c>
      <c r="BD22" s="40">
        <v>1458407</v>
      </c>
      <c r="BE22" s="40">
        <v>44</v>
      </c>
      <c r="BF22" s="40">
        <v>0</v>
      </c>
      <c r="BG22" s="40">
        <v>11766</v>
      </c>
      <c r="BH22" s="40">
        <v>0</v>
      </c>
      <c r="BI22" s="40">
        <v>0</v>
      </c>
      <c r="BJ22" s="40">
        <v>1645181</v>
      </c>
      <c r="BK22" s="40">
        <v>26972</v>
      </c>
      <c r="BL22" s="40">
        <v>34844</v>
      </c>
      <c r="BM22" s="40">
        <v>284298</v>
      </c>
      <c r="BN22" s="40">
        <v>316014</v>
      </c>
      <c r="BO22" s="40">
        <v>120126</v>
      </c>
      <c r="BP22" s="40">
        <v>129</v>
      </c>
      <c r="BQ22" s="40">
        <v>658992</v>
      </c>
      <c r="BR22" s="40">
        <v>0</v>
      </c>
      <c r="BS22" s="40">
        <v>0</v>
      </c>
      <c r="BT22" s="40">
        <v>246672041</v>
      </c>
      <c r="BU22" s="40">
        <v>15444381</v>
      </c>
      <c r="BV22" s="40">
        <v>0</v>
      </c>
      <c r="BW22" s="40">
        <v>0</v>
      </c>
      <c r="BX22" s="40">
        <v>15444381</v>
      </c>
      <c r="BY22" s="40">
        <v>0</v>
      </c>
      <c r="BZ22" s="40">
        <v>35484768</v>
      </c>
      <c r="CA22" s="40">
        <v>0</v>
      </c>
      <c r="CB22" s="40">
        <v>35484768</v>
      </c>
      <c r="CC22" s="40">
        <v>0</v>
      </c>
      <c r="CD22" s="40">
        <v>50929149</v>
      </c>
      <c r="CE22" s="40">
        <v>297601190</v>
      </c>
      <c r="CF22" s="41"/>
      <c r="CG22" s="41"/>
      <c r="CH22" s="42"/>
    </row>
    <row r="23" spans="1:86">
      <c r="A23" s="38">
        <v>17</v>
      </c>
      <c r="B23" s="65" t="s">
        <v>77</v>
      </c>
      <c r="C23" s="39" t="s">
        <v>76</v>
      </c>
      <c r="D23" s="40">
        <v>1624187</v>
      </c>
      <c r="E23" s="40">
        <v>291</v>
      </c>
      <c r="F23" s="40">
        <v>1454</v>
      </c>
      <c r="G23" s="40">
        <v>0</v>
      </c>
      <c r="H23" s="40">
        <v>14210</v>
      </c>
      <c r="I23" s="40">
        <v>657</v>
      </c>
      <c r="J23" s="40">
        <v>82</v>
      </c>
      <c r="K23" s="40">
        <v>1946</v>
      </c>
      <c r="L23" s="40">
        <v>2074</v>
      </c>
      <c r="M23" s="40">
        <v>653</v>
      </c>
      <c r="N23" s="40">
        <v>7374652</v>
      </c>
      <c r="O23" s="40">
        <v>14732787</v>
      </c>
      <c r="P23" s="40">
        <v>475</v>
      </c>
      <c r="Q23" s="40">
        <v>9045</v>
      </c>
      <c r="R23" s="40">
        <v>56921</v>
      </c>
      <c r="S23" s="40">
        <v>0</v>
      </c>
      <c r="T23" s="40">
        <v>15114873</v>
      </c>
      <c r="U23" s="40">
        <v>16822389</v>
      </c>
      <c r="V23" s="40">
        <v>0</v>
      </c>
      <c r="W23" s="40">
        <v>50245</v>
      </c>
      <c r="X23" s="40">
        <v>89308</v>
      </c>
      <c r="Y23" s="40">
        <v>663853</v>
      </c>
      <c r="Z23" s="40">
        <v>53140</v>
      </c>
      <c r="AA23" s="40">
        <v>295653</v>
      </c>
      <c r="AB23" s="40">
        <v>16737</v>
      </c>
      <c r="AC23" s="40">
        <v>27</v>
      </c>
      <c r="AD23" s="40">
        <v>6</v>
      </c>
      <c r="AE23" s="40">
        <v>121</v>
      </c>
      <c r="AF23" s="40">
        <v>0</v>
      </c>
      <c r="AG23" s="40">
        <v>73445</v>
      </c>
      <c r="AH23" s="40">
        <v>220589</v>
      </c>
      <c r="AI23" s="40">
        <v>37094</v>
      </c>
      <c r="AJ23" s="40">
        <v>241083</v>
      </c>
      <c r="AK23" s="40">
        <v>0</v>
      </c>
      <c r="AL23" s="40">
        <v>72</v>
      </c>
      <c r="AM23" s="40">
        <v>144</v>
      </c>
      <c r="AN23" s="40">
        <v>224</v>
      </c>
      <c r="AO23" s="40">
        <v>51658</v>
      </c>
      <c r="AP23" s="40">
        <v>112394</v>
      </c>
      <c r="AQ23" s="40">
        <v>17</v>
      </c>
      <c r="AR23" s="40">
        <v>2863</v>
      </c>
      <c r="AS23" s="40">
        <v>23378</v>
      </c>
      <c r="AT23" s="40">
        <v>23572290</v>
      </c>
      <c r="AU23" s="40">
        <v>41725</v>
      </c>
      <c r="AV23" s="40">
        <v>37680704</v>
      </c>
      <c r="AW23" s="40">
        <v>15304158</v>
      </c>
      <c r="AX23" s="40">
        <v>39929</v>
      </c>
      <c r="AY23" s="40">
        <v>0</v>
      </c>
      <c r="AZ23" s="40">
        <v>34131</v>
      </c>
      <c r="BA23" s="40">
        <v>2133315</v>
      </c>
      <c r="BB23" s="40">
        <v>1655921</v>
      </c>
      <c r="BC23" s="40">
        <v>3071593</v>
      </c>
      <c r="BD23" s="40">
        <v>764826</v>
      </c>
      <c r="BE23" s="40">
        <v>12921632</v>
      </c>
      <c r="BF23" s="40">
        <v>338038</v>
      </c>
      <c r="BG23" s="40">
        <v>8795611</v>
      </c>
      <c r="BH23" s="40">
        <v>2067210</v>
      </c>
      <c r="BI23" s="40">
        <v>746873</v>
      </c>
      <c r="BJ23" s="40">
        <v>1292437</v>
      </c>
      <c r="BK23" s="40">
        <v>48232877</v>
      </c>
      <c r="BL23" s="40">
        <v>3557199</v>
      </c>
      <c r="BM23" s="40">
        <v>3046487</v>
      </c>
      <c r="BN23" s="40">
        <v>6641637</v>
      </c>
      <c r="BO23" s="40">
        <v>12815027</v>
      </c>
      <c r="BP23" s="40">
        <v>2874693</v>
      </c>
      <c r="BQ23" s="40">
        <v>1396096</v>
      </c>
      <c r="BR23" s="40">
        <v>3088638</v>
      </c>
      <c r="BS23" s="40">
        <v>0</v>
      </c>
      <c r="BT23" s="40">
        <v>249801794</v>
      </c>
      <c r="BU23" s="40">
        <v>145186939</v>
      </c>
      <c r="BV23" s="40">
        <v>0</v>
      </c>
      <c r="BW23" s="40">
        <v>0</v>
      </c>
      <c r="BX23" s="40">
        <v>145186939</v>
      </c>
      <c r="BY23" s="40">
        <v>0</v>
      </c>
      <c r="BZ23" s="40">
        <v>17060172</v>
      </c>
      <c r="CA23" s="40">
        <v>0</v>
      </c>
      <c r="CB23" s="40">
        <v>17060172</v>
      </c>
      <c r="CC23" s="40">
        <v>0</v>
      </c>
      <c r="CD23" s="40">
        <v>162247111</v>
      </c>
      <c r="CE23" s="40">
        <v>412048905</v>
      </c>
      <c r="CF23" s="41"/>
      <c r="CG23" s="41"/>
      <c r="CH23" s="42"/>
    </row>
    <row r="24" spans="1:86">
      <c r="A24" s="38">
        <v>18</v>
      </c>
      <c r="B24" s="65" t="s">
        <v>75</v>
      </c>
      <c r="C24" s="39" t="s">
        <v>74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8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116458</v>
      </c>
      <c r="V24" s="40">
        <v>0</v>
      </c>
      <c r="W24" s="40">
        <v>0</v>
      </c>
      <c r="X24" s="40">
        <v>155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0</v>
      </c>
      <c r="AP24" s="40">
        <v>17</v>
      </c>
      <c r="AQ24" s="40">
        <v>0</v>
      </c>
      <c r="AR24" s="40">
        <v>0</v>
      </c>
      <c r="AS24" s="40">
        <v>0</v>
      </c>
      <c r="AT24" s="40">
        <v>0</v>
      </c>
      <c r="AU24" s="40">
        <v>0</v>
      </c>
      <c r="AV24" s="40">
        <v>0</v>
      </c>
      <c r="AW24" s="40">
        <v>410</v>
      </c>
      <c r="AX24" s="40">
        <v>0</v>
      </c>
      <c r="AY24" s="40">
        <v>0</v>
      </c>
      <c r="AZ24" s="40">
        <v>0</v>
      </c>
      <c r="BA24" s="40">
        <v>15498</v>
      </c>
      <c r="BB24" s="40">
        <v>0</v>
      </c>
      <c r="BC24" s="40">
        <v>0</v>
      </c>
      <c r="BD24" s="40">
        <v>0</v>
      </c>
      <c r="BE24" s="40">
        <v>206430</v>
      </c>
      <c r="BF24" s="40">
        <v>139</v>
      </c>
      <c r="BG24" s="40">
        <v>0</v>
      </c>
      <c r="BH24" s="40">
        <v>0</v>
      </c>
      <c r="BI24" s="40">
        <v>0</v>
      </c>
      <c r="BJ24" s="40">
        <v>543</v>
      </c>
      <c r="BK24" s="40">
        <v>1314</v>
      </c>
      <c r="BL24" s="40">
        <v>538</v>
      </c>
      <c r="BM24" s="40">
        <v>862856</v>
      </c>
      <c r="BN24" s="40">
        <v>383604</v>
      </c>
      <c r="BO24" s="40">
        <v>49258</v>
      </c>
      <c r="BP24" s="40">
        <v>474</v>
      </c>
      <c r="BQ24" s="40">
        <v>170</v>
      </c>
      <c r="BR24" s="40">
        <v>240466</v>
      </c>
      <c r="BS24" s="40">
        <v>0</v>
      </c>
      <c r="BT24" s="40">
        <v>1878338</v>
      </c>
      <c r="BU24" s="40">
        <v>0</v>
      </c>
      <c r="BV24" s="40">
        <v>0</v>
      </c>
      <c r="BW24" s="40">
        <v>0</v>
      </c>
      <c r="BX24" s="40">
        <v>0</v>
      </c>
      <c r="BY24" s="40">
        <v>0</v>
      </c>
      <c r="BZ24" s="40">
        <v>0</v>
      </c>
      <c r="CA24" s="40">
        <v>0</v>
      </c>
      <c r="CB24" s="40">
        <v>0</v>
      </c>
      <c r="CC24" s="40">
        <v>0</v>
      </c>
      <c r="CD24" s="40">
        <v>0</v>
      </c>
      <c r="CE24" s="40">
        <v>1878338</v>
      </c>
      <c r="CF24" s="41"/>
      <c r="CG24" s="41"/>
      <c r="CH24" s="42"/>
    </row>
    <row r="25" spans="1:86">
      <c r="A25" s="38">
        <v>19</v>
      </c>
      <c r="B25" s="65" t="s">
        <v>73</v>
      </c>
      <c r="C25" s="39" t="s">
        <v>72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97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875485</v>
      </c>
      <c r="Y25" s="40">
        <v>0</v>
      </c>
      <c r="Z25" s="40">
        <v>0</v>
      </c>
      <c r="AA25" s="40">
        <v>41901901</v>
      </c>
      <c r="AB25" s="40">
        <v>27324789</v>
      </c>
      <c r="AC25" s="40">
        <v>0</v>
      </c>
      <c r="AD25" s="40">
        <v>0</v>
      </c>
      <c r="AE25" s="40">
        <v>1408853</v>
      </c>
      <c r="AF25" s="40">
        <v>0</v>
      </c>
      <c r="AG25" s="40">
        <v>1664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0</v>
      </c>
      <c r="AP25" s="40">
        <v>3723569</v>
      </c>
      <c r="AQ25" s="40">
        <v>0</v>
      </c>
      <c r="AR25" s="40">
        <v>2017542</v>
      </c>
      <c r="AS25" s="40">
        <v>0</v>
      </c>
      <c r="AT25" s="40">
        <v>0</v>
      </c>
      <c r="AU25" s="40">
        <v>0</v>
      </c>
      <c r="AV25" s="40">
        <v>0</v>
      </c>
      <c r="AW25" s="40">
        <v>0</v>
      </c>
      <c r="AX25" s="40">
        <v>0</v>
      </c>
      <c r="AY25" s="40">
        <v>0</v>
      </c>
      <c r="AZ25" s="40">
        <v>0</v>
      </c>
      <c r="BA25" s="40">
        <v>0</v>
      </c>
      <c r="BB25" s="40">
        <v>0</v>
      </c>
      <c r="BC25" s="40">
        <v>0</v>
      </c>
      <c r="BD25" s="40">
        <v>0</v>
      </c>
      <c r="BE25" s="40">
        <v>0</v>
      </c>
      <c r="BF25" s="40">
        <v>0</v>
      </c>
      <c r="BG25" s="40">
        <v>0</v>
      </c>
      <c r="BH25" s="40">
        <v>0</v>
      </c>
      <c r="BI25" s="40">
        <v>0</v>
      </c>
      <c r="BJ25" s="40">
        <v>0</v>
      </c>
      <c r="BK25" s="40">
        <v>0</v>
      </c>
      <c r="BL25" s="40">
        <v>0</v>
      </c>
      <c r="BM25" s="40">
        <v>119</v>
      </c>
      <c r="BN25" s="40">
        <v>17024</v>
      </c>
      <c r="BO25" s="40">
        <v>0</v>
      </c>
      <c r="BP25" s="40">
        <v>0</v>
      </c>
      <c r="BQ25" s="40">
        <v>0</v>
      </c>
      <c r="BR25" s="40">
        <v>0</v>
      </c>
      <c r="BS25" s="40">
        <v>0</v>
      </c>
      <c r="BT25" s="40">
        <v>77271043</v>
      </c>
      <c r="BU25" s="40">
        <v>0</v>
      </c>
      <c r="BV25" s="40">
        <v>0</v>
      </c>
      <c r="BW25" s="40">
        <v>0</v>
      </c>
      <c r="BX25" s="40">
        <v>0</v>
      </c>
      <c r="BY25" s="40">
        <v>0</v>
      </c>
      <c r="BZ25" s="40">
        <v>0</v>
      </c>
      <c r="CA25" s="40">
        <v>0</v>
      </c>
      <c r="CB25" s="40">
        <v>0</v>
      </c>
      <c r="CC25" s="40">
        <v>0</v>
      </c>
      <c r="CD25" s="40">
        <v>0</v>
      </c>
      <c r="CE25" s="40">
        <v>77271043</v>
      </c>
      <c r="CF25" s="41"/>
      <c r="CG25" s="41"/>
      <c r="CH25" s="42"/>
    </row>
    <row r="26" spans="1:86">
      <c r="A26" s="38">
        <v>20</v>
      </c>
      <c r="B26" s="65" t="s">
        <v>71</v>
      </c>
      <c r="C26" s="39" t="s">
        <v>70</v>
      </c>
      <c r="D26" s="40">
        <v>21947876</v>
      </c>
      <c r="E26" s="40">
        <v>28772</v>
      </c>
      <c r="F26" s="40">
        <v>16641</v>
      </c>
      <c r="G26" s="40">
        <v>3372479</v>
      </c>
      <c r="H26" s="40">
        <v>51490589</v>
      </c>
      <c r="I26" s="40">
        <v>2441168</v>
      </c>
      <c r="J26" s="40">
        <v>435792</v>
      </c>
      <c r="K26" s="40">
        <v>1242794</v>
      </c>
      <c r="L26" s="40">
        <v>816788</v>
      </c>
      <c r="M26" s="40">
        <v>268971</v>
      </c>
      <c r="N26" s="40">
        <v>1483775</v>
      </c>
      <c r="O26" s="40">
        <v>0</v>
      </c>
      <c r="P26" s="40">
        <v>3390</v>
      </c>
      <c r="Q26" s="40">
        <v>1485</v>
      </c>
      <c r="R26" s="40">
        <v>392</v>
      </c>
      <c r="S26" s="40">
        <v>2129</v>
      </c>
      <c r="T26" s="40">
        <v>64029</v>
      </c>
      <c r="U26" s="40">
        <v>250</v>
      </c>
      <c r="V26" s="40">
        <v>134842</v>
      </c>
      <c r="W26" s="40">
        <v>2367741</v>
      </c>
      <c r="X26" s="40">
        <v>275728</v>
      </c>
      <c r="Y26" s="40">
        <v>72323</v>
      </c>
      <c r="Z26" s="40">
        <v>9862</v>
      </c>
      <c r="AA26" s="40">
        <v>6328789</v>
      </c>
      <c r="AB26" s="40">
        <v>198197</v>
      </c>
      <c r="AC26" s="40">
        <v>95</v>
      </c>
      <c r="AD26" s="40">
        <v>253</v>
      </c>
      <c r="AE26" s="40">
        <v>271977</v>
      </c>
      <c r="AF26" s="40">
        <v>193</v>
      </c>
      <c r="AG26" s="40">
        <v>4399</v>
      </c>
      <c r="AH26" s="40">
        <v>306</v>
      </c>
      <c r="AI26" s="40">
        <v>2197</v>
      </c>
      <c r="AJ26" s="40">
        <v>2471</v>
      </c>
      <c r="AK26" s="40">
        <v>25903</v>
      </c>
      <c r="AL26" s="40">
        <v>43247</v>
      </c>
      <c r="AM26" s="40">
        <v>2061</v>
      </c>
      <c r="AN26" s="40">
        <v>2203</v>
      </c>
      <c r="AO26" s="40">
        <v>140942</v>
      </c>
      <c r="AP26" s="40">
        <v>2221554</v>
      </c>
      <c r="AQ26" s="40">
        <v>260552</v>
      </c>
      <c r="AR26" s="40">
        <v>1779090</v>
      </c>
      <c r="AS26" s="40">
        <v>738230</v>
      </c>
      <c r="AT26" s="40">
        <v>91884482</v>
      </c>
      <c r="AU26" s="40">
        <v>699081</v>
      </c>
      <c r="AV26" s="40">
        <v>25539886</v>
      </c>
      <c r="AW26" s="40">
        <v>11633313</v>
      </c>
      <c r="AX26" s="40">
        <v>85174486</v>
      </c>
      <c r="AY26" s="40">
        <v>154622</v>
      </c>
      <c r="AZ26" s="40">
        <v>45997525</v>
      </c>
      <c r="BA26" s="40">
        <v>58485265</v>
      </c>
      <c r="BB26" s="40">
        <v>317826</v>
      </c>
      <c r="BC26" s="40">
        <v>472661</v>
      </c>
      <c r="BD26" s="40">
        <v>78831</v>
      </c>
      <c r="BE26" s="40">
        <v>1059722</v>
      </c>
      <c r="BF26" s="40">
        <v>2048816</v>
      </c>
      <c r="BG26" s="40">
        <v>301370</v>
      </c>
      <c r="BH26" s="40">
        <v>136270</v>
      </c>
      <c r="BI26" s="40">
        <v>51784</v>
      </c>
      <c r="BJ26" s="40">
        <v>1036184</v>
      </c>
      <c r="BK26" s="40">
        <v>3692017</v>
      </c>
      <c r="BL26" s="40">
        <v>5983265</v>
      </c>
      <c r="BM26" s="40">
        <v>31973080</v>
      </c>
      <c r="BN26" s="40">
        <v>6363938</v>
      </c>
      <c r="BO26" s="40">
        <v>10596880</v>
      </c>
      <c r="BP26" s="40">
        <v>254648</v>
      </c>
      <c r="BQ26" s="40">
        <v>1056842</v>
      </c>
      <c r="BR26" s="40">
        <v>1739184</v>
      </c>
      <c r="BS26" s="40">
        <v>0</v>
      </c>
      <c r="BT26" s="40">
        <v>485232453</v>
      </c>
      <c r="BU26" s="40">
        <v>7654256</v>
      </c>
      <c r="BV26" s="40">
        <v>0</v>
      </c>
      <c r="BW26" s="40">
        <v>0</v>
      </c>
      <c r="BX26" s="40">
        <v>7654256</v>
      </c>
      <c r="BY26" s="40">
        <v>0</v>
      </c>
      <c r="BZ26" s="40">
        <v>8975478</v>
      </c>
      <c r="CA26" s="40">
        <v>0</v>
      </c>
      <c r="CB26" s="40">
        <v>8975478</v>
      </c>
      <c r="CC26" s="40">
        <v>0</v>
      </c>
      <c r="CD26" s="40">
        <v>16629734</v>
      </c>
      <c r="CE26" s="40">
        <v>501862187</v>
      </c>
      <c r="CF26" s="41"/>
      <c r="CG26" s="41"/>
      <c r="CH26" s="42"/>
    </row>
    <row r="27" spans="1:86" ht="22.5">
      <c r="A27" s="38">
        <v>21</v>
      </c>
      <c r="B27" s="65" t="s">
        <v>99</v>
      </c>
      <c r="C27" s="39" t="s">
        <v>176</v>
      </c>
      <c r="D27" s="40">
        <v>253146783</v>
      </c>
      <c r="E27" s="40">
        <v>0</v>
      </c>
      <c r="F27" s="40">
        <v>477099</v>
      </c>
      <c r="G27" s="40">
        <v>2688390</v>
      </c>
      <c r="H27" s="40">
        <v>80488278</v>
      </c>
      <c r="I27" s="40">
        <v>3803851</v>
      </c>
      <c r="J27" s="40">
        <v>56768853</v>
      </c>
      <c r="K27" s="40">
        <v>184311316</v>
      </c>
      <c r="L27" s="40">
        <v>248481</v>
      </c>
      <c r="M27" s="40">
        <v>3837305</v>
      </c>
      <c r="N27" s="40">
        <v>13430412</v>
      </c>
      <c r="O27" s="40">
        <v>0</v>
      </c>
      <c r="P27" s="40">
        <v>485670</v>
      </c>
      <c r="Q27" s="40">
        <v>259071</v>
      </c>
      <c r="R27" s="40">
        <v>2082897</v>
      </c>
      <c r="S27" s="40">
        <v>2108870</v>
      </c>
      <c r="T27" s="40">
        <v>8920789</v>
      </c>
      <c r="U27" s="40">
        <v>2129709</v>
      </c>
      <c r="V27" s="40">
        <v>1734</v>
      </c>
      <c r="W27" s="40">
        <v>67706482</v>
      </c>
      <c r="X27" s="40">
        <v>118383310</v>
      </c>
      <c r="Y27" s="40">
        <v>15033433</v>
      </c>
      <c r="Z27" s="40">
        <v>168570623</v>
      </c>
      <c r="AA27" s="40">
        <v>28395353</v>
      </c>
      <c r="AB27" s="40">
        <v>133771</v>
      </c>
      <c r="AC27" s="40">
        <v>10755</v>
      </c>
      <c r="AD27" s="40">
        <v>29977</v>
      </c>
      <c r="AE27" s="40">
        <v>4746616</v>
      </c>
      <c r="AF27" s="40">
        <v>0</v>
      </c>
      <c r="AG27" s="40">
        <v>39834</v>
      </c>
      <c r="AH27" s="40">
        <v>33721</v>
      </c>
      <c r="AI27" s="40">
        <v>832578</v>
      </c>
      <c r="AJ27" s="40">
        <v>2142019</v>
      </c>
      <c r="AK27" s="40">
        <v>38506027</v>
      </c>
      <c r="AL27" s="40">
        <v>36990321</v>
      </c>
      <c r="AM27" s="40">
        <v>1214657</v>
      </c>
      <c r="AN27" s="40">
        <v>12609</v>
      </c>
      <c r="AO27" s="40">
        <v>1988650</v>
      </c>
      <c r="AP27" s="40">
        <v>7327699</v>
      </c>
      <c r="AQ27" s="40">
        <v>235725</v>
      </c>
      <c r="AR27" s="40">
        <v>4436374</v>
      </c>
      <c r="AS27" s="40">
        <v>671047</v>
      </c>
      <c r="AT27" s="40">
        <v>64919465</v>
      </c>
      <c r="AU27" s="40">
        <v>118992</v>
      </c>
      <c r="AV27" s="40">
        <v>28992633</v>
      </c>
      <c r="AW27" s="40">
        <v>4677410</v>
      </c>
      <c r="AX27" s="40">
        <v>37098317</v>
      </c>
      <c r="AY27" s="40">
        <v>0</v>
      </c>
      <c r="AZ27" s="40">
        <v>6471720</v>
      </c>
      <c r="BA27" s="40">
        <v>2616737</v>
      </c>
      <c r="BB27" s="40">
        <v>50072</v>
      </c>
      <c r="BC27" s="40">
        <v>3865079</v>
      </c>
      <c r="BD27" s="40">
        <v>3600302</v>
      </c>
      <c r="BE27" s="40">
        <v>2567467</v>
      </c>
      <c r="BF27" s="40">
        <v>0</v>
      </c>
      <c r="BG27" s="40">
        <v>1445315</v>
      </c>
      <c r="BH27" s="40">
        <v>162607</v>
      </c>
      <c r="BI27" s="40">
        <v>60523</v>
      </c>
      <c r="BJ27" s="40">
        <v>18941310</v>
      </c>
      <c r="BK27" s="40">
        <v>53263943</v>
      </c>
      <c r="BL27" s="40">
        <v>18948282</v>
      </c>
      <c r="BM27" s="40">
        <v>12789877</v>
      </c>
      <c r="BN27" s="40">
        <v>63585771</v>
      </c>
      <c r="BO27" s="40">
        <v>170103860</v>
      </c>
      <c r="BP27" s="40">
        <v>609345</v>
      </c>
      <c r="BQ27" s="40">
        <v>21802684</v>
      </c>
      <c r="BR27" s="40">
        <v>2839905</v>
      </c>
      <c r="BS27" s="40">
        <v>0</v>
      </c>
      <c r="BT27" s="40">
        <v>1632162705</v>
      </c>
      <c r="BU27" s="40">
        <v>541572795</v>
      </c>
      <c r="BV27" s="40">
        <v>0</v>
      </c>
      <c r="BW27" s="40">
        <v>0</v>
      </c>
      <c r="BX27" s="40">
        <v>541572795</v>
      </c>
      <c r="BY27" s="40">
        <v>0</v>
      </c>
      <c r="BZ27" s="40">
        <v>168253688</v>
      </c>
      <c r="CA27" s="40">
        <v>0</v>
      </c>
      <c r="CB27" s="40">
        <v>168253688</v>
      </c>
      <c r="CC27" s="40">
        <v>0</v>
      </c>
      <c r="CD27" s="40">
        <v>709826483</v>
      </c>
      <c r="CE27" s="40">
        <v>2341989188</v>
      </c>
      <c r="CF27" s="41"/>
      <c r="CG27" s="41"/>
      <c r="CH27" s="42"/>
    </row>
    <row r="28" spans="1:86" ht="22.5">
      <c r="A28" s="38">
        <v>22</v>
      </c>
      <c r="B28" s="65" t="s">
        <v>69</v>
      </c>
      <c r="C28" s="39" t="s">
        <v>68</v>
      </c>
      <c r="D28" s="40">
        <v>1167987</v>
      </c>
      <c r="E28" s="40">
        <v>6</v>
      </c>
      <c r="F28" s="40">
        <v>0</v>
      </c>
      <c r="G28" s="40">
        <v>0</v>
      </c>
      <c r="H28" s="40">
        <v>46454</v>
      </c>
      <c r="I28" s="40">
        <v>2207</v>
      </c>
      <c r="J28" s="40">
        <v>0</v>
      </c>
      <c r="K28" s="40">
        <v>32260</v>
      </c>
      <c r="L28" s="40">
        <v>0</v>
      </c>
      <c r="M28" s="40">
        <v>4320</v>
      </c>
      <c r="N28" s="40">
        <v>676434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73360</v>
      </c>
      <c r="X28" s="40">
        <v>0</v>
      </c>
      <c r="Y28" s="40">
        <v>0</v>
      </c>
      <c r="Z28" s="40">
        <v>0</v>
      </c>
      <c r="AA28" s="40">
        <v>32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1</v>
      </c>
      <c r="AH28" s="40">
        <v>0</v>
      </c>
      <c r="AI28" s="40">
        <v>0</v>
      </c>
      <c r="AJ28" s="40">
        <v>16</v>
      </c>
      <c r="AK28" s="40">
        <v>0</v>
      </c>
      <c r="AL28" s="40">
        <v>0</v>
      </c>
      <c r="AM28" s="40">
        <v>0</v>
      </c>
      <c r="AN28" s="40">
        <v>0</v>
      </c>
      <c r="AO28" s="40">
        <v>51643</v>
      </c>
      <c r="AP28" s="40">
        <v>9628</v>
      </c>
      <c r="AQ28" s="40">
        <v>70</v>
      </c>
      <c r="AR28" s="40">
        <v>1322</v>
      </c>
      <c r="AS28" s="40">
        <v>44587</v>
      </c>
      <c r="AT28" s="40">
        <v>3775</v>
      </c>
      <c r="AU28" s="40">
        <v>3234</v>
      </c>
      <c r="AV28" s="40">
        <v>277838</v>
      </c>
      <c r="AW28" s="40">
        <v>1061432</v>
      </c>
      <c r="AX28" s="40">
        <v>952</v>
      </c>
      <c r="AY28" s="40">
        <v>0</v>
      </c>
      <c r="AZ28" s="40">
        <v>5063</v>
      </c>
      <c r="BA28" s="40">
        <v>1722</v>
      </c>
      <c r="BB28" s="40">
        <v>0</v>
      </c>
      <c r="BC28" s="40">
        <v>368</v>
      </c>
      <c r="BD28" s="40">
        <v>166</v>
      </c>
      <c r="BE28" s="40">
        <v>27</v>
      </c>
      <c r="BF28" s="40">
        <v>0</v>
      </c>
      <c r="BG28" s="40">
        <v>675</v>
      </c>
      <c r="BH28" s="40">
        <v>0</v>
      </c>
      <c r="BI28" s="40">
        <v>0</v>
      </c>
      <c r="BJ28" s="40">
        <v>0</v>
      </c>
      <c r="BK28" s="40">
        <v>19433782</v>
      </c>
      <c r="BL28" s="40">
        <v>4306</v>
      </c>
      <c r="BM28" s="40">
        <v>5679421</v>
      </c>
      <c r="BN28" s="40">
        <v>3086952</v>
      </c>
      <c r="BO28" s="40">
        <v>331132023</v>
      </c>
      <c r="BP28" s="40">
        <v>900908</v>
      </c>
      <c r="BQ28" s="40">
        <v>131366</v>
      </c>
      <c r="BR28" s="40">
        <v>66000</v>
      </c>
      <c r="BS28" s="40">
        <v>0</v>
      </c>
      <c r="BT28" s="40">
        <v>363900337</v>
      </c>
      <c r="BU28" s="40">
        <v>973957460</v>
      </c>
      <c r="BV28" s="40">
        <v>0</v>
      </c>
      <c r="BW28" s="40">
        <v>0</v>
      </c>
      <c r="BX28" s="40">
        <v>973957460</v>
      </c>
      <c r="BY28" s="40">
        <v>0</v>
      </c>
      <c r="BZ28" s="40">
        <v>8947101</v>
      </c>
      <c r="CA28" s="40">
        <v>0</v>
      </c>
      <c r="CB28" s="40">
        <v>8947101</v>
      </c>
      <c r="CC28" s="40">
        <v>0</v>
      </c>
      <c r="CD28" s="40">
        <v>982904561</v>
      </c>
      <c r="CE28" s="40">
        <v>1346804898</v>
      </c>
      <c r="CF28" s="41"/>
      <c r="CG28" s="41"/>
      <c r="CH28" s="42"/>
    </row>
    <row r="29" spans="1:86">
      <c r="A29" s="38">
        <v>23</v>
      </c>
      <c r="B29" s="65" t="s">
        <v>98</v>
      </c>
      <c r="C29" s="39" t="s">
        <v>175</v>
      </c>
      <c r="D29" s="40">
        <v>1372530</v>
      </c>
      <c r="E29" s="40">
        <v>402</v>
      </c>
      <c r="F29" s="40">
        <v>650</v>
      </c>
      <c r="G29" s="40">
        <v>4156301</v>
      </c>
      <c r="H29" s="40">
        <v>27336008</v>
      </c>
      <c r="I29" s="40">
        <v>1233658</v>
      </c>
      <c r="J29" s="40">
        <v>770346</v>
      </c>
      <c r="K29" s="40">
        <v>5113645</v>
      </c>
      <c r="L29" s="40">
        <v>634440</v>
      </c>
      <c r="M29" s="40">
        <v>2070314</v>
      </c>
      <c r="N29" s="40">
        <v>13995149</v>
      </c>
      <c r="O29" s="40">
        <v>0</v>
      </c>
      <c r="P29" s="40">
        <v>683</v>
      </c>
      <c r="Q29" s="40">
        <v>1142</v>
      </c>
      <c r="R29" s="40">
        <v>98594</v>
      </c>
      <c r="S29" s="40">
        <v>554</v>
      </c>
      <c r="T29" s="40">
        <v>3319247</v>
      </c>
      <c r="U29" s="40">
        <v>7508</v>
      </c>
      <c r="V29" s="40">
        <v>14614</v>
      </c>
      <c r="W29" s="40">
        <v>1192397</v>
      </c>
      <c r="X29" s="40">
        <v>82077</v>
      </c>
      <c r="Y29" s="40">
        <v>132914</v>
      </c>
      <c r="Z29" s="40">
        <v>20635217</v>
      </c>
      <c r="AA29" s="40">
        <v>6791056</v>
      </c>
      <c r="AB29" s="40">
        <v>36790</v>
      </c>
      <c r="AC29" s="40">
        <v>13479</v>
      </c>
      <c r="AD29" s="40">
        <v>2</v>
      </c>
      <c r="AE29" s="40">
        <v>35589</v>
      </c>
      <c r="AF29" s="40">
        <v>2081</v>
      </c>
      <c r="AG29" s="40">
        <v>49900</v>
      </c>
      <c r="AH29" s="40">
        <v>198519</v>
      </c>
      <c r="AI29" s="40">
        <v>16013</v>
      </c>
      <c r="AJ29" s="40">
        <v>2672886</v>
      </c>
      <c r="AK29" s="40">
        <v>143691463</v>
      </c>
      <c r="AL29" s="40">
        <v>7007202</v>
      </c>
      <c r="AM29" s="40">
        <v>259441</v>
      </c>
      <c r="AN29" s="40">
        <v>311623</v>
      </c>
      <c r="AO29" s="40">
        <v>460031</v>
      </c>
      <c r="AP29" s="40">
        <v>1427685</v>
      </c>
      <c r="AQ29" s="40">
        <v>1430</v>
      </c>
      <c r="AR29" s="40">
        <v>270363</v>
      </c>
      <c r="AS29" s="40">
        <v>11911520</v>
      </c>
      <c r="AT29" s="40">
        <v>178638178</v>
      </c>
      <c r="AU29" s="40">
        <v>1094076</v>
      </c>
      <c r="AV29" s="40">
        <v>185027609</v>
      </c>
      <c r="AW29" s="40">
        <v>36956744</v>
      </c>
      <c r="AX29" s="40">
        <v>34718668</v>
      </c>
      <c r="AY29" s="40">
        <v>3361786</v>
      </c>
      <c r="AZ29" s="40">
        <v>12445545</v>
      </c>
      <c r="BA29" s="40">
        <v>1729501</v>
      </c>
      <c r="BB29" s="40">
        <v>70711</v>
      </c>
      <c r="BC29" s="40">
        <v>51004</v>
      </c>
      <c r="BD29" s="40">
        <v>5020715</v>
      </c>
      <c r="BE29" s="40">
        <v>1122769</v>
      </c>
      <c r="BF29" s="40">
        <v>7211525</v>
      </c>
      <c r="BG29" s="40">
        <v>699565</v>
      </c>
      <c r="BH29" s="40">
        <v>500748</v>
      </c>
      <c r="BI29" s="40">
        <v>218570</v>
      </c>
      <c r="BJ29" s="40">
        <v>2265117</v>
      </c>
      <c r="BK29" s="40">
        <v>5470842</v>
      </c>
      <c r="BL29" s="40">
        <v>46005222</v>
      </c>
      <c r="BM29" s="40">
        <v>14675744</v>
      </c>
      <c r="BN29" s="40">
        <v>19066450</v>
      </c>
      <c r="BO29" s="40">
        <v>48766538</v>
      </c>
      <c r="BP29" s="40">
        <v>341682</v>
      </c>
      <c r="BQ29" s="40">
        <v>783841</v>
      </c>
      <c r="BR29" s="40">
        <v>3647618</v>
      </c>
      <c r="BS29" s="40">
        <v>0</v>
      </c>
      <c r="BT29" s="40">
        <v>867216231</v>
      </c>
      <c r="BU29" s="40">
        <v>237808810</v>
      </c>
      <c r="BV29" s="40">
        <v>0</v>
      </c>
      <c r="BW29" s="40">
        <v>0</v>
      </c>
      <c r="BX29" s="40">
        <v>237808810</v>
      </c>
      <c r="BY29" s="40">
        <v>0</v>
      </c>
      <c r="BZ29" s="40">
        <v>70322732</v>
      </c>
      <c r="CA29" s="40">
        <v>0</v>
      </c>
      <c r="CB29" s="40">
        <v>70322732</v>
      </c>
      <c r="CC29" s="40">
        <v>0</v>
      </c>
      <c r="CD29" s="40">
        <v>308131542</v>
      </c>
      <c r="CE29" s="40">
        <v>1175347773</v>
      </c>
      <c r="CF29" s="41"/>
      <c r="CG29" s="41"/>
      <c r="CH29" s="42"/>
    </row>
    <row r="30" spans="1:86" ht="22.5">
      <c r="A30" s="38">
        <v>24</v>
      </c>
      <c r="B30" s="65" t="s">
        <v>97</v>
      </c>
      <c r="C30" s="39" t="s">
        <v>67</v>
      </c>
      <c r="D30" s="40">
        <v>515819</v>
      </c>
      <c r="E30" s="40">
        <v>7</v>
      </c>
      <c r="F30" s="40">
        <v>14910</v>
      </c>
      <c r="G30" s="40">
        <v>6375</v>
      </c>
      <c r="H30" s="40">
        <v>5276660</v>
      </c>
      <c r="I30" s="40">
        <v>250994</v>
      </c>
      <c r="J30" s="40">
        <v>363266</v>
      </c>
      <c r="K30" s="40">
        <v>3775198</v>
      </c>
      <c r="L30" s="40">
        <v>707128</v>
      </c>
      <c r="M30" s="40">
        <v>584260</v>
      </c>
      <c r="N30" s="40">
        <v>7016704</v>
      </c>
      <c r="O30" s="40">
        <v>0</v>
      </c>
      <c r="P30" s="40">
        <v>0</v>
      </c>
      <c r="Q30" s="40">
        <v>0</v>
      </c>
      <c r="R30" s="40">
        <v>500</v>
      </c>
      <c r="S30" s="40">
        <v>0</v>
      </c>
      <c r="T30" s="40">
        <v>0</v>
      </c>
      <c r="U30" s="40">
        <v>0</v>
      </c>
      <c r="V30" s="40">
        <v>188507</v>
      </c>
      <c r="W30" s="40">
        <v>806370</v>
      </c>
      <c r="X30" s="40">
        <v>62395</v>
      </c>
      <c r="Y30" s="40">
        <v>1482139</v>
      </c>
      <c r="Z30" s="40">
        <v>26325</v>
      </c>
      <c r="AA30" s="40">
        <v>23419260</v>
      </c>
      <c r="AB30" s="40">
        <v>3158015</v>
      </c>
      <c r="AC30" s="40">
        <v>0</v>
      </c>
      <c r="AD30" s="40">
        <v>82527</v>
      </c>
      <c r="AE30" s="40">
        <v>304892</v>
      </c>
      <c r="AF30" s="40">
        <v>11983</v>
      </c>
      <c r="AG30" s="40">
        <v>47691</v>
      </c>
      <c r="AH30" s="40">
        <v>95</v>
      </c>
      <c r="AI30" s="40">
        <v>21883</v>
      </c>
      <c r="AJ30" s="40">
        <v>127870</v>
      </c>
      <c r="AK30" s="40">
        <v>16438213</v>
      </c>
      <c r="AL30" s="40">
        <v>1972494</v>
      </c>
      <c r="AM30" s="40">
        <v>42976</v>
      </c>
      <c r="AN30" s="40">
        <v>3072</v>
      </c>
      <c r="AO30" s="40">
        <v>812221</v>
      </c>
      <c r="AP30" s="40">
        <v>8893259</v>
      </c>
      <c r="AQ30" s="40">
        <v>0</v>
      </c>
      <c r="AR30" s="40">
        <v>430375</v>
      </c>
      <c r="AS30" s="40">
        <v>158379</v>
      </c>
      <c r="AT30" s="40">
        <v>299777298</v>
      </c>
      <c r="AU30" s="40">
        <v>0</v>
      </c>
      <c r="AV30" s="40">
        <v>20345494</v>
      </c>
      <c r="AW30" s="40">
        <v>1865658</v>
      </c>
      <c r="AX30" s="40">
        <v>2762759</v>
      </c>
      <c r="AY30" s="40">
        <v>0</v>
      </c>
      <c r="AZ30" s="40">
        <v>2371259</v>
      </c>
      <c r="BA30" s="40">
        <v>679722</v>
      </c>
      <c r="BB30" s="40">
        <v>0</v>
      </c>
      <c r="BC30" s="40">
        <v>12890227</v>
      </c>
      <c r="BD30" s="40">
        <v>10049424</v>
      </c>
      <c r="BE30" s="40">
        <v>443</v>
      </c>
      <c r="BF30" s="40">
        <v>26407</v>
      </c>
      <c r="BG30" s="40">
        <v>8973</v>
      </c>
      <c r="BH30" s="40">
        <v>0</v>
      </c>
      <c r="BI30" s="40">
        <v>1639</v>
      </c>
      <c r="BJ30" s="40">
        <v>883562</v>
      </c>
      <c r="BK30" s="40">
        <v>1810651</v>
      </c>
      <c r="BL30" s="40">
        <v>977336</v>
      </c>
      <c r="BM30" s="40">
        <v>1554572</v>
      </c>
      <c r="BN30" s="40">
        <v>5770370</v>
      </c>
      <c r="BO30" s="40">
        <v>15147427</v>
      </c>
      <c r="BP30" s="40">
        <v>73961</v>
      </c>
      <c r="BQ30" s="40">
        <v>15327735</v>
      </c>
      <c r="BR30" s="40">
        <v>22888690</v>
      </c>
      <c r="BS30" s="40">
        <v>0</v>
      </c>
      <c r="BT30" s="40">
        <v>492216369</v>
      </c>
      <c r="BU30" s="40">
        <v>62226472</v>
      </c>
      <c r="BV30" s="40">
        <v>0</v>
      </c>
      <c r="BW30" s="40">
        <v>0</v>
      </c>
      <c r="BX30" s="40">
        <v>62226472</v>
      </c>
      <c r="BY30" s="40">
        <v>11078736</v>
      </c>
      <c r="BZ30" s="40">
        <v>49116334</v>
      </c>
      <c r="CA30" s="40">
        <v>0</v>
      </c>
      <c r="CB30" s="40">
        <v>60195070</v>
      </c>
      <c r="CC30" s="40">
        <v>0</v>
      </c>
      <c r="CD30" s="40">
        <v>122421542</v>
      </c>
      <c r="CE30" s="40">
        <v>614637911</v>
      </c>
      <c r="CF30" s="41"/>
      <c r="CG30" s="41"/>
      <c r="CH30" s="42"/>
    </row>
    <row r="31" spans="1:86" ht="22.5">
      <c r="A31" s="38">
        <v>25</v>
      </c>
      <c r="B31" s="65" t="s">
        <v>174</v>
      </c>
      <c r="C31" s="39" t="s">
        <v>173</v>
      </c>
      <c r="D31" s="40">
        <v>837806</v>
      </c>
      <c r="E31" s="40">
        <v>0</v>
      </c>
      <c r="F31" s="40">
        <v>0</v>
      </c>
      <c r="G31" s="40">
        <v>7311163</v>
      </c>
      <c r="H31" s="40">
        <v>3870563</v>
      </c>
      <c r="I31" s="40">
        <v>0</v>
      </c>
      <c r="J31" s="40">
        <v>31794993</v>
      </c>
      <c r="K31" s="40">
        <v>7454709</v>
      </c>
      <c r="L31" s="40">
        <v>8332832</v>
      </c>
      <c r="M31" s="40">
        <v>1228143</v>
      </c>
      <c r="N31" s="40">
        <v>92146517</v>
      </c>
      <c r="O31" s="40">
        <v>0</v>
      </c>
      <c r="P31" s="40">
        <v>1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9971862</v>
      </c>
      <c r="W31" s="40">
        <v>1623732</v>
      </c>
      <c r="X31" s="40">
        <v>659000</v>
      </c>
      <c r="Y31" s="40">
        <v>0</v>
      </c>
      <c r="Z31" s="40">
        <v>45380</v>
      </c>
      <c r="AA31" s="40">
        <v>43433359</v>
      </c>
      <c r="AB31" s="40">
        <v>10294583</v>
      </c>
      <c r="AC31" s="40">
        <v>5957232</v>
      </c>
      <c r="AD31" s="40">
        <v>11161764</v>
      </c>
      <c r="AE31" s="40">
        <v>531389</v>
      </c>
      <c r="AF31" s="40">
        <v>62831</v>
      </c>
      <c r="AG31" s="40">
        <v>24078274</v>
      </c>
      <c r="AH31" s="40">
        <v>6500</v>
      </c>
      <c r="AI31" s="40">
        <v>2250315</v>
      </c>
      <c r="AJ31" s="40">
        <v>45442685</v>
      </c>
      <c r="AK31" s="40">
        <v>98212269</v>
      </c>
      <c r="AL31" s="40">
        <v>13496429</v>
      </c>
      <c r="AM31" s="40">
        <v>0</v>
      </c>
      <c r="AN31" s="40">
        <v>417096</v>
      </c>
      <c r="AO31" s="40">
        <v>26286703</v>
      </c>
      <c r="AP31" s="40">
        <v>11882918</v>
      </c>
      <c r="AQ31" s="40">
        <v>0</v>
      </c>
      <c r="AR31" s="40">
        <v>3028780</v>
      </c>
      <c r="AS31" s="40">
        <v>363041</v>
      </c>
      <c r="AT31" s="40">
        <v>117574070</v>
      </c>
      <c r="AU31" s="40">
        <v>0</v>
      </c>
      <c r="AV31" s="40">
        <v>5167912</v>
      </c>
      <c r="AW31" s="40">
        <v>2461134</v>
      </c>
      <c r="AX31" s="40">
        <v>146727891</v>
      </c>
      <c r="AY31" s="40">
        <v>0</v>
      </c>
      <c r="AZ31" s="40">
        <v>0</v>
      </c>
      <c r="BA31" s="40">
        <v>38125484</v>
      </c>
      <c r="BB31" s="40">
        <v>0</v>
      </c>
      <c r="BC31" s="40">
        <v>0</v>
      </c>
      <c r="BD31" s="40">
        <v>0</v>
      </c>
      <c r="BE31" s="40">
        <v>660</v>
      </c>
      <c r="BF31" s="40">
        <v>0</v>
      </c>
      <c r="BG31" s="40">
        <v>0</v>
      </c>
      <c r="BH31" s="40">
        <v>0</v>
      </c>
      <c r="BI31" s="40">
        <v>0</v>
      </c>
      <c r="BJ31" s="40">
        <v>133822</v>
      </c>
      <c r="BK31" s="40">
        <v>9513340</v>
      </c>
      <c r="BL31" s="40">
        <v>344835</v>
      </c>
      <c r="BM31" s="40">
        <v>0</v>
      </c>
      <c r="BN31" s="40">
        <v>0</v>
      </c>
      <c r="BO31" s="40">
        <v>0</v>
      </c>
      <c r="BP31" s="40">
        <v>0</v>
      </c>
      <c r="BQ31" s="40">
        <v>0</v>
      </c>
      <c r="BR31" s="40">
        <v>0</v>
      </c>
      <c r="BS31" s="40">
        <v>0</v>
      </c>
      <c r="BT31" s="40">
        <v>782232017</v>
      </c>
      <c r="BU31" s="40">
        <v>0</v>
      </c>
      <c r="BV31" s="40">
        <v>0</v>
      </c>
      <c r="BW31" s="40">
        <v>0</v>
      </c>
      <c r="BX31" s="40">
        <v>0</v>
      </c>
      <c r="BY31" s="40">
        <v>0</v>
      </c>
      <c r="BZ31" s="40">
        <v>13963411</v>
      </c>
      <c r="CA31" s="40">
        <v>0</v>
      </c>
      <c r="CB31" s="40">
        <v>13963411</v>
      </c>
      <c r="CC31" s="40">
        <v>0</v>
      </c>
      <c r="CD31" s="40">
        <v>13963411</v>
      </c>
      <c r="CE31" s="40">
        <v>796195428</v>
      </c>
      <c r="CF31" s="41"/>
      <c r="CG31" s="41"/>
      <c r="CH31" s="42"/>
    </row>
    <row r="32" spans="1:86" ht="33.75">
      <c r="A32" s="38">
        <v>26</v>
      </c>
      <c r="B32" s="65" t="s">
        <v>172</v>
      </c>
      <c r="C32" s="39" t="s">
        <v>171</v>
      </c>
      <c r="D32" s="40">
        <v>383060</v>
      </c>
      <c r="E32" s="40">
        <v>0</v>
      </c>
      <c r="F32" s="40">
        <v>0</v>
      </c>
      <c r="G32" s="40">
        <v>281659</v>
      </c>
      <c r="H32" s="40">
        <v>219007298</v>
      </c>
      <c r="I32" s="40">
        <v>0</v>
      </c>
      <c r="J32" s="40">
        <v>4336593</v>
      </c>
      <c r="K32" s="40">
        <v>722184</v>
      </c>
      <c r="L32" s="40">
        <v>568686</v>
      </c>
      <c r="M32" s="40">
        <v>28982998</v>
      </c>
      <c r="N32" s="40">
        <v>39866</v>
      </c>
      <c r="O32" s="40">
        <v>0</v>
      </c>
      <c r="P32" s="40">
        <v>0</v>
      </c>
      <c r="Q32" s="40">
        <v>0</v>
      </c>
      <c r="R32" s="40">
        <v>11998</v>
      </c>
      <c r="S32" s="40">
        <v>0</v>
      </c>
      <c r="T32" s="40">
        <v>0</v>
      </c>
      <c r="U32" s="40">
        <v>0</v>
      </c>
      <c r="V32" s="40">
        <v>2702004</v>
      </c>
      <c r="W32" s="40">
        <v>11981042</v>
      </c>
      <c r="X32" s="40">
        <v>185084</v>
      </c>
      <c r="Y32" s="40">
        <v>0</v>
      </c>
      <c r="Z32" s="40">
        <v>0</v>
      </c>
      <c r="AA32" s="40">
        <v>234997</v>
      </c>
      <c r="AB32" s="40">
        <v>23911</v>
      </c>
      <c r="AC32" s="40">
        <v>3468536</v>
      </c>
      <c r="AD32" s="40">
        <v>659416</v>
      </c>
      <c r="AE32" s="40">
        <v>181764</v>
      </c>
      <c r="AF32" s="40">
        <v>0</v>
      </c>
      <c r="AG32" s="40">
        <v>1346432</v>
      </c>
      <c r="AH32" s="40">
        <v>0</v>
      </c>
      <c r="AI32" s="40">
        <v>0</v>
      </c>
      <c r="AJ32" s="40">
        <v>6386839</v>
      </c>
      <c r="AK32" s="40">
        <v>1145119</v>
      </c>
      <c r="AL32" s="40">
        <v>58966</v>
      </c>
      <c r="AM32" s="40">
        <v>0</v>
      </c>
      <c r="AN32" s="40">
        <v>98563</v>
      </c>
      <c r="AO32" s="40">
        <v>10812452</v>
      </c>
      <c r="AP32" s="40">
        <v>17961237</v>
      </c>
      <c r="AQ32" s="40">
        <v>125861</v>
      </c>
      <c r="AR32" s="40">
        <v>6865331</v>
      </c>
      <c r="AS32" s="40">
        <v>1255276</v>
      </c>
      <c r="AT32" s="40">
        <v>31549461</v>
      </c>
      <c r="AU32" s="40">
        <v>0</v>
      </c>
      <c r="AV32" s="40">
        <v>1498719</v>
      </c>
      <c r="AW32" s="40">
        <v>238774</v>
      </c>
      <c r="AX32" s="40">
        <v>80757408</v>
      </c>
      <c r="AY32" s="40">
        <v>0</v>
      </c>
      <c r="AZ32" s="40">
        <v>0</v>
      </c>
      <c r="BA32" s="40">
        <v>158502</v>
      </c>
      <c r="BB32" s="40">
        <v>0</v>
      </c>
      <c r="BC32" s="40">
        <v>0</v>
      </c>
      <c r="BD32" s="40">
        <v>0</v>
      </c>
      <c r="BE32" s="40">
        <v>0</v>
      </c>
      <c r="BF32" s="40">
        <v>0</v>
      </c>
      <c r="BG32" s="40">
        <v>0</v>
      </c>
      <c r="BH32" s="40">
        <v>0</v>
      </c>
      <c r="BI32" s="40">
        <v>0</v>
      </c>
      <c r="BJ32" s="40">
        <v>395069</v>
      </c>
      <c r="BK32" s="40">
        <v>25951843</v>
      </c>
      <c r="BL32" s="40">
        <v>900461</v>
      </c>
      <c r="BM32" s="40">
        <v>0</v>
      </c>
      <c r="BN32" s="40">
        <v>0</v>
      </c>
      <c r="BO32" s="40">
        <v>0</v>
      </c>
      <c r="BP32" s="40">
        <v>0</v>
      </c>
      <c r="BQ32" s="40">
        <v>757807</v>
      </c>
      <c r="BR32" s="40">
        <v>0</v>
      </c>
      <c r="BS32" s="40">
        <v>0</v>
      </c>
      <c r="BT32" s="40">
        <v>462035216</v>
      </c>
      <c r="BU32" s="40">
        <v>0</v>
      </c>
      <c r="BV32" s="40">
        <v>0</v>
      </c>
      <c r="BW32" s="40">
        <v>0</v>
      </c>
      <c r="BX32" s="40">
        <v>0</v>
      </c>
      <c r="BY32" s="40">
        <v>0</v>
      </c>
      <c r="BZ32" s="40">
        <v>0</v>
      </c>
      <c r="CA32" s="40">
        <v>0</v>
      </c>
      <c r="CB32" s="40">
        <v>0</v>
      </c>
      <c r="CC32" s="40">
        <v>0</v>
      </c>
      <c r="CD32" s="40">
        <v>0</v>
      </c>
      <c r="CE32" s="40">
        <v>462035216</v>
      </c>
      <c r="CF32" s="41"/>
      <c r="CG32" s="41"/>
      <c r="CH32" s="42"/>
    </row>
    <row r="33" spans="1:86" ht="22.5">
      <c r="A33" s="38">
        <v>27</v>
      </c>
      <c r="B33" s="65" t="s">
        <v>170</v>
      </c>
      <c r="C33" s="39" t="s">
        <v>169</v>
      </c>
      <c r="D33" s="40">
        <v>497013</v>
      </c>
      <c r="E33" s="40">
        <v>0</v>
      </c>
      <c r="F33" s="40">
        <v>322930</v>
      </c>
      <c r="G33" s="40">
        <v>0</v>
      </c>
      <c r="H33" s="40">
        <v>5674259</v>
      </c>
      <c r="I33" s="40">
        <v>0</v>
      </c>
      <c r="J33" s="40">
        <v>0</v>
      </c>
      <c r="K33" s="40">
        <v>1394157</v>
      </c>
      <c r="L33" s="40">
        <v>2165951</v>
      </c>
      <c r="M33" s="40">
        <v>0</v>
      </c>
      <c r="N33" s="40">
        <v>87157</v>
      </c>
      <c r="O33" s="40">
        <v>0</v>
      </c>
      <c r="P33" s="40">
        <v>67229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251650</v>
      </c>
      <c r="Y33" s="40">
        <v>0</v>
      </c>
      <c r="Z33" s="40">
        <v>0</v>
      </c>
      <c r="AA33" s="40">
        <v>9659784</v>
      </c>
      <c r="AB33" s="40">
        <v>317332</v>
      </c>
      <c r="AC33" s="40">
        <v>0</v>
      </c>
      <c r="AD33" s="40">
        <v>7224163</v>
      </c>
      <c r="AE33" s="40">
        <v>0</v>
      </c>
      <c r="AF33" s="40">
        <v>101313</v>
      </c>
      <c r="AG33" s="40">
        <v>4501810</v>
      </c>
      <c r="AH33" s="40">
        <v>1249</v>
      </c>
      <c r="AI33" s="40">
        <v>245844</v>
      </c>
      <c r="AJ33" s="40">
        <v>3996851</v>
      </c>
      <c r="AK33" s="40">
        <v>0</v>
      </c>
      <c r="AL33" s="40">
        <v>227</v>
      </c>
      <c r="AM33" s="40">
        <v>0</v>
      </c>
      <c r="AN33" s="40">
        <v>0</v>
      </c>
      <c r="AO33" s="40">
        <v>5980302</v>
      </c>
      <c r="AP33" s="40">
        <v>2018183</v>
      </c>
      <c r="AQ33" s="40">
        <v>0</v>
      </c>
      <c r="AR33" s="40">
        <v>895018</v>
      </c>
      <c r="AS33" s="40">
        <v>2140724</v>
      </c>
      <c r="AT33" s="40">
        <v>48872560</v>
      </c>
      <c r="AU33" s="40">
        <v>0</v>
      </c>
      <c r="AV33" s="40">
        <v>1080615</v>
      </c>
      <c r="AW33" s="40">
        <v>399864</v>
      </c>
      <c r="AX33" s="40">
        <v>414806</v>
      </c>
      <c r="AY33" s="40">
        <v>0</v>
      </c>
      <c r="AZ33" s="40">
        <v>0</v>
      </c>
      <c r="BA33" s="40">
        <v>1629</v>
      </c>
      <c r="BB33" s="40">
        <v>0</v>
      </c>
      <c r="BC33" s="40">
        <v>0</v>
      </c>
      <c r="BD33" s="40">
        <v>0</v>
      </c>
      <c r="BE33" s="40">
        <v>85804</v>
      </c>
      <c r="BF33" s="40">
        <v>0</v>
      </c>
      <c r="BG33" s="40">
        <v>0</v>
      </c>
      <c r="BH33" s="40">
        <v>0</v>
      </c>
      <c r="BI33" s="40">
        <v>0</v>
      </c>
      <c r="BJ33" s="40">
        <v>114892</v>
      </c>
      <c r="BK33" s="40">
        <v>5592603</v>
      </c>
      <c r="BL33" s="40">
        <v>249633</v>
      </c>
      <c r="BM33" s="40">
        <v>0</v>
      </c>
      <c r="BN33" s="40">
        <v>0</v>
      </c>
      <c r="BO33" s="40">
        <v>0</v>
      </c>
      <c r="BP33" s="40">
        <v>0</v>
      </c>
      <c r="BQ33" s="40">
        <v>0</v>
      </c>
      <c r="BR33" s="40">
        <v>0</v>
      </c>
      <c r="BS33" s="40">
        <v>0</v>
      </c>
      <c r="BT33" s="40">
        <v>104355552</v>
      </c>
      <c r="BU33" s="40">
        <v>0</v>
      </c>
      <c r="BV33" s="40">
        <v>0</v>
      </c>
      <c r="BW33" s="40">
        <v>0</v>
      </c>
      <c r="BX33" s="40">
        <v>0</v>
      </c>
      <c r="BY33" s="40">
        <v>0</v>
      </c>
      <c r="BZ33" s="40">
        <v>0</v>
      </c>
      <c r="CA33" s="40">
        <v>0</v>
      </c>
      <c r="CB33" s="40">
        <v>0</v>
      </c>
      <c r="CC33" s="40">
        <v>0</v>
      </c>
      <c r="CD33" s="40">
        <v>0</v>
      </c>
      <c r="CE33" s="40">
        <v>104355552</v>
      </c>
      <c r="CF33" s="41"/>
      <c r="CG33" s="41"/>
      <c r="CH33" s="42"/>
    </row>
    <row r="34" spans="1:86" ht="22.5">
      <c r="A34" s="38">
        <v>28</v>
      </c>
      <c r="B34" s="65" t="s">
        <v>168</v>
      </c>
      <c r="C34" s="39" t="s">
        <v>167</v>
      </c>
      <c r="D34" s="40">
        <v>23023</v>
      </c>
      <c r="E34" s="40">
        <v>5</v>
      </c>
      <c r="F34" s="40">
        <v>0</v>
      </c>
      <c r="G34" s="40">
        <v>0</v>
      </c>
      <c r="H34" s="40">
        <v>1359053</v>
      </c>
      <c r="I34" s="40">
        <v>0</v>
      </c>
      <c r="J34" s="40">
        <v>112617</v>
      </c>
      <c r="K34" s="40">
        <v>271193261</v>
      </c>
      <c r="L34" s="40">
        <v>0</v>
      </c>
      <c r="M34" s="40">
        <v>929877</v>
      </c>
      <c r="N34" s="40">
        <v>397200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31734</v>
      </c>
      <c r="U34" s="40">
        <v>0</v>
      </c>
      <c r="V34" s="40">
        <v>0</v>
      </c>
      <c r="W34" s="40">
        <v>2034482</v>
      </c>
      <c r="X34" s="40">
        <v>183588</v>
      </c>
      <c r="Y34" s="40">
        <v>738812</v>
      </c>
      <c r="Z34" s="40">
        <v>232437</v>
      </c>
      <c r="AA34" s="40">
        <v>1793564</v>
      </c>
      <c r="AB34" s="40">
        <v>10953753</v>
      </c>
      <c r="AC34" s="40">
        <v>0</v>
      </c>
      <c r="AD34" s="40">
        <v>72472</v>
      </c>
      <c r="AE34" s="40">
        <v>22019073</v>
      </c>
      <c r="AF34" s="40">
        <v>380821</v>
      </c>
      <c r="AG34" s="40">
        <v>12582630</v>
      </c>
      <c r="AH34" s="40">
        <v>2418798</v>
      </c>
      <c r="AI34" s="40">
        <v>7822813</v>
      </c>
      <c r="AJ34" s="40">
        <v>6117743</v>
      </c>
      <c r="AK34" s="40">
        <v>4945649</v>
      </c>
      <c r="AL34" s="40">
        <v>3911784</v>
      </c>
      <c r="AM34" s="40">
        <v>1994909</v>
      </c>
      <c r="AN34" s="40">
        <v>3304957</v>
      </c>
      <c r="AO34" s="40">
        <v>1981433</v>
      </c>
      <c r="AP34" s="40">
        <v>12959143</v>
      </c>
      <c r="AQ34" s="40">
        <v>0</v>
      </c>
      <c r="AR34" s="40">
        <v>32777</v>
      </c>
      <c r="AS34" s="40">
        <v>521706</v>
      </c>
      <c r="AT34" s="40">
        <v>125087887</v>
      </c>
      <c r="AU34" s="40">
        <v>1901509</v>
      </c>
      <c r="AV34" s="40">
        <v>0</v>
      </c>
      <c r="AW34" s="40">
        <v>0</v>
      </c>
      <c r="AX34" s="40">
        <v>330737</v>
      </c>
      <c r="AY34" s="40">
        <v>0</v>
      </c>
      <c r="AZ34" s="40">
        <v>0</v>
      </c>
      <c r="BA34" s="40">
        <v>0</v>
      </c>
      <c r="BB34" s="40">
        <v>0</v>
      </c>
      <c r="BC34" s="40">
        <v>0</v>
      </c>
      <c r="BD34" s="40">
        <v>0</v>
      </c>
      <c r="BE34" s="40">
        <v>4789</v>
      </c>
      <c r="BF34" s="40">
        <v>591639</v>
      </c>
      <c r="BG34" s="40">
        <v>132955245</v>
      </c>
      <c r="BH34" s="40">
        <v>0</v>
      </c>
      <c r="BI34" s="40">
        <v>0</v>
      </c>
      <c r="BJ34" s="40">
        <v>113298</v>
      </c>
      <c r="BK34" s="40">
        <v>2463953</v>
      </c>
      <c r="BL34" s="40">
        <v>46391</v>
      </c>
      <c r="BM34" s="40">
        <v>0</v>
      </c>
      <c r="BN34" s="40">
        <v>0</v>
      </c>
      <c r="BO34" s="40">
        <v>215</v>
      </c>
      <c r="BP34" s="40">
        <v>2</v>
      </c>
      <c r="BQ34" s="40">
        <v>2050</v>
      </c>
      <c r="BR34" s="40">
        <v>0</v>
      </c>
      <c r="BS34" s="40">
        <v>0</v>
      </c>
      <c r="BT34" s="40">
        <v>634547829</v>
      </c>
      <c r="BU34" s="40">
        <v>0</v>
      </c>
      <c r="BV34" s="40">
        <v>0</v>
      </c>
      <c r="BW34" s="40">
        <v>0</v>
      </c>
      <c r="BX34" s="40">
        <v>0</v>
      </c>
      <c r="BY34" s="40">
        <v>0</v>
      </c>
      <c r="BZ34" s="40">
        <v>240425974</v>
      </c>
      <c r="CA34" s="40">
        <v>0</v>
      </c>
      <c r="CB34" s="40">
        <v>240425974</v>
      </c>
      <c r="CC34" s="40">
        <v>0</v>
      </c>
      <c r="CD34" s="40">
        <v>240425974</v>
      </c>
      <c r="CE34" s="40">
        <v>874973803</v>
      </c>
      <c r="CF34" s="41"/>
      <c r="CG34" s="41"/>
      <c r="CH34" s="42"/>
    </row>
    <row r="35" spans="1:86">
      <c r="A35" s="38">
        <v>29</v>
      </c>
      <c r="B35" s="65" t="s">
        <v>166</v>
      </c>
      <c r="C35" s="39" t="s">
        <v>165</v>
      </c>
      <c r="D35" s="40">
        <v>10681</v>
      </c>
      <c r="E35" s="40">
        <v>0</v>
      </c>
      <c r="F35" s="40">
        <v>7</v>
      </c>
      <c r="G35" s="40">
        <v>0</v>
      </c>
      <c r="H35" s="40">
        <v>6048678</v>
      </c>
      <c r="I35" s="40">
        <v>287151</v>
      </c>
      <c r="J35" s="40">
        <v>0</v>
      </c>
      <c r="K35" s="40">
        <v>3072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647895</v>
      </c>
      <c r="X35" s="40">
        <v>0</v>
      </c>
      <c r="Y35" s="40">
        <v>0</v>
      </c>
      <c r="Z35" s="40">
        <v>1002</v>
      </c>
      <c r="AA35" s="40">
        <v>5287</v>
      </c>
      <c r="AB35" s="40">
        <v>0</v>
      </c>
      <c r="AC35" s="40">
        <v>0</v>
      </c>
      <c r="AD35" s="40">
        <v>0</v>
      </c>
      <c r="AE35" s="40">
        <v>329</v>
      </c>
      <c r="AF35" s="40">
        <v>0</v>
      </c>
      <c r="AG35" s="40">
        <v>37673</v>
      </c>
      <c r="AH35" s="40">
        <v>0</v>
      </c>
      <c r="AI35" s="40">
        <v>0</v>
      </c>
      <c r="AJ35" s="40">
        <v>1206</v>
      </c>
      <c r="AK35" s="40">
        <v>0</v>
      </c>
      <c r="AL35" s="40">
        <v>1312</v>
      </c>
      <c r="AM35" s="40">
        <v>0</v>
      </c>
      <c r="AN35" s="40">
        <v>0</v>
      </c>
      <c r="AO35" s="40">
        <v>4887</v>
      </c>
      <c r="AP35" s="40">
        <v>37916</v>
      </c>
      <c r="AQ35" s="40">
        <v>169432</v>
      </c>
      <c r="AR35" s="40">
        <v>179525</v>
      </c>
      <c r="AS35" s="40">
        <v>571877</v>
      </c>
      <c r="AT35" s="40">
        <v>318677</v>
      </c>
      <c r="AU35" s="40">
        <v>0</v>
      </c>
      <c r="AV35" s="40">
        <v>83803</v>
      </c>
      <c r="AW35" s="40">
        <v>0</v>
      </c>
      <c r="AX35" s="40">
        <v>803135</v>
      </c>
      <c r="AY35" s="40">
        <v>0</v>
      </c>
      <c r="AZ35" s="40">
        <v>0</v>
      </c>
      <c r="BA35" s="40">
        <v>0</v>
      </c>
      <c r="BB35" s="40">
        <v>0</v>
      </c>
      <c r="BC35" s="40">
        <v>0</v>
      </c>
      <c r="BD35" s="40">
        <v>0</v>
      </c>
      <c r="BE35" s="40">
        <v>0</v>
      </c>
      <c r="BF35" s="40">
        <v>0</v>
      </c>
      <c r="BG35" s="40">
        <v>0</v>
      </c>
      <c r="BH35" s="40">
        <v>0</v>
      </c>
      <c r="BI35" s="40">
        <v>0</v>
      </c>
      <c r="BJ35" s="40">
        <v>77316</v>
      </c>
      <c r="BK35" s="40">
        <v>35763</v>
      </c>
      <c r="BL35" s="40">
        <v>0</v>
      </c>
      <c r="BM35" s="40">
        <v>0</v>
      </c>
      <c r="BN35" s="40">
        <v>0</v>
      </c>
      <c r="BO35" s="40">
        <v>0</v>
      </c>
      <c r="BP35" s="40">
        <v>0</v>
      </c>
      <c r="BQ35" s="40">
        <v>0</v>
      </c>
      <c r="BR35" s="40">
        <v>0</v>
      </c>
      <c r="BS35" s="40">
        <v>0</v>
      </c>
      <c r="BT35" s="40">
        <v>9326624</v>
      </c>
      <c r="BU35" s="40">
        <v>0</v>
      </c>
      <c r="BV35" s="40">
        <v>0</v>
      </c>
      <c r="BW35" s="40">
        <v>0</v>
      </c>
      <c r="BX35" s="40">
        <v>0</v>
      </c>
      <c r="BY35" s="40">
        <v>0</v>
      </c>
      <c r="BZ35" s="40">
        <v>0</v>
      </c>
      <c r="CA35" s="40">
        <v>0</v>
      </c>
      <c r="CB35" s="40">
        <v>0</v>
      </c>
      <c r="CC35" s="40">
        <v>0</v>
      </c>
      <c r="CD35" s="40">
        <v>0</v>
      </c>
      <c r="CE35" s="40">
        <v>9326624</v>
      </c>
      <c r="CF35" s="41"/>
      <c r="CG35" s="41"/>
      <c r="CH35" s="42"/>
    </row>
    <row r="36" spans="1:86" ht="22.5">
      <c r="A36" s="38">
        <v>30</v>
      </c>
      <c r="B36" s="65" t="s">
        <v>66</v>
      </c>
      <c r="C36" s="39" t="s">
        <v>65</v>
      </c>
      <c r="D36" s="40">
        <v>6660122</v>
      </c>
      <c r="E36" s="40">
        <v>305373</v>
      </c>
      <c r="F36" s="40">
        <v>30313</v>
      </c>
      <c r="G36" s="40">
        <v>7238235</v>
      </c>
      <c r="H36" s="40">
        <v>49633170</v>
      </c>
      <c r="I36" s="40">
        <v>2349234</v>
      </c>
      <c r="J36" s="40">
        <v>366195</v>
      </c>
      <c r="K36" s="40">
        <v>4006317</v>
      </c>
      <c r="L36" s="40">
        <v>3065019</v>
      </c>
      <c r="M36" s="40">
        <v>1485540</v>
      </c>
      <c r="N36" s="40">
        <v>9924310</v>
      </c>
      <c r="O36" s="40">
        <v>0</v>
      </c>
      <c r="P36" s="40">
        <v>21454</v>
      </c>
      <c r="Q36" s="40">
        <v>13653</v>
      </c>
      <c r="R36" s="40">
        <v>8382</v>
      </c>
      <c r="S36" s="40">
        <v>765210</v>
      </c>
      <c r="T36" s="40">
        <v>0</v>
      </c>
      <c r="U36" s="40">
        <v>0</v>
      </c>
      <c r="V36" s="40">
        <v>243107</v>
      </c>
      <c r="W36" s="40">
        <v>712759</v>
      </c>
      <c r="X36" s="40">
        <v>0</v>
      </c>
      <c r="Y36" s="40">
        <v>0</v>
      </c>
      <c r="Z36" s="40">
        <v>0</v>
      </c>
      <c r="AA36" s="40">
        <v>5461730</v>
      </c>
      <c r="AB36" s="40">
        <v>275495</v>
      </c>
      <c r="AC36" s="40">
        <v>0</v>
      </c>
      <c r="AD36" s="40">
        <v>2034</v>
      </c>
      <c r="AE36" s="40">
        <v>68524</v>
      </c>
      <c r="AF36" s="40">
        <v>554</v>
      </c>
      <c r="AG36" s="40">
        <v>195236</v>
      </c>
      <c r="AH36" s="40">
        <v>2478</v>
      </c>
      <c r="AI36" s="40">
        <v>75245</v>
      </c>
      <c r="AJ36" s="40">
        <v>145759</v>
      </c>
      <c r="AK36" s="40">
        <v>3804521</v>
      </c>
      <c r="AL36" s="40">
        <v>2248408</v>
      </c>
      <c r="AM36" s="40">
        <v>1946668</v>
      </c>
      <c r="AN36" s="40">
        <v>57899</v>
      </c>
      <c r="AO36" s="40">
        <v>1833974</v>
      </c>
      <c r="AP36" s="40">
        <v>4092010</v>
      </c>
      <c r="AQ36" s="40">
        <v>2357223</v>
      </c>
      <c r="AR36" s="40">
        <v>2893113</v>
      </c>
      <c r="AS36" s="40">
        <v>2534545</v>
      </c>
      <c r="AT36" s="40">
        <v>33619649</v>
      </c>
      <c r="AU36" s="40">
        <v>35344024</v>
      </c>
      <c r="AV36" s="40">
        <v>50681696</v>
      </c>
      <c r="AW36" s="40">
        <v>79791869</v>
      </c>
      <c r="AX36" s="40">
        <v>23586098</v>
      </c>
      <c r="AY36" s="40">
        <v>222994</v>
      </c>
      <c r="AZ36" s="40">
        <v>430464</v>
      </c>
      <c r="BA36" s="40">
        <v>12204898</v>
      </c>
      <c r="BB36" s="40">
        <v>379825</v>
      </c>
      <c r="BC36" s="40">
        <v>2729006</v>
      </c>
      <c r="BD36" s="40">
        <v>3704030</v>
      </c>
      <c r="BE36" s="40">
        <v>14747782</v>
      </c>
      <c r="BF36" s="40">
        <v>73494815</v>
      </c>
      <c r="BG36" s="40">
        <v>56064</v>
      </c>
      <c r="BH36" s="40">
        <v>343608</v>
      </c>
      <c r="BI36" s="40">
        <v>6624</v>
      </c>
      <c r="BJ36" s="40">
        <v>75648125</v>
      </c>
      <c r="BK36" s="40">
        <v>29659333</v>
      </c>
      <c r="BL36" s="40">
        <v>11696961</v>
      </c>
      <c r="BM36" s="40">
        <v>22547346</v>
      </c>
      <c r="BN36" s="40">
        <v>23282332</v>
      </c>
      <c r="BO36" s="40">
        <v>7724454</v>
      </c>
      <c r="BP36" s="40">
        <v>614267</v>
      </c>
      <c r="BQ36" s="40">
        <v>20345565</v>
      </c>
      <c r="BR36" s="40">
        <v>6331113</v>
      </c>
      <c r="BS36" s="40">
        <v>0</v>
      </c>
      <c r="BT36" s="40">
        <v>644016751</v>
      </c>
      <c r="BU36" s="40">
        <v>69669679</v>
      </c>
      <c r="BV36" s="40">
        <v>0</v>
      </c>
      <c r="BW36" s="40">
        <v>0</v>
      </c>
      <c r="BX36" s="40">
        <v>69669679</v>
      </c>
      <c r="BY36" s="40">
        <v>312133656</v>
      </c>
      <c r="BZ36" s="40">
        <v>59899290</v>
      </c>
      <c r="CA36" s="40">
        <v>0</v>
      </c>
      <c r="CB36" s="40">
        <v>372032946</v>
      </c>
      <c r="CC36" s="40">
        <v>0</v>
      </c>
      <c r="CD36" s="40">
        <v>441702625</v>
      </c>
      <c r="CE36" s="40">
        <v>1085719376</v>
      </c>
      <c r="CF36" s="41"/>
      <c r="CG36" s="41"/>
      <c r="CH36" s="42"/>
    </row>
    <row r="37" spans="1:86" ht="22.5">
      <c r="A37" s="38">
        <v>31</v>
      </c>
      <c r="B37" s="65" t="s">
        <v>64</v>
      </c>
      <c r="C37" s="39" t="s">
        <v>135</v>
      </c>
      <c r="D37" s="40">
        <v>60663</v>
      </c>
      <c r="E37" s="40">
        <v>13957</v>
      </c>
      <c r="F37" s="40">
        <v>0</v>
      </c>
      <c r="G37" s="40">
        <v>6</v>
      </c>
      <c r="H37" s="40">
        <v>10028395</v>
      </c>
      <c r="I37" s="40">
        <v>475577</v>
      </c>
      <c r="J37" s="40">
        <v>11847</v>
      </c>
      <c r="K37" s="40">
        <v>22154</v>
      </c>
      <c r="L37" s="40">
        <v>384</v>
      </c>
      <c r="M37" s="40">
        <v>129354</v>
      </c>
      <c r="N37" s="40">
        <v>2835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13</v>
      </c>
      <c r="U37" s="40">
        <v>306</v>
      </c>
      <c r="V37" s="40">
        <v>0</v>
      </c>
      <c r="W37" s="40">
        <v>56770</v>
      </c>
      <c r="X37" s="40">
        <v>18944</v>
      </c>
      <c r="Y37" s="40">
        <v>9096</v>
      </c>
      <c r="Z37" s="40">
        <v>314</v>
      </c>
      <c r="AA37" s="40">
        <v>404</v>
      </c>
      <c r="AB37" s="40">
        <v>22531</v>
      </c>
      <c r="AC37" s="40">
        <v>0</v>
      </c>
      <c r="AD37" s="40">
        <v>0</v>
      </c>
      <c r="AE37" s="40">
        <v>16</v>
      </c>
      <c r="AF37" s="40">
        <v>678</v>
      </c>
      <c r="AG37" s="40">
        <v>846</v>
      </c>
      <c r="AH37" s="40">
        <v>1660392</v>
      </c>
      <c r="AI37" s="40">
        <v>1142479</v>
      </c>
      <c r="AJ37" s="40">
        <v>281042</v>
      </c>
      <c r="AK37" s="40">
        <v>1740475</v>
      </c>
      <c r="AL37" s="40">
        <v>1286576</v>
      </c>
      <c r="AM37" s="40">
        <v>0</v>
      </c>
      <c r="AN37" s="40">
        <v>0</v>
      </c>
      <c r="AO37" s="40">
        <v>341391</v>
      </c>
      <c r="AP37" s="40">
        <v>2794394</v>
      </c>
      <c r="AQ37" s="40">
        <v>2924</v>
      </c>
      <c r="AR37" s="40">
        <v>5291</v>
      </c>
      <c r="AS37" s="40">
        <v>3079</v>
      </c>
      <c r="AT37" s="40">
        <v>515495</v>
      </c>
      <c r="AU37" s="40">
        <v>353533</v>
      </c>
      <c r="AV37" s="40">
        <v>568212</v>
      </c>
      <c r="AW37" s="40">
        <v>112627</v>
      </c>
      <c r="AX37" s="40">
        <v>260497</v>
      </c>
      <c r="AY37" s="40">
        <v>7893</v>
      </c>
      <c r="AZ37" s="40">
        <v>360705</v>
      </c>
      <c r="BA37" s="40">
        <v>31384411</v>
      </c>
      <c r="BB37" s="40">
        <v>103250</v>
      </c>
      <c r="BC37" s="40">
        <v>971192</v>
      </c>
      <c r="BD37" s="40">
        <v>1124714</v>
      </c>
      <c r="BE37" s="40">
        <v>13247265</v>
      </c>
      <c r="BF37" s="40">
        <v>22113687</v>
      </c>
      <c r="BG37" s="40">
        <v>7204038</v>
      </c>
      <c r="BH37" s="40">
        <v>3240775</v>
      </c>
      <c r="BI37" s="40">
        <v>1931318</v>
      </c>
      <c r="BJ37" s="40">
        <v>2160391</v>
      </c>
      <c r="BK37" s="40">
        <v>12159530</v>
      </c>
      <c r="BL37" s="40">
        <v>10643392</v>
      </c>
      <c r="BM37" s="40">
        <v>5727660</v>
      </c>
      <c r="BN37" s="40">
        <v>6132700</v>
      </c>
      <c r="BO37" s="40">
        <v>30706348</v>
      </c>
      <c r="BP37" s="40">
        <v>90858</v>
      </c>
      <c r="BQ37" s="40">
        <v>3715887</v>
      </c>
      <c r="BR37" s="40">
        <v>6222460</v>
      </c>
      <c r="BS37" s="40">
        <v>0</v>
      </c>
      <c r="BT37" s="40">
        <v>181171971</v>
      </c>
      <c r="BU37" s="40">
        <v>904717664</v>
      </c>
      <c r="BV37" s="40">
        <v>0</v>
      </c>
      <c r="BW37" s="40">
        <v>0</v>
      </c>
      <c r="BX37" s="40">
        <v>904717664</v>
      </c>
      <c r="BY37" s="40">
        <v>1152563185</v>
      </c>
      <c r="BZ37" s="40">
        <v>229880189</v>
      </c>
      <c r="CA37" s="40">
        <v>0</v>
      </c>
      <c r="CB37" s="40">
        <v>1382443374</v>
      </c>
      <c r="CC37" s="40">
        <v>0</v>
      </c>
      <c r="CD37" s="40">
        <v>2287161038</v>
      </c>
      <c r="CE37" s="40">
        <v>2468333009</v>
      </c>
      <c r="CF37" s="41"/>
      <c r="CG37" s="41"/>
      <c r="CH37" s="42"/>
    </row>
    <row r="38" spans="1:86">
      <c r="A38" s="38">
        <v>32</v>
      </c>
      <c r="B38" s="65" t="s">
        <v>96</v>
      </c>
      <c r="C38" s="39" t="s">
        <v>164</v>
      </c>
      <c r="D38" s="40">
        <v>570354</v>
      </c>
      <c r="E38" s="40">
        <v>7</v>
      </c>
      <c r="F38" s="40">
        <v>425</v>
      </c>
      <c r="G38" s="40">
        <v>7607</v>
      </c>
      <c r="H38" s="40">
        <v>35473660</v>
      </c>
      <c r="I38" s="40">
        <v>1733076</v>
      </c>
      <c r="J38" s="40">
        <v>19214</v>
      </c>
      <c r="K38" s="40">
        <v>47406</v>
      </c>
      <c r="L38" s="40">
        <v>415089</v>
      </c>
      <c r="M38" s="40">
        <v>70702</v>
      </c>
      <c r="N38" s="40">
        <v>355</v>
      </c>
      <c r="O38" s="40">
        <v>0</v>
      </c>
      <c r="P38" s="40">
        <v>0</v>
      </c>
      <c r="Q38" s="40">
        <v>0</v>
      </c>
      <c r="R38" s="40">
        <v>62</v>
      </c>
      <c r="S38" s="40">
        <v>0</v>
      </c>
      <c r="T38" s="40">
        <v>0</v>
      </c>
      <c r="U38" s="40">
        <v>0</v>
      </c>
      <c r="V38" s="40">
        <v>7578</v>
      </c>
      <c r="W38" s="40">
        <v>104874</v>
      </c>
      <c r="X38" s="40">
        <v>41818</v>
      </c>
      <c r="Y38" s="40">
        <v>0</v>
      </c>
      <c r="Z38" s="40">
        <v>0</v>
      </c>
      <c r="AA38" s="40">
        <v>1417</v>
      </c>
      <c r="AB38" s="40">
        <v>20877</v>
      </c>
      <c r="AC38" s="40">
        <v>0</v>
      </c>
      <c r="AD38" s="40">
        <v>0</v>
      </c>
      <c r="AE38" s="40">
        <v>27545</v>
      </c>
      <c r="AF38" s="40">
        <v>70</v>
      </c>
      <c r="AG38" s="40">
        <v>4460</v>
      </c>
      <c r="AH38" s="40">
        <v>2888884</v>
      </c>
      <c r="AI38" s="40">
        <v>215044</v>
      </c>
      <c r="AJ38" s="40">
        <v>111486</v>
      </c>
      <c r="AK38" s="40">
        <v>2729326</v>
      </c>
      <c r="AL38" s="40">
        <v>1276914</v>
      </c>
      <c r="AM38" s="40">
        <v>0</v>
      </c>
      <c r="AN38" s="40">
        <v>0</v>
      </c>
      <c r="AO38" s="40">
        <v>740140</v>
      </c>
      <c r="AP38" s="40">
        <v>16226967</v>
      </c>
      <c r="AQ38" s="40">
        <v>0</v>
      </c>
      <c r="AR38" s="40">
        <v>59584</v>
      </c>
      <c r="AS38" s="40">
        <v>266446</v>
      </c>
      <c r="AT38" s="40">
        <v>4244887</v>
      </c>
      <c r="AU38" s="40">
        <v>15010313</v>
      </c>
      <c r="AV38" s="40">
        <v>7492138</v>
      </c>
      <c r="AW38" s="40">
        <v>4414494</v>
      </c>
      <c r="AX38" s="40">
        <v>386379</v>
      </c>
      <c r="AY38" s="40">
        <v>463</v>
      </c>
      <c r="AZ38" s="40">
        <v>238160</v>
      </c>
      <c r="BA38" s="40">
        <v>1348995</v>
      </c>
      <c r="BB38" s="40">
        <v>0</v>
      </c>
      <c r="BC38" s="40">
        <v>4842678</v>
      </c>
      <c r="BD38" s="40">
        <v>2832228</v>
      </c>
      <c r="BE38" s="40">
        <v>1704333</v>
      </c>
      <c r="BF38" s="40">
        <v>4244069</v>
      </c>
      <c r="BG38" s="40">
        <v>266717</v>
      </c>
      <c r="BH38" s="40">
        <v>27748</v>
      </c>
      <c r="BI38" s="40">
        <v>64791</v>
      </c>
      <c r="BJ38" s="40">
        <v>14692630</v>
      </c>
      <c r="BK38" s="40">
        <v>4636391</v>
      </c>
      <c r="BL38" s="40">
        <v>17788226</v>
      </c>
      <c r="BM38" s="40">
        <v>4324383</v>
      </c>
      <c r="BN38" s="40">
        <v>9289256</v>
      </c>
      <c r="BO38" s="40">
        <v>4934225</v>
      </c>
      <c r="BP38" s="40">
        <v>97203</v>
      </c>
      <c r="BQ38" s="40">
        <v>9264345</v>
      </c>
      <c r="BR38" s="40">
        <v>5938040</v>
      </c>
      <c r="BS38" s="40">
        <v>0</v>
      </c>
      <c r="BT38" s="40">
        <v>181144479</v>
      </c>
      <c r="BU38" s="40">
        <v>436539387</v>
      </c>
      <c r="BV38" s="40">
        <v>0</v>
      </c>
      <c r="BW38" s="40">
        <v>0</v>
      </c>
      <c r="BX38" s="40">
        <v>436539387</v>
      </c>
      <c r="BY38" s="40">
        <v>856031205</v>
      </c>
      <c r="BZ38" s="40">
        <v>126892021</v>
      </c>
      <c r="CA38" s="40">
        <v>0</v>
      </c>
      <c r="CB38" s="40">
        <v>982923226</v>
      </c>
      <c r="CC38" s="40">
        <v>0</v>
      </c>
      <c r="CD38" s="40">
        <v>1419462613</v>
      </c>
      <c r="CE38" s="40">
        <v>1600607092</v>
      </c>
      <c r="CF38" s="41"/>
      <c r="CG38" s="41"/>
      <c r="CH38" s="42"/>
    </row>
    <row r="39" spans="1:86" ht="22.5">
      <c r="A39" s="38">
        <v>33</v>
      </c>
      <c r="B39" s="65" t="s">
        <v>95</v>
      </c>
      <c r="C39" s="39" t="s">
        <v>163</v>
      </c>
      <c r="D39" s="40">
        <v>38173239</v>
      </c>
      <c r="E39" s="40">
        <v>18200</v>
      </c>
      <c r="F39" s="40">
        <v>42752</v>
      </c>
      <c r="G39" s="40">
        <v>42401290</v>
      </c>
      <c r="H39" s="40">
        <v>171357998</v>
      </c>
      <c r="I39" s="40">
        <v>4726918</v>
      </c>
      <c r="J39" s="40">
        <v>3327751</v>
      </c>
      <c r="K39" s="40">
        <v>12317715</v>
      </c>
      <c r="L39" s="40">
        <v>9942329</v>
      </c>
      <c r="M39" s="40">
        <v>8599962</v>
      </c>
      <c r="N39" s="40">
        <v>2548073</v>
      </c>
      <c r="O39" s="40">
        <v>101666</v>
      </c>
      <c r="P39" s="40">
        <v>24536</v>
      </c>
      <c r="Q39" s="40">
        <v>2094823</v>
      </c>
      <c r="R39" s="40">
        <v>40</v>
      </c>
      <c r="S39" s="40">
        <v>133</v>
      </c>
      <c r="T39" s="40">
        <v>1031098</v>
      </c>
      <c r="U39" s="40">
        <v>4536</v>
      </c>
      <c r="V39" s="40">
        <v>2398163</v>
      </c>
      <c r="W39" s="40">
        <v>10496216</v>
      </c>
      <c r="X39" s="40">
        <v>0</v>
      </c>
      <c r="Y39" s="40">
        <v>54292</v>
      </c>
      <c r="Z39" s="40">
        <v>99750</v>
      </c>
      <c r="AA39" s="40">
        <v>5603736</v>
      </c>
      <c r="AB39" s="40">
        <v>4056867</v>
      </c>
      <c r="AC39" s="40">
        <v>75951</v>
      </c>
      <c r="AD39" s="40">
        <v>0</v>
      </c>
      <c r="AE39" s="40">
        <v>535173</v>
      </c>
      <c r="AF39" s="40">
        <v>16</v>
      </c>
      <c r="AG39" s="40">
        <v>12572</v>
      </c>
      <c r="AH39" s="40">
        <v>1304</v>
      </c>
      <c r="AI39" s="40">
        <v>6658</v>
      </c>
      <c r="AJ39" s="40">
        <v>6087492</v>
      </c>
      <c r="AK39" s="40">
        <v>4729956</v>
      </c>
      <c r="AL39" s="40">
        <v>3604472</v>
      </c>
      <c r="AM39" s="40">
        <v>0</v>
      </c>
      <c r="AN39" s="40">
        <v>0</v>
      </c>
      <c r="AO39" s="40">
        <v>1274722</v>
      </c>
      <c r="AP39" s="40">
        <v>1500975</v>
      </c>
      <c r="AQ39" s="40">
        <v>751266</v>
      </c>
      <c r="AR39" s="40">
        <v>5056647</v>
      </c>
      <c r="AS39" s="40">
        <v>668701</v>
      </c>
      <c r="AT39" s="40">
        <v>4499850</v>
      </c>
      <c r="AU39" s="40">
        <v>29532307</v>
      </c>
      <c r="AV39" s="40">
        <v>9190830</v>
      </c>
      <c r="AW39" s="40">
        <v>7478840</v>
      </c>
      <c r="AX39" s="40">
        <v>31283004</v>
      </c>
      <c r="AY39" s="40">
        <v>414509</v>
      </c>
      <c r="AZ39" s="40">
        <v>305552</v>
      </c>
      <c r="BA39" s="40">
        <v>8995633</v>
      </c>
      <c r="BB39" s="40">
        <v>2449</v>
      </c>
      <c r="BC39" s="40">
        <v>3927477</v>
      </c>
      <c r="BD39" s="40">
        <v>6113954</v>
      </c>
      <c r="BE39" s="40">
        <v>1966708</v>
      </c>
      <c r="BF39" s="40">
        <v>4594103</v>
      </c>
      <c r="BG39" s="40">
        <v>1310754</v>
      </c>
      <c r="BH39" s="40">
        <v>615418</v>
      </c>
      <c r="BI39" s="40">
        <v>246649</v>
      </c>
      <c r="BJ39" s="40">
        <v>110687</v>
      </c>
      <c r="BK39" s="40">
        <v>98663947</v>
      </c>
      <c r="BL39" s="40">
        <v>22565945</v>
      </c>
      <c r="BM39" s="40">
        <v>16963587</v>
      </c>
      <c r="BN39" s="40">
        <v>11647008</v>
      </c>
      <c r="BO39" s="40">
        <v>11959196</v>
      </c>
      <c r="BP39" s="40">
        <v>110803</v>
      </c>
      <c r="BQ39" s="40">
        <v>2195298</v>
      </c>
      <c r="BR39" s="40">
        <v>4495851</v>
      </c>
      <c r="BS39" s="40">
        <v>0</v>
      </c>
      <c r="BT39" s="40">
        <v>622918347</v>
      </c>
      <c r="BU39" s="40">
        <v>131322354</v>
      </c>
      <c r="BV39" s="40">
        <v>0</v>
      </c>
      <c r="BW39" s="40">
        <v>0</v>
      </c>
      <c r="BX39" s="40">
        <v>131322354</v>
      </c>
      <c r="BY39" s="40">
        <v>2501394038</v>
      </c>
      <c r="BZ39" s="40">
        <v>338463439</v>
      </c>
      <c r="CA39" s="40">
        <v>0</v>
      </c>
      <c r="CB39" s="40">
        <v>2839857477</v>
      </c>
      <c r="CC39" s="40">
        <v>0</v>
      </c>
      <c r="CD39" s="40">
        <v>2971179831</v>
      </c>
      <c r="CE39" s="40">
        <v>3594098178</v>
      </c>
      <c r="CF39" s="41"/>
      <c r="CG39" s="41"/>
      <c r="CH39" s="42"/>
    </row>
    <row r="40" spans="1:86">
      <c r="A40" s="38">
        <v>34</v>
      </c>
      <c r="B40" s="65" t="s">
        <v>63</v>
      </c>
      <c r="C40" s="39" t="s">
        <v>62</v>
      </c>
      <c r="D40" s="40">
        <v>2732559</v>
      </c>
      <c r="E40" s="40">
        <v>202</v>
      </c>
      <c r="F40" s="40">
        <v>6944</v>
      </c>
      <c r="G40" s="40">
        <v>373514</v>
      </c>
      <c r="H40" s="40">
        <v>684659</v>
      </c>
      <c r="I40" s="40">
        <v>32517</v>
      </c>
      <c r="J40" s="40">
        <v>431836</v>
      </c>
      <c r="K40" s="40">
        <v>453949</v>
      </c>
      <c r="L40" s="40">
        <v>85661</v>
      </c>
      <c r="M40" s="40">
        <v>334611</v>
      </c>
      <c r="N40" s="40">
        <v>217503</v>
      </c>
      <c r="O40" s="40">
        <v>0</v>
      </c>
      <c r="P40" s="40">
        <v>539</v>
      </c>
      <c r="Q40" s="40">
        <v>0</v>
      </c>
      <c r="R40" s="40">
        <v>0</v>
      </c>
      <c r="S40" s="40">
        <v>1932</v>
      </c>
      <c r="T40" s="40">
        <v>1814</v>
      </c>
      <c r="U40" s="40">
        <v>743</v>
      </c>
      <c r="V40" s="40">
        <v>77608</v>
      </c>
      <c r="W40" s="40">
        <v>0</v>
      </c>
      <c r="X40" s="40">
        <v>0</v>
      </c>
      <c r="Y40" s="40">
        <v>0</v>
      </c>
      <c r="Z40" s="40">
        <v>792</v>
      </c>
      <c r="AA40" s="40">
        <v>20112</v>
      </c>
      <c r="AB40" s="40">
        <v>10969</v>
      </c>
      <c r="AC40" s="40">
        <v>0</v>
      </c>
      <c r="AD40" s="40">
        <v>0</v>
      </c>
      <c r="AE40" s="40">
        <v>32625</v>
      </c>
      <c r="AF40" s="40">
        <v>0</v>
      </c>
      <c r="AG40" s="40">
        <v>0</v>
      </c>
      <c r="AH40" s="40">
        <v>0</v>
      </c>
      <c r="AI40" s="40">
        <v>0</v>
      </c>
      <c r="AJ40" s="40">
        <v>2017</v>
      </c>
      <c r="AK40" s="40">
        <v>251028308</v>
      </c>
      <c r="AL40" s="40">
        <v>0</v>
      </c>
      <c r="AM40" s="40">
        <v>0</v>
      </c>
      <c r="AN40" s="40">
        <v>0</v>
      </c>
      <c r="AO40" s="40">
        <v>6390808</v>
      </c>
      <c r="AP40" s="40">
        <v>308479</v>
      </c>
      <c r="AQ40" s="40">
        <v>930</v>
      </c>
      <c r="AR40" s="40">
        <v>30295</v>
      </c>
      <c r="AS40" s="40">
        <v>513898</v>
      </c>
      <c r="AT40" s="40">
        <v>3079616</v>
      </c>
      <c r="AU40" s="40">
        <v>395830162</v>
      </c>
      <c r="AV40" s="40">
        <v>1758552</v>
      </c>
      <c r="AW40" s="40">
        <v>787189</v>
      </c>
      <c r="AX40" s="40">
        <v>6412416</v>
      </c>
      <c r="AY40" s="40">
        <v>0</v>
      </c>
      <c r="AZ40" s="40">
        <v>32427</v>
      </c>
      <c r="BA40" s="40">
        <v>3762332</v>
      </c>
      <c r="BB40" s="40">
        <v>123704</v>
      </c>
      <c r="BC40" s="40">
        <v>0</v>
      </c>
      <c r="BD40" s="40">
        <v>2102177</v>
      </c>
      <c r="BE40" s="40">
        <v>213837</v>
      </c>
      <c r="BF40" s="40">
        <v>0</v>
      </c>
      <c r="BG40" s="40">
        <v>42533</v>
      </c>
      <c r="BH40" s="40">
        <v>128422</v>
      </c>
      <c r="BI40" s="40">
        <v>54798</v>
      </c>
      <c r="BJ40" s="40">
        <v>1192603</v>
      </c>
      <c r="BK40" s="40">
        <v>1667130</v>
      </c>
      <c r="BL40" s="40">
        <v>2067560</v>
      </c>
      <c r="BM40" s="40">
        <v>3732571</v>
      </c>
      <c r="BN40" s="40">
        <v>3202619</v>
      </c>
      <c r="BO40" s="40">
        <v>3676963</v>
      </c>
      <c r="BP40" s="40">
        <v>232741</v>
      </c>
      <c r="BQ40" s="40">
        <v>155800</v>
      </c>
      <c r="BR40" s="40">
        <v>70654</v>
      </c>
      <c r="BS40" s="40">
        <v>0</v>
      </c>
      <c r="BT40" s="40">
        <v>694102630</v>
      </c>
      <c r="BU40" s="40">
        <v>1131631891</v>
      </c>
      <c r="BV40" s="40">
        <v>0</v>
      </c>
      <c r="BW40" s="40">
        <v>0</v>
      </c>
      <c r="BX40" s="40">
        <v>1131631891</v>
      </c>
      <c r="BY40" s="40">
        <v>1667039840</v>
      </c>
      <c r="BZ40" s="40">
        <v>-194281418</v>
      </c>
      <c r="CA40" s="40">
        <v>0</v>
      </c>
      <c r="CB40" s="40">
        <v>1472758422</v>
      </c>
      <c r="CC40" s="40">
        <v>0</v>
      </c>
      <c r="CD40" s="40">
        <v>2604390313</v>
      </c>
      <c r="CE40" s="40">
        <v>3298492943</v>
      </c>
      <c r="CF40" s="41"/>
      <c r="CG40" s="41"/>
      <c r="CH40" s="42"/>
    </row>
    <row r="41" spans="1:86">
      <c r="A41" s="38">
        <v>35</v>
      </c>
      <c r="B41" s="65" t="s">
        <v>61</v>
      </c>
      <c r="C41" s="39" t="s">
        <v>60</v>
      </c>
      <c r="D41" s="40">
        <v>0</v>
      </c>
      <c r="E41" s="40">
        <v>0</v>
      </c>
      <c r="F41" s="40">
        <v>0</v>
      </c>
      <c r="G41" s="40">
        <v>148589</v>
      </c>
      <c r="H41" s="40">
        <v>0</v>
      </c>
      <c r="I41" s="40">
        <v>0</v>
      </c>
      <c r="J41" s="40">
        <v>166670</v>
      </c>
      <c r="K41" s="40">
        <v>9181</v>
      </c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6406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9073</v>
      </c>
      <c r="AF41" s="40">
        <v>149</v>
      </c>
      <c r="AG41" s="40">
        <v>0</v>
      </c>
      <c r="AH41" s="40">
        <v>0</v>
      </c>
      <c r="AI41" s="40">
        <v>236</v>
      </c>
      <c r="AJ41" s="40">
        <v>1664</v>
      </c>
      <c r="AK41" s="40">
        <v>0</v>
      </c>
      <c r="AL41" s="40">
        <v>11651507</v>
      </c>
      <c r="AM41" s="40">
        <v>0</v>
      </c>
      <c r="AN41" s="40">
        <v>0</v>
      </c>
      <c r="AO41" s="40">
        <v>245166</v>
      </c>
      <c r="AP41" s="40">
        <v>2237</v>
      </c>
      <c r="AQ41" s="40">
        <v>0</v>
      </c>
      <c r="AR41" s="40">
        <v>0</v>
      </c>
      <c r="AS41" s="40">
        <v>0</v>
      </c>
      <c r="AT41" s="40">
        <v>315</v>
      </c>
      <c r="AU41" s="40">
        <v>0</v>
      </c>
      <c r="AV41" s="40">
        <v>0</v>
      </c>
      <c r="AW41" s="40">
        <v>231806</v>
      </c>
      <c r="AX41" s="40">
        <v>25138526</v>
      </c>
      <c r="AY41" s="40">
        <v>0</v>
      </c>
      <c r="AZ41" s="40">
        <v>3806862</v>
      </c>
      <c r="BA41" s="40">
        <v>1458710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520</v>
      </c>
      <c r="BL41" s="40">
        <v>3947339</v>
      </c>
      <c r="BM41" s="40">
        <v>544914</v>
      </c>
      <c r="BN41" s="40">
        <v>644167</v>
      </c>
      <c r="BO41" s="40">
        <v>1457075</v>
      </c>
      <c r="BP41" s="40">
        <v>0</v>
      </c>
      <c r="BQ41" s="40">
        <v>1988972</v>
      </c>
      <c r="BR41" s="40">
        <v>0</v>
      </c>
      <c r="BS41" s="40">
        <v>0</v>
      </c>
      <c r="BT41" s="40">
        <v>51460084</v>
      </c>
      <c r="BU41" s="40">
        <v>60646511</v>
      </c>
      <c r="BV41" s="40">
        <v>0</v>
      </c>
      <c r="BW41" s="40">
        <v>0</v>
      </c>
      <c r="BX41" s="40">
        <v>60646511</v>
      </c>
      <c r="BY41" s="40">
        <v>928863402</v>
      </c>
      <c r="BZ41" s="40">
        <v>506234453</v>
      </c>
      <c r="CA41" s="40">
        <v>0</v>
      </c>
      <c r="CB41" s="40">
        <v>1435097855</v>
      </c>
      <c r="CC41" s="40">
        <v>0</v>
      </c>
      <c r="CD41" s="40">
        <v>1495744366</v>
      </c>
      <c r="CE41" s="40">
        <v>1547204450</v>
      </c>
      <c r="CF41" s="41"/>
      <c r="CG41" s="41"/>
      <c r="CH41" s="42"/>
    </row>
    <row r="42" spans="1:86">
      <c r="A42" s="38">
        <v>36</v>
      </c>
      <c r="B42" s="65" t="s">
        <v>59</v>
      </c>
      <c r="C42" s="39" t="s">
        <v>58</v>
      </c>
      <c r="D42" s="40">
        <v>0</v>
      </c>
      <c r="E42" s="40">
        <v>7</v>
      </c>
      <c r="F42" s="40">
        <v>0</v>
      </c>
      <c r="G42" s="40">
        <v>0</v>
      </c>
      <c r="H42" s="40">
        <v>865</v>
      </c>
      <c r="I42" s="40">
        <v>40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48</v>
      </c>
      <c r="AC42" s="40">
        <v>0</v>
      </c>
      <c r="AD42" s="40">
        <v>0</v>
      </c>
      <c r="AE42" s="40">
        <v>0</v>
      </c>
      <c r="AF42" s="40">
        <v>0</v>
      </c>
      <c r="AG42" s="40">
        <v>16444</v>
      </c>
      <c r="AH42" s="40">
        <v>0</v>
      </c>
      <c r="AI42" s="40">
        <v>0</v>
      </c>
      <c r="AJ42" s="40">
        <v>0</v>
      </c>
      <c r="AK42" s="40">
        <v>0</v>
      </c>
      <c r="AL42" s="40">
        <v>0</v>
      </c>
      <c r="AM42" s="40">
        <v>0</v>
      </c>
      <c r="AN42" s="40">
        <v>0</v>
      </c>
      <c r="AO42" s="40">
        <v>0</v>
      </c>
      <c r="AP42" s="40">
        <v>4063</v>
      </c>
      <c r="AQ42" s="40">
        <v>0</v>
      </c>
      <c r="AR42" s="40">
        <v>0</v>
      </c>
      <c r="AS42" s="40">
        <v>0</v>
      </c>
      <c r="AT42" s="40">
        <v>39241</v>
      </c>
      <c r="AU42" s="40">
        <v>0</v>
      </c>
      <c r="AV42" s="40">
        <v>12687</v>
      </c>
      <c r="AW42" s="40">
        <v>3452</v>
      </c>
      <c r="AX42" s="40">
        <v>219</v>
      </c>
      <c r="AY42" s="40">
        <v>0</v>
      </c>
      <c r="AZ42" s="40">
        <v>0</v>
      </c>
      <c r="BA42" s="40">
        <v>0</v>
      </c>
      <c r="BB42" s="40">
        <v>0</v>
      </c>
      <c r="BC42" s="40">
        <v>815641</v>
      </c>
      <c r="BD42" s="40">
        <v>692157</v>
      </c>
      <c r="BE42" s="40">
        <v>384</v>
      </c>
      <c r="BF42" s="40">
        <v>0</v>
      </c>
      <c r="BG42" s="40">
        <v>0</v>
      </c>
      <c r="BH42" s="40">
        <v>0</v>
      </c>
      <c r="BI42" s="40">
        <v>0</v>
      </c>
      <c r="BJ42" s="40">
        <v>59899</v>
      </c>
      <c r="BK42" s="40">
        <v>4836</v>
      </c>
      <c r="BL42" s="40">
        <v>9</v>
      </c>
      <c r="BM42" s="40">
        <v>1998475</v>
      </c>
      <c r="BN42" s="40">
        <v>2764561</v>
      </c>
      <c r="BO42" s="40">
        <v>657166</v>
      </c>
      <c r="BP42" s="40">
        <v>227500</v>
      </c>
      <c r="BQ42" s="40">
        <v>485382</v>
      </c>
      <c r="BR42" s="40">
        <v>63610</v>
      </c>
      <c r="BS42" s="40">
        <v>0</v>
      </c>
      <c r="BT42" s="40">
        <v>7846686</v>
      </c>
      <c r="BU42" s="40">
        <v>141650081</v>
      </c>
      <c r="BV42" s="40">
        <v>0</v>
      </c>
      <c r="BW42" s="40">
        <v>0</v>
      </c>
      <c r="BX42" s="40">
        <v>141650081</v>
      </c>
      <c r="BY42" s="40">
        <v>132122877</v>
      </c>
      <c r="BZ42" s="40">
        <v>-1802541</v>
      </c>
      <c r="CA42" s="40">
        <v>0</v>
      </c>
      <c r="CB42" s="40">
        <v>130320336</v>
      </c>
      <c r="CC42" s="40">
        <v>0</v>
      </c>
      <c r="CD42" s="40">
        <v>271970417</v>
      </c>
      <c r="CE42" s="40">
        <v>279817103</v>
      </c>
      <c r="CF42" s="41"/>
      <c r="CG42" s="41"/>
      <c r="CH42" s="42"/>
    </row>
    <row r="43" spans="1:86">
      <c r="A43" s="38">
        <v>37</v>
      </c>
      <c r="B43" s="65" t="s">
        <v>57</v>
      </c>
      <c r="C43" s="39" t="s">
        <v>56</v>
      </c>
      <c r="D43" s="40">
        <v>133701</v>
      </c>
      <c r="E43" s="40">
        <v>6</v>
      </c>
      <c r="F43" s="40">
        <v>0</v>
      </c>
      <c r="G43" s="40">
        <v>0</v>
      </c>
      <c r="H43" s="40">
        <v>133123</v>
      </c>
      <c r="I43" s="40">
        <v>6295</v>
      </c>
      <c r="J43" s="40">
        <v>0</v>
      </c>
      <c r="K43" s="40">
        <v>5883</v>
      </c>
      <c r="L43" s="40">
        <v>0</v>
      </c>
      <c r="M43" s="40">
        <v>0</v>
      </c>
      <c r="N43" s="40">
        <v>70213</v>
      </c>
      <c r="O43" s="40">
        <v>0</v>
      </c>
      <c r="P43" s="40">
        <v>0</v>
      </c>
      <c r="Q43" s="40">
        <v>2571060</v>
      </c>
      <c r="R43" s="40">
        <v>31988</v>
      </c>
      <c r="S43" s="40">
        <v>0</v>
      </c>
      <c r="T43" s="40">
        <v>0</v>
      </c>
      <c r="U43" s="40">
        <v>0</v>
      </c>
      <c r="V43" s="40">
        <v>0</v>
      </c>
      <c r="W43" s="40">
        <v>24542</v>
      </c>
      <c r="X43" s="40">
        <v>0</v>
      </c>
      <c r="Y43" s="40">
        <v>133870</v>
      </c>
      <c r="Z43" s="40">
        <v>100724</v>
      </c>
      <c r="AA43" s="40">
        <v>896576</v>
      </c>
      <c r="AB43" s="40">
        <v>0</v>
      </c>
      <c r="AC43" s="40">
        <v>0</v>
      </c>
      <c r="AD43" s="40">
        <v>0</v>
      </c>
      <c r="AE43" s="40">
        <v>0</v>
      </c>
      <c r="AF43" s="40">
        <v>0</v>
      </c>
      <c r="AG43" s="40">
        <v>0</v>
      </c>
      <c r="AH43" s="40">
        <v>244106</v>
      </c>
      <c r="AI43" s="40">
        <v>0</v>
      </c>
      <c r="AJ43" s="40">
        <v>162</v>
      </c>
      <c r="AK43" s="40">
        <v>0</v>
      </c>
      <c r="AL43" s="40">
        <v>0</v>
      </c>
      <c r="AM43" s="40">
        <v>0</v>
      </c>
      <c r="AN43" s="40">
        <v>672020</v>
      </c>
      <c r="AO43" s="40">
        <v>0</v>
      </c>
      <c r="AP43" s="40">
        <v>6558</v>
      </c>
      <c r="AQ43" s="40">
        <v>0</v>
      </c>
      <c r="AR43" s="40">
        <v>287</v>
      </c>
      <c r="AS43" s="40">
        <v>3121</v>
      </c>
      <c r="AT43" s="40">
        <v>227854</v>
      </c>
      <c r="AU43" s="40">
        <v>318390</v>
      </c>
      <c r="AV43" s="40">
        <v>129510</v>
      </c>
      <c r="AW43" s="40">
        <v>996702</v>
      </c>
      <c r="AX43" s="40">
        <v>594120</v>
      </c>
      <c r="AY43" s="40">
        <v>0</v>
      </c>
      <c r="AZ43" s="40">
        <v>0</v>
      </c>
      <c r="BA43" s="40">
        <v>105501</v>
      </c>
      <c r="BB43" s="40">
        <v>0</v>
      </c>
      <c r="BC43" s="40">
        <v>3648</v>
      </c>
      <c r="BD43" s="40">
        <v>742434</v>
      </c>
      <c r="BE43" s="40">
        <v>126475</v>
      </c>
      <c r="BF43" s="40">
        <v>146713</v>
      </c>
      <c r="BG43" s="40">
        <v>1941585</v>
      </c>
      <c r="BH43" s="40">
        <v>202301</v>
      </c>
      <c r="BI43" s="40">
        <v>34366</v>
      </c>
      <c r="BJ43" s="40">
        <v>590852</v>
      </c>
      <c r="BK43" s="40">
        <v>4057231</v>
      </c>
      <c r="BL43" s="40">
        <v>11200465</v>
      </c>
      <c r="BM43" s="40">
        <v>5412965</v>
      </c>
      <c r="BN43" s="40">
        <v>9676710</v>
      </c>
      <c r="BO43" s="40">
        <v>10570740</v>
      </c>
      <c r="BP43" s="40">
        <v>164687</v>
      </c>
      <c r="BQ43" s="40">
        <v>7802167</v>
      </c>
      <c r="BR43" s="40">
        <v>1735530</v>
      </c>
      <c r="BS43" s="40">
        <v>0</v>
      </c>
      <c r="BT43" s="40">
        <v>61815181</v>
      </c>
      <c r="BU43" s="40">
        <v>341574886</v>
      </c>
      <c r="BV43" s="40">
        <v>0</v>
      </c>
      <c r="BW43" s="40">
        <v>0</v>
      </c>
      <c r="BX43" s="40">
        <v>341574886</v>
      </c>
      <c r="BY43" s="40">
        <v>311623274</v>
      </c>
      <c r="BZ43" s="40">
        <v>120116426</v>
      </c>
      <c r="CA43" s="40">
        <v>0</v>
      </c>
      <c r="CB43" s="40">
        <v>431739700</v>
      </c>
      <c r="CC43" s="40">
        <v>0</v>
      </c>
      <c r="CD43" s="40">
        <v>773314586</v>
      </c>
      <c r="CE43" s="40">
        <v>835129767</v>
      </c>
      <c r="CF43" s="41"/>
      <c r="CG43" s="41"/>
      <c r="CH43" s="42"/>
    </row>
    <row r="44" spans="1:86" ht="22.5">
      <c r="A44" s="38">
        <v>38</v>
      </c>
      <c r="B44" s="65" t="s">
        <v>55</v>
      </c>
      <c r="C44" s="39" t="s">
        <v>136</v>
      </c>
      <c r="D44" s="40">
        <v>91494</v>
      </c>
      <c r="E44" s="40">
        <v>0</v>
      </c>
      <c r="F44" s="40">
        <v>0</v>
      </c>
      <c r="G44" s="40">
        <v>85637</v>
      </c>
      <c r="H44" s="40">
        <v>36510479</v>
      </c>
      <c r="I44" s="40">
        <v>81062</v>
      </c>
      <c r="J44" s="40">
        <v>444</v>
      </c>
      <c r="K44" s="40">
        <v>393932</v>
      </c>
      <c r="L44" s="40">
        <v>295718</v>
      </c>
      <c r="M44" s="40">
        <v>194214</v>
      </c>
      <c r="N44" s="40">
        <v>50565</v>
      </c>
      <c r="O44" s="40">
        <v>0</v>
      </c>
      <c r="P44" s="40">
        <v>1510</v>
      </c>
      <c r="Q44" s="40">
        <v>919</v>
      </c>
      <c r="R44" s="40">
        <v>17</v>
      </c>
      <c r="S44" s="40">
        <v>0</v>
      </c>
      <c r="T44" s="40">
        <v>44512</v>
      </c>
      <c r="U44" s="40">
        <v>175</v>
      </c>
      <c r="V44" s="40">
        <v>0</v>
      </c>
      <c r="W44" s="40">
        <v>832961</v>
      </c>
      <c r="X44" s="40">
        <v>23299</v>
      </c>
      <c r="Y44" s="40">
        <v>0</v>
      </c>
      <c r="Z44" s="40">
        <v>182</v>
      </c>
      <c r="AA44" s="40">
        <v>647379</v>
      </c>
      <c r="AB44" s="40">
        <v>23158</v>
      </c>
      <c r="AC44" s="40">
        <v>0</v>
      </c>
      <c r="AD44" s="40">
        <v>358</v>
      </c>
      <c r="AE44" s="40">
        <v>63386</v>
      </c>
      <c r="AF44" s="40">
        <v>0</v>
      </c>
      <c r="AG44" s="40">
        <v>3349</v>
      </c>
      <c r="AH44" s="40">
        <v>0</v>
      </c>
      <c r="AI44" s="40">
        <v>1048</v>
      </c>
      <c r="AJ44" s="40">
        <v>9732</v>
      </c>
      <c r="AK44" s="40">
        <v>0</v>
      </c>
      <c r="AL44" s="40">
        <v>0</v>
      </c>
      <c r="AM44" s="40">
        <v>0</v>
      </c>
      <c r="AN44" s="40">
        <v>219</v>
      </c>
      <c r="AO44" s="40">
        <v>1062650</v>
      </c>
      <c r="AP44" s="40">
        <v>1358250</v>
      </c>
      <c r="AQ44" s="40">
        <v>110097</v>
      </c>
      <c r="AR44" s="40">
        <v>7220</v>
      </c>
      <c r="AS44" s="40">
        <v>15243</v>
      </c>
      <c r="AT44" s="40">
        <v>998066</v>
      </c>
      <c r="AU44" s="40">
        <v>433170</v>
      </c>
      <c r="AV44" s="40">
        <v>4469236</v>
      </c>
      <c r="AW44" s="40">
        <v>1980089</v>
      </c>
      <c r="AX44" s="40">
        <v>82477403</v>
      </c>
      <c r="AY44" s="40">
        <v>786238</v>
      </c>
      <c r="AZ44" s="40">
        <v>457289</v>
      </c>
      <c r="BA44" s="40">
        <v>960594</v>
      </c>
      <c r="BB44" s="40">
        <v>0</v>
      </c>
      <c r="BC44" s="40">
        <v>27167</v>
      </c>
      <c r="BD44" s="40">
        <v>170261</v>
      </c>
      <c r="BE44" s="40">
        <v>265315</v>
      </c>
      <c r="BF44" s="40">
        <v>1871634</v>
      </c>
      <c r="BG44" s="40">
        <v>101434</v>
      </c>
      <c r="BH44" s="40">
        <v>46966</v>
      </c>
      <c r="BI44" s="40">
        <v>228137</v>
      </c>
      <c r="BJ44" s="40">
        <v>281475</v>
      </c>
      <c r="BK44" s="40">
        <v>587373</v>
      </c>
      <c r="BL44" s="40">
        <v>226901</v>
      </c>
      <c r="BM44" s="40">
        <v>4974080</v>
      </c>
      <c r="BN44" s="40">
        <v>1816934</v>
      </c>
      <c r="BO44" s="40">
        <v>3179412</v>
      </c>
      <c r="BP44" s="40">
        <v>30339</v>
      </c>
      <c r="BQ44" s="40">
        <v>26704</v>
      </c>
      <c r="BR44" s="40">
        <v>235559</v>
      </c>
      <c r="BS44" s="40">
        <v>0</v>
      </c>
      <c r="BT44" s="40">
        <v>148540985</v>
      </c>
      <c r="BU44" s="40">
        <v>0</v>
      </c>
      <c r="BV44" s="40">
        <v>0</v>
      </c>
      <c r="BW44" s="40">
        <v>0</v>
      </c>
      <c r="BX44" s="40">
        <v>0</v>
      </c>
      <c r="BY44" s="40">
        <v>0</v>
      </c>
      <c r="BZ44" s="40">
        <v>0</v>
      </c>
      <c r="CA44" s="40">
        <v>0</v>
      </c>
      <c r="CB44" s="40">
        <v>0</v>
      </c>
      <c r="CC44" s="40">
        <v>0</v>
      </c>
      <c r="CD44" s="40">
        <v>0</v>
      </c>
      <c r="CE44" s="40">
        <v>148540985</v>
      </c>
      <c r="CF44" s="41"/>
      <c r="CG44" s="41"/>
      <c r="CH44" s="42"/>
    </row>
    <row r="45" spans="1:86" ht="22.5">
      <c r="A45" s="38">
        <v>39</v>
      </c>
      <c r="B45" s="65" t="s">
        <v>54</v>
      </c>
      <c r="C45" s="39" t="s">
        <v>53</v>
      </c>
      <c r="D45" s="40">
        <v>1217714</v>
      </c>
      <c r="E45" s="40">
        <v>253</v>
      </c>
      <c r="F45" s="40">
        <v>1840</v>
      </c>
      <c r="G45" s="40">
        <v>163900</v>
      </c>
      <c r="H45" s="40">
        <v>7404476</v>
      </c>
      <c r="I45" s="40">
        <v>173080</v>
      </c>
      <c r="J45" s="40">
        <v>1758</v>
      </c>
      <c r="K45" s="40">
        <v>523881</v>
      </c>
      <c r="L45" s="40">
        <v>210347</v>
      </c>
      <c r="M45" s="40">
        <v>7453</v>
      </c>
      <c r="N45" s="40">
        <v>1000503</v>
      </c>
      <c r="O45" s="40">
        <v>2059696</v>
      </c>
      <c r="P45" s="40">
        <v>14032</v>
      </c>
      <c r="Q45" s="40">
        <v>6675</v>
      </c>
      <c r="R45" s="40">
        <v>1171</v>
      </c>
      <c r="S45" s="40">
        <v>1700</v>
      </c>
      <c r="T45" s="40">
        <v>32938</v>
      </c>
      <c r="U45" s="40">
        <v>4441</v>
      </c>
      <c r="V45" s="40">
        <v>114812</v>
      </c>
      <c r="W45" s="40">
        <v>5069154</v>
      </c>
      <c r="X45" s="40">
        <v>108930</v>
      </c>
      <c r="Y45" s="40">
        <v>44379</v>
      </c>
      <c r="Z45" s="40">
        <v>34779</v>
      </c>
      <c r="AA45" s="40">
        <v>551649</v>
      </c>
      <c r="AB45" s="40">
        <v>274048</v>
      </c>
      <c r="AC45" s="40">
        <v>1850</v>
      </c>
      <c r="AD45" s="40">
        <v>938</v>
      </c>
      <c r="AE45" s="40">
        <v>83519</v>
      </c>
      <c r="AF45" s="40">
        <v>8056</v>
      </c>
      <c r="AG45" s="40">
        <v>7258</v>
      </c>
      <c r="AH45" s="40">
        <v>22300</v>
      </c>
      <c r="AI45" s="40">
        <v>2316</v>
      </c>
      <c r="AJ45" s="40">
        <v>10847</v>
      </c>
      <c r="AK45" s="40">
        <v>29500</v>
      </c>
      <c r="AL45" s="40">
        <v>30436</v>
      </c>
      <c r="AM45" s="40">
        <v>23460</v>
      </c>
      <c r="AN45" s="40">
        <v>1282</v>
      </c>
      <c r="AO45" s="40">
        <v>34783</v>
      </c>
      <c r="AP45" s="40">
        <v>6921782</v>
      </c>
      <c r="AQ45" s="40">
        <v>2085</v>
      </c>
      <c r="AR45" s="40">
        <v>878175</v>
      </c>
      <c r="AS45" s="40">
        <v>328470</v>
      </c>
      <c r="AT45" s="40">
        <v>563447</v>
      </c>
      <c r="AU45" s="40">
        <v>204504</v>
      </c>
      <c r="AV45" s="40">
        <v>3416509</v>
      </c>
      <c r="AW45" s="40">
        <v>3567606</v>
      </c>
      <c r="AX45" s="40">
        <v>3565539</v>
      </c>
      <c r="AY45" s="40">
        <v>10316</v>
      </c>
      <c r="AZ45" s="40">
        <v>6219</v>
      </c>
      <c r="BA45" s="40">
        <v>2755693</v>
      </c>
      <c r="BB45" s="40">
        <v>992</v>
      </c>
      <c r="BC45" s="40">
        <v>949442</v>
      </c>
      <c r="BD45" s="40">
        <v>347971</v>
      </c>
      <c r="BE45" s="40">
        <v>31391830</v>
      </c>
      <c r="BF45" s="40">
        <v>3920819</v>
      </c>
      <c r="BG45" s="40">
        <v>1553390</v>
      </c>
      <c r="BH45" s="40">
        <v>1565066</v>
      </c>
      <c r="BI45" s="40">
        <v>1502581</v>
      </c>
      <c r="BJ45" s="40">
        <v>3784827</v>
      </c>
      <c r="BK45" s="40">
        <v>1120331</v>
      </c>
      <c r="BL45" s="40">
        <v>12036130</v>
      </c>
      <c r="BM45" s="40">
        <v>17356542</v>
      </c>
      <c r="BN45" s="40">
        <v>31701426</v>
      </c>
      <c r="BO45" s="40">
        <v>8481872</v>
      </c>
      <c r="BP45" s="40">
        <v>169164</v>
      </c>
      <c r="BQ45" s="40">
        <v>1843720</v>
      </c>
      <c r="BR45" s="40">
        <v>783407</v>
      </c>
      <c r="BS45" s="40">
        <v>0</v>
      </c>
      <c r="BT45" s="40">
        <v>160010009</v>
      </c>
      <c r="BU45" s="40">
        <v>0</v>
      </c>
      <c r="BV45" s="40">
        <v>0</v>
      </c>
      <c r="BW45" s="40">
        <v>0</v>
      </c>
      <c r="BX45" s="40">
        <v>0</v>
      </c>
      <c r="BY45" s="40">
        <v>0</v>
      </c>
      <c r="BZ45" s="40">
        <v>0</v>
      </c>
      <c r="CA45" s="40">
        <v>0</v>
      </c>
      <c r="CB45" s="40">
        <v>0</v>
      </c>
      <c r="CC45" s="40">
        <v>0</v>
      </c>
      <c r="CD45" s="40">
        <v>0</v>
      </c>
      <c r="CE45" s="40">
        <v>160010009</v>
      </c>
      <c r="CF45" s="41"/>
      <c r="CG45" s="41"/>
      <c r="CH45" s="42"/>
    </row>
    <row r="46" spans="1:86" ht="33.75">
      <c r="A46" s="38">
        <v>40</v>
      </c>
      <c r="B46" s="65" t="s">
        <v>52</v>
      </c>
      <c r="C46" s="39" t="s">
        <v>51</v>
      </c>
      <c r="D46" s="40">
        <v>1445</v>
      </c>
      <c r="E46" s="40">
        <v>0</v>
      </c>
      <c r="F46" s="40">
        <v>0</v>
      </c>
      <c r="G46" s="40">
        <v>0</v>
      </c>
      <c r="H46" s="40">
        <v>227567</v>
      </c>
      <c r="I46" s="40">
        <v>0</v>
      </c>
      <c r="J46" s="40">
        <v>0</v>
      </c>
      <c r="K46" s="40">
        <v>0</v>
      </c>
      <c r="L46" s="40">
        <v>0</v>
      </c>
      <c r="M46" s="40">
        <v>2</v>
      </c>
      <c r="N46" s="40">
        <v>4065</v>
      </c>
      <c r="O46" s="40">
        <v>0</v>
      </c>
      <c r="P46" s="40">
        <v>8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40">
        <v>121806</v>
      </c>
      <c r="X46" s="40">
        <v>630</v>
      </c>
      <c r="Y46" s="40">
        <v>0</v>
      </c>
      <c r="Z46" s="40">
        <v>6</v>
      </c>
      <c r="AA46" s="40">
        <v>515</v>
      </c>
      <c r="AB46" s="40">
        <v>0</v>
      </c>
      <c r="AC46" s="40">
        <v>0</v>
      </c>
      <c r="AD46" s="40">
        <v>5</v>
      </c>
      <c r="AE46" s="40">
        <v>0</v>
      </c>
      <c r="AF46" s="40">
        <v>0</v>
      </c>
      <c r="AG46" s="40">
        <v>0</v>
      </c>
      <c r="AH46" s="40">
        <v>0</v>
      </c>
      <c r="AI46" s="40">
        <v>0</v>
      </c>
      <c r="AJ46" s="40">
        <v>28</v>
      </c>
      <c r="AK46" s="40">
        <v>0</v>
      </c>
      <c r="AL46" s="40">
        <v>234</v>
      </c>
      <c r="AM46" s="40">
        <v>0</v>
      </c>
      <c r="AN46" s="40">
        <v>0</v>
      </c>
      <c r="AO46" s="40">
        <v>5</v>
      </c>
      <c r="AP46" s="40">
        <v>0</v>
      </c>
      <c r="AQ46" s="40">
        <v>0</v>
      </c>
      <c r="AR46" s="40">
        <v>13013</v>
      </c>
      <c r="AS46" s="40">
        <v>18</v>
      </c>
      <c r="AT46" s="40">
        <v>990</v>
      </c>
      <c r="AU46" s="40">
        <v>146</v>
      </c>
      <c r="AV46" s="40">
        <v>86175</v>
      </c>
      <c r="AW46" s="40">
        <v>90379</v>
      </c>
      <c r="AX46" s="40">
        <v>16</v>
      </c>
      <c r="AY46" s="40">
        <v>0</v>
      </c>
      <c r="AZ46" s="40">
        <v>0</v>
      </c>
      <c r="BA46" s="40">
        <v>0</v>
      </c>
      <c r="BB46" s="40">
        <v>1774</v>
      </c>
      <c r="BC46" s="40">
        <v>0</v>
      </c>
      <c r="BD46" s="40">
        <v>0</v>
      </c>
      <c r="BE46" s="40">
        <v>1125</v>
      </c>
      <c r="BF46" s="40">
        <v>0</v>
      </c>
      <c r="BG46" s="40">
        <v>0</v>
      </c>
      <c r="BH46" s="40">
        <v>0</v>
      </c>
      <c r="BI46" s="40">
        <v>0</v>
      </c>
      <c r="BJ46" s="40">
        <v>1535</v>
      </c>
      <c r="BK46" s="40">
        <v>333</v>
      </c>
      <c r="BL46" s="40">
        <v>110</v>
      </c>
      <c r="BM46" s="40">
        <v>104828</v>
      </c>
      <c r="BN46" s="40">
        <v>830541</v>
      </c>
      <c r="BO46" s="40">
        <v>203566</v>
      </c>
      <c r="BP46" s="40">
        <v>0</v>
      </c>
      <c r="BQ46" s="40">
        <v>2706</v>
      </c>
      <c r="BR46" s="40">
        <v>171449</v>
      </c>
      <c r="BS46" s="40">
        <v>0</v>
      </c>
      <c r="BT46" s="40">
        <v>1865020</v>
      </c>
      <c r="BU46" s="40">
        <v>0</v>
      </c>
      <c r="BV46" s="40">
        <v>0</v>
      </c>
      <c r="BW46" s="40">
        <v>0</v>
      </c>
      <c r="BX46" s="40">
        <v>0</v>
      </c>
      <c r="BY46" s="40">
        <v>0</v>
      </c>
      <c r="BZ46" s="40">
        <v>0</v>
      </c>
      <c r="CA46" s="40">
        <v>0</v>
      </c>
      <c r="CB46" s="40">
        <v>0</v>
      </c>
      <c r="CC46" s="40">
        <v>0</v>
      </c>
      <c r="CD46" s="40">
        <v>0</v>
      </c>
      <c r="CE46" s="40">
        <v>1865020</v>
      </c>
      <c r="CF46" s="41"/>
      <c r="CG46" s="41"/>
      <c r="CH46" s="42"/>
    </row>
    <row r="47" spans="1:86" ht="22.5">
      <c r="A47" s="38">
        <v>41</v>
      </c>
      <c r="B47" s="65" t="s">
        <v>50</v>
      </c>
      <c r="C47" s="39" t="s">
        <v>49</v>
      </c>
      <c r="D47" s="40">
        <v>34337</v>
      </c>
      <c r="E47" s="40">
        <v>18</v>
      </c>
      <c r="F47" s="40">
        <v>0</v>
      </c>
      <c r="G47" s="40">
        <v>276</v>
      </c>
      <c r="H47" s="40">
        <v>5877</v>
      </c>
      <c r="I47" s="40">
        <v>279</v>
      </c>
      <c r="J47" s="40">
        <v>0</v>
      </c>
      <c r="K47" s="40">
        <v>4107</v>
      </c>
      <c r="L47" s="40">
        <v>41</v>
      </c>
      <c r="M47" s="40">
        <v>0</v>
      </c>
      <c r="N47" s="40">
        <v>3694</v>
      </c>
      <c r="O47" s="40">
        <v>0</v>
      </c>
      <c r="P47" s="40">
        <v>0</v>
      </c>
      <c r="Q47" s="40">
        <v>45</v>
      </c>
      <c r="R47" s="40">
        <v>0</v>
      </c>
      <c r="S47" s="40">
        <v>0</v>
      </c>
      <c r="T47" s="40">
        <v>244</v>
      </c>
      <c r="U47" s="40">
        <v>0</v>
      </c>
      <c r="V47" s="40">
        <v>0</v>
      </c>
      <c r="W47" s="40">
        <v>168749</v>
      </c>
      <c r="X47" s="40">
        <v>1446</v>
      </c>
      <c r="Y47" s="40">
        <v>1307</v>
      </c>
      <c r="Z47" s="40">
        <v>3</v>
      </c>
      <c r="AA47" s="40">
        <v>877</v>
      </c>
      <c r="AB47" s="40">
        <v>342</v>
      </c>
      <c r="AC47" s="40">
        <v>0</v>
      </c>
      <c r="AD47" s="40">
        <v>0</v>
      </c>
      <c r="AE47" s="40">
        <v>329</v>
      </c>
      <c r="AF47" s="40">
        <v>0</v>
      </c>
      <c r="AG47" s="40">
        <v>5</v>
      </c>
      <c r="AH47" s="40">
        <v>17</v>
      </c>
      <c r="AI47" s="40">
        <v>0</v>
      </c>
      <c r="AJ47" s="40">
        <v>266</v>
      </c>
      <c r="AK47" s="40">
        <v>0</v>
      </c>
      <c r="AL47" s="40">
        <v>487</v>
      </c>
      <c r="AM47" s="40">
        <v>133</v>
      </c>
      <c r="AN47" s="40">
        <v>89</v>
      </c>
      <c r="AO47" s="40">
        <v>295</v>
      </c>
      <c r="AP47" s="40">
        <v>3363</v>
      </c>
      <c r="AQ47" s="40">
        <v>0</v>
      </c>
      <c r="AR47" s="40">
        <v>7410</v>
      </c>
      <c r="AS47" s="40">
        <v>12594</v>
      </c>
      <c r="AT47" s="40">
        <v>511</v>
      </c>
      <c r="AU47" s="40">
        <v>1991</v>
      </c>
      <c r="AV47" s="40">
        <v>215</v>
      </c>
      <c r="AW47" s="40">
        <v>21099</v>
      </c>
      <c r="AX47" s="40">
        <v>20166</v>
      </c>
      <c r="AY47" s="40">
        <v>0</v>
      </c>
      <c r="AZ47" s="40">
        <v>0</v>
      </c>
      <c r="BA47" s="40">
        <v>11669</v>
      </c>
      <c r="BB47" s="40">
        <v>0</v>
      </c>
      <c r="BC47" s="40">
        <v>4502</v>
      </c>
      <c r="BD47" s="40">
        <v>2207</v>
      </c>
      <c r="BE47" s="40">
        <v>812</v>
      </c>
      <c r="BF47" s="40">
        <v>48</v>
      </c>
      <c r="BG47" s="40">
        <v>57492</v>
      </c>
      <c r="BH47" s="40">
        <v>5944</v>
      </c>
      <c r="BI47" s="40">
        <v>4231</v>
      </c>
      <c r="BJ47" s="40">
        <v>57299</v>
      </c>
      <c r="BK47" s="40">
        <v>42754</v>
      </c>
      <c r="BL47" s="40">
        <v>37462</v>
      </c>
      <c r="BM47" s="40">
        <v>1435021</v>
      </c>
      <c r="BN47" s="40">
        <v>3246243</v>
      </c>
      <c r="BO47" s="40">
        <v>1237211</v>
      </c>
      <c r="BP47" s="40">
        <v>12117</v>
      </c>
      <c r="BQ47" s="40">
        <v>21640</v>
      </c>
      <c r="BR47" s="40">
        <v>534908</v>
      </c>
      <c r="BS47" s="40">
        <v>0</v>
      </c>
      <c r="BT47" s="40">
        <v>7002172</v>
      </c>
      <c r="BU47" s="40">
        <v>0</v>
      </c>
      <c r="BV47" s="40">
        <v>0</v>
      </c>
      <c r="BW47" s="40">
        <v>0</v>
      </c>
      <c r="BX47" s="40">
        <v>0</v>
      </c>
      <c r="BY47" s="40">
        <v>0</v>
      </c>
      <c r="BZ47" s="40">
        <v>0</v>
      </c>
      <c r="CA47" s="40">
        <v>0</v>
      </c>
      <c r="CB47" s="40">
        <v>0</v>
      </c>
      <c r="CC47" s="40">
        <v>0</v>
      </c>
      <c r="CD47" s="40">
        <v>0</v>
      </c>
      <c r="CE47" s="40">
        <v>7002172</v>
      </c>
      <c r="CF47" s="41"/>
      <c r="CG47" s="41"/>
      <c r="CH47" s="42"/>
    </row>
    <row r="48" spans="1:86" ht="33.75">
      <c r="A48" s="38">
        <v>42</v>
      </c>
      <c r="B48" s="65" t="s">
        <v>94</v>
      </c>
      <c r="C48" s="39" t="s">
        <v>162</v>
      </c>
      <c r="D48" s="40">
        <v>22463</v>
      </c>
      <c r="E48" s="40">
        <v>6</v>
      </c>
      <c r="F48" s="40">
        <v>0</v>
      </c>
      <c r="G48" s="40">
        <v>9796</v>
      </c>
      <c r="H48" s="40">
        <v>501215</v>
      </c>
      <c r="I48" s="40">
        <v>23829</v>
      </c>
      <c r="J48" s="40">
        <v>0</v>
      </c>
      <c r="K48" s="40">
        <v>16562</v>
      </c>
      <c r="L48" s="40">
        <v>1</v>
      </c>
      <c r="M48" s="40">
        <v>143768</v>
      </c>
      <c r="N48" s="40">
        <v>17987</v>
      </c>
      <c r="O48" s="40">
        <v>0</v>
      </c>
      <c r="P48" s="40">
        <v>0</v>
      </c>
      <c r="Q48" s="40">
        <v>68</v>
      </c>
      <c r="R48" s="40">
        <v>608</v>
      </c>
      <c r="S48" s="40">
        <v>0</v>
      </c>
      <c r="T48" s="40">
        <v>0</v>
      </c>
      <c r="U48" s="40">
        <v>0</v>
      </c>
      <c r="V48" s="40">
        <v>0</v>
      </c>
      <c r="W48" s="40">
        <v>9650</v>
      </c>
      <c r="X48" s="40">
        <v>3628</v>
      </c>
      <c r="Y48" s="40">
        <v>6</v>
      </c>
      <c r="Z48" s="40">
        <v>5100</v>
      </c>
      <c r="AA48" s="40">
        <v>5470</v>
      </c>
      <c r="AB48" s="40">
        <v>33</v>
      </c>
      <c r="AC48" s="40">
        <v>0</v>
      </c>
      <c r="AD48" s="40">
        <v>72</v>
      </c>
      <c r="AE48" s="40">
        <v>5242</v>
      </c>
      <c r="AF48" s="40">
        <v>241</v>
      </c>
      <c r="AG48" s="40">
        <v>662</v>
      </c>
      <c r="AH48" s="40">
        <v>0</v>
      </c>
      <c r="AI48" s="40">
        <v>0</v>
      </c>
      <c r="AJ48" s="40">
        <v>50</v>
      </c>
      <c r="AK48" s="40">
        <v>0</v>
      </c>
      <c r="AL48" s="40">
        <v>0</v>
      </c>
      <c r="AM48" s="40">
        <v>0</v>
      </c>
      <c r="AN48" s="40">
        <v>612</v>
      </c>
      <c r="AO48" s="40">
        <v>1366</v>
      </c>
      <c r="AP48" s="40">
        <v>226395</v>
      </c>
      <c r="AQ48" s="40">
        <v>0</v>
      </c>
      <c r="AR48" s="40">
        <v>9913</v>
      </c>
      <c r="AS48" s="40">
        <v>903435</v>
      </c>
      <c r="AT48" s="40">
        <v>149267</v>
      </c>
      <c r="AU48" s="40">
        <v>50</v>
      </c>
      <c r="AV48" s="40">
        <v>284107</v>
      </c>
      <c r="AW48" s="40">
        <v>254250</v>
      </c>
      <c r="AX48" s="40">
        <v>17838</v>
      </c>
      <c r="AY48" s="40">
        <v>0</v>
      </c>
      <c r="AZ48" s="40">
        <v>1</v>
      </c>
      <c r="BA48" s="40">
        <v>260294</v>
      </c>
      <c r="BB48" s="40">
        <v>0</v>
      </c>
      <c r="BC48" s="40">
        <v>143843</v>
      </c>
      <c r="BD48" s="40">
        <v>60535</v>
      </c>
      <c r="BE48" s="40">
        <v>35059</v>
      </c>
      <c r="BF48" s="40">
        <v>6</v>
      </c>
      <c r="BG48" s="40">
        <v>30088</v>
      </c>
      <c r="BH48" s="40">
        <v>14122</v>
      </c>
      <c r="BI48" s="40">
        <v>10579</v>
      </c>
      <c r="BJ48" s="40">
        <v>1015081</v>
      </c>
      <c r="BK48" s="40">
        <v>277854</v>
      </c>
      <c r="BL48" s="40">
        <v>1525453</v>
      </c>
      <c r="BM48" s="40">
        <v>6576371</v>
      </c>
      <c r="BN48" s="40">
        <v>2220309</v>
      </c>
      <c r="BO48" s="40">
        <v>9420093</v>
      </c>
      <c r="BP48" s="40">
        <v>23887</v>
      </c>
      <c r="BQ48" s="40">
        <v>162097</v>
      </c>
      <c r="BR48" s="40">
        <v>143937</v>
      </c>
      <c r="BS48" s="40">
        <v>0</v>
      </c>
      <c r="BT48" s="40">
        <v>24533299</v>
      </c>
      <c r="BU48" s="40">
        <v>0</v>
      </c>
      <c r="BV48" s="40">
        <v>0</v>
      </c>
      <c r="BW48" s="40">
        <v>0</v>
      </c>
      <c r="BX48" s="40">
        <v>0</v>
      </c>
      <c r="BY48" s="40">
        <v>0</v>
      </c>
      <c r="BZ48" s="40">
        <v>0</v>
      </c>
      <c r="CA48" s="40">
        <v>0</v>
      </c>
      <c r="CB48" s="40">
        <v>0</v>
      </c>
      <c r="CC48" s="40">
        <v>0</v>
      </c>
      <c r="CD48" s="40">
        <v>0</v>
      </c>
      <c r="CE48" s="40">
        <v>24533299</v>
      </c>
      <c r="CF48" s="41"/>
      <c r="CG48" s="41"/>
      <c r="CH48" s="42"/>
    </row>
    <row r="49" spans="1:86">
      <c r="A49" s="38">
        <v>43</v>
      </c>
      <c r="B49" s="65" t="s">
        <v>48</v>
      </c>
      <c r="C49" s="39" t="s">
        <v>47</v>
      </c>
      <c r="D49" s="40">
        <v>355690</v>
      </c>
      <c r="E49" s="40">
        <v>15</v>
      </c>
      <c r="F49" s="40">
        <v>126354</v>
      </c>
      <c r="G49" s="40">
        <v>0</v>
      </c>
      <c r="H49" s="40">
        <v>8838733</v>
      </c>
      <c r="I49" s="40">
        <v>419621</v>
      </c>
      <c r="J49" s="40">
        <v>0</v>
      </c>
      <c r="K49" s="40">
        <v>0</v>
      </c>
      <c r="L49" s="40">
        <v>32755</v>
      </c>
      <c r="M49" s="40">
        <v>51779</v>
      </c>
      <c r="N49" s="40">
        <v>9918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152207</v>
      </c>
      <c r="X49" s="40">
        <v>30265</v>
      </c>
      <c r="Y49" s="40">
        <v>0</v>
      </c>
      <c r="Z49" s="40">
        <v>123</v>
      </c>
      <c r="AA49" s="40">
        <v>651703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334466</v>
      </c>
      <c r="AH49" s="40">
        <v>0</v>
      </c>
      <c r="AI49" s="40">
        <v>0</v>
      </c>
      <c r="AJ49" s="40">
        <v>391</v>
      </c>
      <c r="AK49" s="40">
        <v>0</v>
      </c>
      <c r="AL49" s="40">
        <v>0</v>
      </c>
      <c r="AM49" s="40">
        <v>0</v>
      </c>
      <c r="AN49" s="40">
        <v>0</v>
      </c>
      <c r="AO49" s="40">
        <v>83654</v>
      </c>
      <c r="AP49" s="40">
        <v>593257</v>
      </c>
      <c r="AQ49" s="40">
        <v>0</v>
      </c>
      <c r="AR49" s="40">
        <v>2228316</v>
      </c>
      <c r="AS49" s="40">
        <v>3724352</v>
      </c>
      <c r="AT49" s="40">
        <v>41507236</v>
      </c>
      <c r="AU49" s="40">
        <v>0</v>
      </c>
      <c r="AV49" s="40">
        <v>8715416</v>
      </c>
      <c r="AW49" s="40">
        <v>3498339</v>
      </c>
      <c r="AX49" s="40">
        <v>3423895</v>
      </c>
      <c r="AY49" s="40">
        <v>2668540</v>
      </c>
      <c r="AZ49" s="40">
        <v>5467</v>
      </c>
      <c r="BA49" s="40">
        <v>2325088</v>
      </c>
      <c r="BB49" s="40">
        <v>0</v>
      </c>
      <c r="BC49" s="40">
        <v>55387</v>
      </c>
      <c r="BD49" s="40">
        <v>0</v>
      </c>
      <c r="BE49" s="40">
        <v>35116</v>
      </c>
      <c r="BF49" s="40">
        <v>0</v>
      </c>
      <c r="BG49" s="40">
        <v>506199</v>
      </c>
      <c r="BH49" s="40">
        <v>0</v>
      </c>
      <c r="BI49" s="40">
        <v>0</v>
      </c>
      <c r="BJ49" s="40">
        <v>577429</v>
      </c>
      <c r="BK49" s="40">
        <v>301570</v>
      </c>
      <c r="BL49" s="40">
        <v>5402429</v>
      </c>
      <c r="BM49" s="40">
        <v>50861616</v>
      </c>
      <c r="BN49" s="40">
        <v>19773498</v>
      </c>
      <c r="BO49" s="40">
        <v>13710984</v>
      </c>
      <c r="BP49" s="40">
        <v>1203066</v>
      </c>
      <c r="BQ49" s="40">
        <v>359820</v>
      </c>
      <c r="BR49" s="40">
        <v>0</v>
      </c>
      <c r="BS49" s="40">
        <v>0</v>
      </c>
      <c r="BT49" s="40">
        <v>172564694</v>
      </c>
      <c r="BU49" s="40">
        <v>0</v>
      </c>
      <c r="BV49" s="40">
        <v>0</v>
      </c>
      <c r="BW49" s="40">
        <v>0</v>
      </c>
      <c r="BX49" s="40">
        <v>0</v>
      </c>
      <c r="BY49" s="40">
        <v>26869164</v>
      </c>
      <c r="BZ49" s="40">
        <v>0</v>
      </c>
      <c r="CA49" s="40">
        <v>0</v>
      </c>
      <c r="CB49" s="40">
        <v>26869164</v>
      </c>
      <c r="CC49" s="40">
        <v>0</v>
      </c>
      <c r="CD49" s="40">
        <v>26869164</v>
      </c>
      <c r="CE49" s="40">
        <v>199433858</v>
      </c>
      <c r="CF49" s="41"/>
      <c r="CG49" s="41"/>
      <c r="CH49" s="42"/>
    </row>
    <row r="50" spans="1:86" ht="33.75">
      <c r="A50" s="38">
        <v>44</v>
      </c>
      <c r="B50" s="65" t="s">
        <v>46</v>
      </c>
      <c r="C50" s="39" t="s">
        <v>137</v>
      </c>
      <c r="D50" s="40">
        <v>290</v>
      </c>
      <c r="E50" s="40">
        <v>1</v>
      </c>
      <c r="F50" s="40">
        <v>0</v>
      </c>
      <c r="G50" s="40">
        <v>8793</v>
      </c>
      <c r="H50" s="40">
        <v>567998</v>
      </c>
      <c r="I50" s="40">
        <v>0</v>
      </c>
      <c r="J50" s="40">
        <v>0</v>
      </c>
      <c r="K50" s="40">
        <v>8412</v>
      </c>
      <c r="L50" s="40">
        <v>66</v>
      </c>
      <c r="M50" s="40">
        <v>32376</v>
      </c>
      <c r="N50" s="40">
        <v>24046</v>
      </c>
      <c r="O50" s="40">
        <v>0</v>
      </c>
      <c r="P50" s="40">
        <v>0</v>
      </c>
      <c r="Q50" s="40">
        <v>514</v>
      </c>
      <c r="R50" s="40">
        <v>0</v>
      </c>
      <c r="S50" s="40">
        <v>0</v>
      </c>
      <c r="T50" s="40">
        <v>0</v>
      </c>
      <c r="U50" s="40">
        <v>0</v>
      </c>
      <c r="V50" s="40">
        <v>0</v>
      </c>
      <c r="W50" s="40">
        <v>0</v>
      </c>
      <c r="X50" s="40">
        <v>3661</v>
      </c>
      <c r="Y50" s="40">
        <v>0</v>
      </c>
      <c r="Z50" s="40">
        <v>1357</v>
      </c>
      <c r="AA50" s="40">
        <v>18681</v>
      </c>
      <c r="AB50" s="40">
        <v>1584</v>
      </c>
      <c r="AC50" s="40">
        <v>0</v>
      </c>
      <c r="AD50" s="40">
        <v>0</v>
      </c>
      <c r="AE50" s="40">
        <v>539</v>
      </c>
      <c r="AF50" s="40">
        <v>0</v>
      </c>
      <c r="AG50" s="40">
        <v>17</v>
      </c>
      <c r="AH50" s="40">
        <v>0</v>
      </c>
      <c r="AI50" s="40">
        <v>61</v>
      </c>
      <c r="AJ50" s="40">
        <v>4834</v>
      </c>
      <c r="AK50" s="40">
        <v>0</v>
      </c>
      <c r="AL50" s="40">
        <v>0</v>
      </c>
      <c r="AM50" s="40">
        <v>0</v>
      </c>
      <c r="AN50" s="40">
        <v>470</v>
      </c>
      <c r="AO50" s="40">
        <v>17062</v>
      </c>
      <c r="AP50" s="40">
        <v>0</v>
      </c>
      <c r="AQ50" s="40">
        <v>0</v>
      </c>
      <c r="AR50" s="40">
        <v>0</v>
      </c>
      <c r="AS50" s="40">
        <v>0</v>
      </c>
      <c r="AT50" s="40">
        <v>305348</v>
      </c>
      <c r="AU50" s="40">
        <v>2777545</v>
      </c>
      <c r="AV50" s="40">
        <v>1724451</v>
      </c>
      <c r="AW50" s="40">
        <v>381409</v>
      </c>
      <c r="AX50" s="40">
        <v>5976760</v>
      </c>
      <c r="AY50" s="40">
        <v>0</v>
      </c>
      <c r="AZ50" s="40">
        <v>14292</v>
      </c>
      <c r="BA50" s="40">
        <v>0</v>
      </c>
      <c r="BB50" s="40">
        <v>0</v>
      </c>
      <c r="BC50" s="40">
        <v>0</v>
      </c>
      <c r="BD50" s="40">
        <v>3242</v>
      </c>
      <c r="BE50" s="40">
        <v>0</v>
      </c>
      <c r="BF50" s="40">
        <v>0</v>
      </c>
      <c r="BG50" s="40">
        <v>0</v>
      </c>
      <c r="BH50" s="40">
        <v>0</v>
      </c>
      <c r="BI50" s="40">
        <v>0</v>
      </c>
      <c r="BJ50" s="40">
        <v>966548</v>
      </c>
      <c r="BK50" s="40">
        <v>84982</v>
      </c>
      <c r="BL50" s="40">
        <v>627</v>
      </c>
      <c r="BM50" s="40">
        <v>0</v>
      </c>
      <c r="BN50" s="40">
        <v>0</v>
      </c>
      <c r="BO50" s="40">
        <v>0</v>
      </c>
      <c r="BP50" s="40">
        <v>0</v>
      </c>
      <c r="BQ50" s="40">
        <v>0</v>
      </c>
      <c r="BR50" s="40">
        <v>0</v>
      </c>
      <c r="BS50" s="40">
        <v>0</v>
      </c>
      <c r="BT50" s="40">
        <v>12925966</v>
      </c>
      <c r="BU50" s="40">
        <v>0</v>
      </c>
      <c r="BV50" s="40">
        <v>0</v>
      </c>
      <c r="BW50" s="40">
        <v>0</v>
      </c>
      <c r="BX50" s="40">
        <v>0</v>
      </c>
      <c r="BY50" s="40">
        <v>0</v>
      </c>
      <c r="BZ50" s="40">
        <v>0</v>
      </c>
      <c r="CA50" s="40">
        <v>0</v>
      </c>
      <c r="CB50" s="40">
        <v>0</v>
      </c>
      <c r="CC50" s="40">
        <v>0</v>
      </c>
      <c r="CD50" s="40">
        <v>0</v>
      </c>
      <c r="CE50" s="40">
        <v>12925966</v>
      </c>
      <c r="CF50" s="41"/>
      <c r="CG50" s="41"/>
      <c r="CH50" s="42"/>
    </row>
    <row r="51" spans="1:86" ht="22.5">
      <c r="A51" s="38">
        <v>45</v>
      </c>
      <c r="B51" s="65" t="s">
        <v>45</v>
      </c>
      <c r="C51" s="39" t="s">
        <v>44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40">
        <v>0</v>
      </c>
      <c r="S51" s="40">
        <v>0</v>
      </c>
      <c r="T51" s="40">
        <v>0</v>
      </c>
      <c r="U51" s="40">
        <v>0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  <c r="AB51" s="40">
        <v>0</v>
      </c>
      <c r="AC51" s="40">
        <v>0</v>
      </c>
      <c r="AD51" s="40">
        <v>0</v>
      </c>
      <c r="AE51" s="40">
        <v>0</v>
      </c>
      <c r="AF51" s="40">
        <v>0</v>
      </c>
      <c r="AG51" s="40">
        <v>0</v>
      </c>
      <c r="AH51" s="40">
        <v>0</v>
      </c>
      <c r="AI51" s="40">
        <v>0</v>
      </c>
      <c r="AJ51" s="40">
        <v>0</v>
      </c>
      <c r="AK51" s="40">
        <v>0</v>
      </c>
      <c r="AL51" s="40">
        <v>0</v>
      </c>
      <c r="AM51" s="40">
        <v>0</v>
      </c>
      <c r="AN51" s="40">
        <v>0</v>
      </c>
      <c r="AO51" s="40">
        <v>0</v>
      </c>
      <c r="AP51" s="40">
        <v>0</v>
      </c>
      <c r="AQ51" s="40">
        <v>0</v>
      </c>
      <c r="AR51" s="40">
        <v>0</v>
      </c>
      <c r="AS51" s="40">
        <v>0</v>
      </c>
      <c r="AT51" s="40">
        <v>0</v>
      </c>
      <c r="AU51" s="40">
        <v>0</v>
      </c>
      <c r="AV51" s="40">
        <v>0</v>
      </c>
      <c r="AW51" s="40">
        <v>0</v>
      </c>
      <c r="AX51" s="40">
        <v>0</v>
      </c>
      <c r="AY51" s="40">
        <v>0</v>
      </c>
      <c r="AZ51" s="40">
        <v>0</v>
      </c>
      <c r="BA51" s="40">
        <v>0</v>
      </c>
      <c r="BB51" s="40">
        <v>0</v>
      </c>
      <c r="BC51" s="40">
        <v>0</v>
      </c>
      <c r="BD51" s="40">
        <v>0</v>
      </c>
      <c r="BE51" s="40">
        <v>0</v>
      </c>
      <c r="BF51" s="40">
        <v>0</v>
      </c>
      <c r="BG51" s="40">
        <v>0</v>
      </c>
      <c r="BH51" s="40">
        <v>0</v>
      </c>
      <c r="BI51" s="40">
        <v>0</v>
      </c>
      <c r="BJ51" s="40">
        <v>0</v>
      </c>
      <c r="BK51" s="40">
        <v>0</v>
      </c>
      <c r="BL51" s="40">
        <v>0</v>
      </c>
      <c r="BM51" s="40">
        <v>0</v>
      </c>
      <c r="BN51" s="40">
        <v>0</v>
      </c>
      <c r="BO51" s="40">
        <v>0</v>
      </c>
      <c r="BP51" s="40">
        <v>0</v>
      </c>
      <c r="BQ51" s="40">
        <v>0</v>
      </c>
      <c r="BR51" s="40">
        <v>0</v>
      </c>
      <c r="BS51" s="40">
        <v>0</v>
      </c>
      <c r="BT51" s="40">
        <v>0</v>
      </c>
      <c r="BU51" s="40">
        <v>0</v>
      </c>
      <c r="BV51" s="40">
        <v>0</v>
      </c>
      <c r="BW51" s="40">
        <v>0</v>
      </c>
      <c r="BX51" s="40">
        <v>0</v>
      </c>
      <c r="BY51" s="40">
        <v>0</v>
      </c>
      <c r="BZ51" s="40">
        <v>0</v>
      </c>
      <c r="CA51" s="40">
        <v>0</v>
      </c>
      <c r="CB51" s="40">
        <v>0</v>
      </c>
      <c r="CC51" s="40">
        <v>0</v>
      </c>
      <c r="CD51" s="40">
        <v>0</v>
      </c>
      <c r="CE51" s="40">
        <v>0</v>
      </c>
      <c r="CF51" s="41"/>
      <c r="CG51" s="41"/>
      <c r="CH51" s="42"/>
    </row>
    <row r="52" spans="1:86" ht="33.75">
      <c r="A52" s="38">
        <v>46</v>
      </c>
      <c r="B52" s="65" t="s">
        <v>43</v>
      </c>
      <c r="C52" s="39" t="s">
        <v>42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40">
        <v>0</v>
      </c>
      <c r="AJ52" s="40">
        <v>0</v>
      </c>
      <c r="AK52" s="40">
        <v>0</v>
      </c>
      <c r="AL52" s="40">
        <v>0</v>
      </c>
      <c r="AM52" s="40">
        <v>0</v>
      </c>
      <c r="AN52" s="40">
        <v>0</v>
      </c>
      <c r="AO52" s="40">
        <v>0</v>
      </c>
      <c r="AP52" s="40">
        <v>0</v>
      </c>
      <c r="AQ52" s="40">
        <v>0</v>
      </c>
      <c r="AR52" s="40">
        <v>0</v>
      </c>
      <c r="AS52" s="40">
        <v>0</v>
      </c>
      <c r="AT52" s="40">
        <v>0</v>
      </c>
      <c r="AU52" s="40">
        <v>0</v>
      </c>
      <c r="AV52" s="40">
        <v>0</v>
      </c>
      <c r="AW52" s="40">
        <v>0</v>
      </c>
      <c r="AX52" s="40">
        <v>0</v>
      </c>
      <c r="AY52" s="40">
        <v>0</v>
      </c>
      <c r="AZ52" s="40">
        <v>0</v>
      </c>
      <c r="BA52" s="40">
        <v>0</v>
      </c>
      <c r="BB52" s="40">
        <v>0</v>
      </c>
      <c r="BC52" s="40">
        <v>0</v>
      </c>
      <c r="BD52" s="40">
        <v>0</v>
      </c>
      <c r="BE52" s="40">
        <v>0</v>
      </c>
      <c r="BF52" s="40">
        <v>0</v>
      </c>
      <c r="BG52" s="40">
        <v>0</v>
      </c>
      <c r="BH52" s="40">
        <v>0</v>
      </c>
      <c r="BI52" s="40">
        <v>0</v>
      </c>
      <c r="BJ52" s="40">
        <v>0</v>
      </c>
      <c r="BK52" s="40">
        <v>0</v>
      </c>
      <c r="BL52" s="40">
        <v>0</v>
      </c>
      <c r="BM52" s="40">
        <v>0</v>
      </c>
      <c r="BN52" s="40">
        <v>0</v>
      </c>
      <c r="BO52" s="40">
        <v>0</v>
      </c>
      <c r="BP52" s="40">
        <v>0</v>
      </c>
      <c r="BQ52" s="40">
        <v>0</v>
      </c>
      <c r="BR52" s="40">
        <v>0</v>
      </c>
      <c r="BS52" s="40">
        <v>0</v>
      </c>
      <c r="BT52" s="40">
        <v>0</v>
      </c>
      <c r="BU52" s="40">
        <v>0</v>
      </c>
      <c r="BV52" s="40">
        <v>0</v>
      </c>
      <c r="BW52" s="40">
        <v>0</v>
      </c>
      <c r="BX52" s="40">
        <v>0</v>
      </c>
      <c r="BY52" s="40">
        <v>0</v>
      </c>
      <c r="BZ52" s="40">
        <v>0</v>
      </c>
      <c r="CA52" s="40">
        <v>0</v>
      </c>
      <c r="CB52" s="40">
        <v>0</v>
      </c>
      <c r="CC52" s="40">
        <v>0</v>
      </c>
      <c r="CD52" s="40">
        <v>0</v>
      </c>
      <c r="CE52" s="40">
        <v>0</v>
      </c>
      <c r="CF52" s="41"/>
      <c r="CG52" s="41"/>
      <c r="CH52" s="42"/>
    </row>
    <row r="53" spans="1:86" ht="22.5">
      <c r="A53" s="38">
        <v>47</v>
      </c>
      <c r="B53" s="65" t="s">
        <v>41</v>
      </c>
      <c r="C53" s="39" t="s">
        <v>40</v>
      </c>
      <c r="D53" s="40">
        <v>5981432</v>
      </c>
      <c r="E53" s="40">
        <v>991</v>
      </c>
      <c r="F53" s="40">
        <v>0</v>
      </c>
      <c r="G53" s="40">
        <v>3508023</v>
      </c>
      <c r="H53" s="40">
        <v>30000284</v>
      </c>
      <c r="I53" s="40">
        <v>6815</v>
      </c>
      <c r="J53" s="40">
        <v>900457</v>
      </c>
      <c r="K53" s="40">
        <v>2659731</v>
      </c>
      <c r="L53" s="40">
        <v>2081334</v>
      </c>
      <c r="M53" s="40">
        <v>462400</v>
      </c>
      <c r="N53" s="40">
        <v>1678537</v>
      </c>
      <c r="O53" s="40">
        <v>0</v>
      </c>
      <c r="P53" s="40">
        <v>4178</v>
      </c>
      <c r="Q53" s="40">
        <v>4564</v>
      </c>
      <c r="R53" s="40">
        <v>959</v>
      </c>
      <c r="S53" s="40">
        <v>0</v>
      </c>
      <c r="T53" s="40">
        <v>92168</v>
      </c>
      <c r="U53" s="40">
        <v>1</v>
      </c>
      <c r="V53" s="40">
        <v>0</v>
      </c>
      <c r="W53" s="40">
        <v>92786</v>
      </c>
      <c r="X53" s="40">
        <v>163168</v>
      </c>
      <c r="Y53" s="40">
        <v>0</v>
      </c>
      <c r="Z53" s="40">
        <v>6942</v>
      </c>
      <c r="AA53" s="40">
        <v>1915800</v>
      </c>
      <c r="AB53" s="40">
        <v>1295915</v>
      </c>
      <c r="AC53" s="40">
        <v>0</v>
      </c>
      <c r="AD53" s="40">
        <v>2119</v>
      </c>
      <c r="AE53" s="40">
        <v>2371018</v>
      </c>
      <c r="AF53" s="40">
        <v>1048</v>
      </c>
      <c r="AG53" s="40">
        <v>6308</v>
      </c>
      <c r="AH53" s="40">
        <v>424</v>
      </c>
      <c r="AI53" s="40">
        <v>2140</v>
      </c>
      <c r="AJ53" s="40">
        <v>62916</v>
      </c>
      <c r="AK53" s="40">
        <v>2868</v>
      </c>
      <c r="AL53" s="40">
        <v>603</v>
      </c>
      <c r="AM53" s="40">
        <v>8806</v>
      </c>
      <c r="AN53" s="40">
        <v>0</v>
      </c>
      <c r="AO53" s="40">
        <v>159950</v>
      </c>
      <c r="AP53" s="40">
        <v>145957</v>
      </c>
      <c r="AQ53" s="40">
        <v>0</v>
      </c>
      <c r="AR53" s="40">
        <v>32112</v>
      </c>
      <c r="AS53" s="40">
        <v>163585</v>
      </c>
      <c r="AT53" s="40">
        <v>1546346</v>
      </c>
      <c r="AU53" s="40">
        <v>876343</v>
      </c>
      <c r="AV53" s="40">
        <v>13600987</v>
      </c>
      <c r="AW53" s="40">
        <v>2876854</v>
      </c>
      <c r="AX53" s="40">
        <v>908478</v>
      </c>
      <c r="AY53" s="40">
        <v>26661</v>
      </c>
      <c r="AZ53" s="40">
        <v>0</v>
      </c>
      <c r="BA53" s="40">
        <v>14859741</v>
      </c>
      <c r="BB53" s="40">
        <v>371015</v>
      </c>
      <c r="BC53" s="40">
        <v>5073</v>
      </c>
      <c r="BD53" s="40">
        <v>1169655</v>
      </c>
      <c r="BE53" s="40">
        <v>88119</v>
      </c>
      <c r="BF53" s="40">
        <v>10313</v>
      </c>
      <c r="BG53" s="40">
        <v>512152</v>
      </c>
      <c r="BH53" s="40">
        <v>460031</v>
      </c>
      <c r="BI53" s="40">
        <v>71137</v>
      </c>
      <c r="BJ53" s="40">
        <v>14188034</v>
      </c>
      <c r="BK53" s="40">
        <v>1596516</v>
      </c>
      <c r="BL53" s="40">
        <v>10016375</v>
      </c>
      <c r="BM53" s="40">
        <v>1489986</v>
      </c>
      <c r="BN53" s="40">
        <v>1639372</v>
      </c>
      <c r="BO53" s="40">
        <v>440625</v>
      </c>
      <c r="BP53" s="40">
        <v>7402</v>
      </c>
      <c r="BQ53" s="40">
        <v>43536</v>
      </c>
      <c r="BR53" s="40">
        <v>2457020</v>
      </c>
      <c r="BS53" s="40">
        <v>0</v>
      </c>
      <c r="BT53" s="40">
        <v>123078110</v>
      </c>
      <c r="BU53" s="40">
        <v>150965530</v>
      </c>
      <c r="BV53" s="40">
        <v>0</v>
      </c>
      <c r="BW53" s="40">
        <v>0</v>
      </c>
      <c r="BX53" s="40">
        <v>150965530</v>
      </c>
      <c r="BY53" s="40">
        <v>0</v>
      </c>
      <c r="BZ53" s="40">
        <v>0</v>
      </c>
      <c r="CA53" s="40">
        <v>0</v>
      </c>
      <c r="CB53" s="40">
        <v>0</v>
      </c>
      <c r="CC53" s="40">
        <v>0</v>
      </c>
      <c r="CD53" s="40">
        <v>150965530</v>
      </c>
      <c r="CE53" s="40">
        <v>274043640</v>
      </c>
      <c r="CF53" s="41"/>
      <c r="CG53" s="41"/>
      <c r="CH53" s="42"/>
    </row>
    <row r="54" spans="1:86">
      <c r="A54" s="38">
        <v>48</v>
      </c>
      <c r="B54" s="65" t="s">
        <v>39</v>
      </c>
      <c r="C54" s="39" t="s">
        <v>38</v>
      </c>
      <c r="D54" s="40">
        <v>0</v>
      </c>
      <c r="E54" s="40">
        <v>0</v>
      </c>
      <c r="F54" s="40">
        <v>2735132</v>
      </c>
      <c r="G54" s="40">
        <v>18639</v>
      </c>
      <c r="H54" s="40">
        <v>2769388</v>
      </c>
      <c r="I54" s="40">
        <v>104456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40">
        <v>0</v>
      </c>
      <c r="U54" s="40">
        <v>0</v>
      </c>
      <c r="V54" s="40">
        <v>721551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0</v>
      </c>
      <c r="AC54" s="40">
        <v>0</v>
      </c>
      <c r="AD54" s="40">
        <v>0</v>
      </c>
      <c r="AE54" s="40">
        <v>0</v>
      </c>
      <c r="AF54" s="40">
        <v>0</v>
      </c>
      <c r="AG54" s="40">
        <v>0</v>
      </c>
      <c r="AH54" s="40">
        <v>0</v>
      </c>
      <c r="AI54" s="40">
        <v>0</v>
      </c>
      <c r="AJ54" s="40">
        <v>0</v>
      </c>
      <c r="AK54" s="40">
        <v>0</v>
      </c>
      <c r="AL54" s="40">
        <v>0</v>
      </c>
      <c r="AM54" s="40">
        <v>0</v>
      </c>
      <c r="AN54" s="40">
        <v>0</v>
      </c>
      <c r="AO54" s="40">
        <v>0</v>
      </c>
      <c r="AP54" s="40">
        <v>0</v>
      </c>
      <c r="AQ54" s="40">
        <v>0</v>
      </c>
      <c r="AR54" s="40">
        <v>0</v>
      </c>
      <c r="AS54" s="40">
        <v>0</v>
      </c>
      <c r="AT54" s="40">
        <v>0</v>
      </c>
      <c r="AU54" s="40">
        <v>0</v>
      </c>
      <c r="AV54" s="40">
        <v>0</v>
      </c>
      <c r="AW54" s="40">
        <v>0</v>
      </c>
      <c r="AX54" s="40">
        <v>0</v>
      </c>
      <c r="AY54" s="40">
        <v>0</v>
      </c>
      <c r="AZ54" s="40">
        <v>0</v>
      </c>
      <c r="BA54" s="40">
        <v>0</v>
      </c>
      <c r="BB54" s="40">
        <v>0</v>
      </c>
      <c r="BC54" s="40">
        <v>0</v>
      </c>
      <c r="BD54" s="40">
        <v>0</v>
      </c>
      <c r="BE54" s="40">
        <v>0</v>
      </c>
      <c r="BF54" s="40">
        <v>0</v>
      </c>
      <c r="BG54" s="40">
        <v>0</v>
      </c>
      <c r="BH54" s="40">
        <v>0</v>
      </c>
      <c r="BI54" s="40">
        <v>0</v>
      </c>
      <c r="BJ54" s="40">
        <v>0</v>
      </c>
      <c r="BK54" s="40">
        <v>0</v>
      </c>
      <c r="BL54" s="40">
        <v>0</v>
      </c>
      <c r="BM54" s="40">
        <v>418</v>
      </c>
      <c r="BN54" s="40">
        <v>0</v>
      </c>
      <c r="BO54" s="40">
        <v>0</v>
      </c>
      <c r="BP54" s="40">
        <v>0</v>
      </c>
      <c r="BQ54" s="40">
        <v>0</v>
      </c>
      <c r="BR54" s="40">
        <v>0</v>
      </c>
      <c r="BS54" s="40">
        <v>0</v>
      </c>
      <c r="BT54" s="40">
        <v>6349584</v>
      </c>
      <c r="BU54" s="40">
        <v>0</v>
      </c>
      <c r="BV54" s="40">
        <v>0</v>
      </c>
      <c r="BW54" s="40">
        <v>0</v>
      </c>
      <c r="BX54" s="40">
        <v>0</v>
      </c>
      <c r="BY54" s="40">
        <v>0</v>
      </c>
      <c r="BZ54" s="40">
        <v>0</v>
      </c>
      <c r="CA54" s="40">
        <v>0</v>
      </c>
      <c r="CB54" s="40">
        <v>0</v>
      </c>
      <c r="CC54" s="40">
        <v>0</v>
      </c>
      <c r="CD54" s="40">
        <v>0</v>
      </c>
      <c r="CE54" s="40">
        <v>6349584</v>
      </c>
      <c r="CF54" s="41"/>
      <c r="CG54" s="41"/>
      <c r="CH54" s="42"/>
    </row>
    <row r="55" spans="1:86">
      <c r="A55" s="38">
        <v>49</v>
      </c>
      <c r="B55" s="65" t="s">
        <v>37</v>
      </c>
      <c r="C55" s="39" t="s">
        <v>36</v>
      </c>
      <c r="D55" s="40">
        <v>3912</v>
      </c>
      <c r="E55" s="40">
        <v>0</v>
      </c>
      <c r="F55" s="40">
        <v>0</v>
      </c>
      <c r="G55" s="40">
        <v>3248</v>
      </c>
      <c r="H55" s="40">
        <v>895149</v>
      </c>
      <c r="I55" s="40">
        <v>33592</v>
      </c>
      <c r="J55" s="40">
        <v>1246</v>
      </c>
      <c r="K55" s="40">
        <v>31412</v>
      </c>
      <c r="L55" s="40">
        <v>7038</v>
      </c>
      <c r="M55" s="40">
        <v>54797</v>
      </c>
      <c r="N55" s="40">
        <v>1358</v>
      </c>
      <c r="O55" s="40">
        <v>0</v>
      </c>
      <c r="P55" s="40">
        <v>0</v>
      </c>
      <c r="Q55" s="40">
        <v>189</v>
      </c>
      <c r="R55" s="40">
        <v>156</v>
      </c>
      <c r="S55" s="40">
        <v>0</v>
      </c>
      <c r="T55" s="40">
        <v>0</v>
      </c>
      <c r="U55" s="40">
        <v>0</v>
      </c>
      <c r="V55" s="40">
        <v>0</v>
      </c>
      <c r="W55" s="40">
        <v>0</v>
      </c>
      <c r="X55" s="40">
        <v>2379</v>
      </c>
      <c r="Y55" s="40">
        <v>0</v>
      </c>
      <c r="Z55" s="40">
        <v>0</v>
      </c>
      <c r="AA55" s="40">
        <v>34</v>
      </c>
      <c r="AB55" s="40">
        <v>0</v>
      </c>
      <c r="AC55" s="40">
        <v>0</v>
      </c>
      <c r="AD55" s="40">
        <v>0</v>
      </c>
      <c r="AE55" s="40">
        <v>0</v>
      </c>
      <c r="AF55" s="40">
        <v>0</v>
      </c>
      <c r="AG55" s="40">
        <v>0</v>
      </c>
      <c r="AH55" s="40">
        <v>0</v>
      </c>
      <c r="AI55" s="40">
        <v>105</v>
      </c>
      <c r="AJ55" s="40">
        <v>0</v>
      </c>
      <c r="AK55" s="40">
        <v>0</v>
      </c>
      <c r="AL55" s="40">
        <v>0</v>
      </c>
      <c r="AM55" s="40">
        <v>0</v>
      </c>
      <c r="AN55" s="40">
        <v>214</v>
      </c>
      <c r="AO55" s="40">
        <v>1151</v>
      </c>
      <c r="AP55" s="40">
        <v>6512</v>
      </c>
      <c r="AQ55" s="40">
        <v>0</v>
      </c>
      <c r="AR55" s="40">
        <v>0</v>
      </c>
      <c r="AS55" s="40">
        <v>0</v>
      </c>
      <c r="AT55" s="40">
        <v>222735</v>
      </c>
      <c r="AU55" s="40">
        <v>1790664</v>
      </c>
      <c r="AV55" s="40">
        <v>6853906</v>
      </c>
      <c r="AW55" s="40">
        <v>4268400</v>
      </c>
      <c r="AX55" s="40">
        <v>0</v>
      </c>
      <c r="AY55" s="40">
        <v>0</v>
      </c>
      <c r="AZ55" s="40">
        <v>671553</v>
      </c>
      <c r="BA55" s="40">
        <v>5737269</v>
      </c>
      <c r="BB55" s="40">
        <v>8424181</v>
      </c>
      <c r="BC55" s="40">
        <v>0</v>
      </c>
      <c r="BD55" s="40">
        <v>0</v>
      </c>
      <c r="BE55" s="40">
        <v>3996</v>
      </c>
      <c r="BF55" s="40">
        <v>366292</v>
      </c>
      <c r="BG55" s="40">
        <v>1539600</v>
      </c>
      <c r="BH55" s="40">
        <v>0</v>
      </c>
      <c r="BI55" s="40">
        <v>0</v>
      </c>
      <c r="BJ55" s="40">
        <v>3597</v>
      </c>
      <c r="BK55" s="40">
        <v>9511344</v>
      </c>
      <c r="BL55" s="40">
        <v>330869</v>
      </c>
      <c r="BM55" s="40">
        <v>22637503</v>
      </c>
      <c r="BN55" s="40">
        <v>3331420</v>
      </c>
      <c r="BO55" s="40">
        <v>357309</v>
      </c>
      <c r="BP55" s="40">
        <v>0</v>
      </c>
      <c r="BQ55" s="40">
        <v>1465337</v>
      </c>
      <c r="BR55" s="40">
        <v>186372</v>
      </c>
      <c r="BS55" s="40">
        <v>0</v>
      </c>
      <c r="BT55" s="40">
        <v>68744839</v>
      </c>
      <c r="BU55" s="40">
        <v>0</v>
      </c>
      <c r="BV55" s="40">
        <v>0</v>
      </c>
      <c r="BW55" s="40">
        <v>0</v>
      </c>
      <c r="BX55" s="40">
        <v>0</v>
      </c>
      <c r="BY55" s="40">
        <v>0</v>
      </c>
      <c r="BZ55" s="40">
        <v>0</v>
      </c>
      <c r="CA55" s="40">
        <v>0</v>
      </c>
      <c r="CB55" s="40">
        <v>0</v>
      </c>
      <c r="CC55" s="40">
        <v>0</v>
      </c>
      <c r="CD55" s="40">
        <v>0</v>
      </c>
      <c r="CE55" s="40">
        <v>68744839</v>
      </c>
      <c r="CF55" s="41"/>
      <c r="CG55" s="41"/>
      <c r="CH55" s="42"/>
    </row>
    <row r="56" spans="1:86" ht="22.5">
      <c r="A56" s="38">
        <v>50</v>
      </c>
      <c r="B56" s="65" t="s">
        <v>35</v>
      </c>
      <c r="C56" s="39" t="s">
        <v>34</v>
      </c>
      <c r="D56" s="40">
        <v>15170265</v>
      </c>
      <c r="E56" s="40">
        <v>0</v>
      </c>
      <c r="F56" s="40">
        <v>0</v>
      </c>
      <c r="G56" s="40">
        <v>0</v>
      </c>
      <c r="H56" s="40">
        <v>47394577</v>
      </c>
      <c r="I56" s="40">
        <v>8972</v>
      </c>
      <c r="J56" s="40">
        <v>491416</v>
      </c>
      <c r="K56" s="40">
        <v>955944</v>
      </c>
      <c r="L56" s="40">
        <v>253506</v>
      </c>
      <c r="M56" s="40">
        <v>380143</v>
      </c>
      <c r="N56" s="40">
        <v>106825</v>
      </c>
      <c r="O56" s="40">
        <v>0</v>
      </c>
      <c r="P56" s="40">
        <v>0</v>
      </c>
      <c r="Q56" s="40">
        <v>4936</v>
      </c>
      <c r="R56" s="40">
        <v>5306</v>
      </c>
      <c r="S56" s="40">
        <v>0</v>
      </c>
      <c r="T56" s="40">
        <v>604</v>
      </c>
      <c r="U56" s="40">
        <v>0</v>
      </c>
      <c r="V56" s="40">
        <v>0</v>
      </c>
      <c r="W56" s="40">
        <v>227493</v>
      </c>
      <c r="X56" s="40">
        <v>2341</v>
      </c>
      <c r="Y56" s="40">
        <v>0</v>
      </c>
      <c r="Z56" s="40">
        <v>1768</v>
      </c>
      <c r="AA56" s="40">
        <v>159516</v>
      </c>
      <c r="AB56" s="40">
        <v>286787</v>
      </c>
      <c r="AC56" s="40">
        <v>14895</v>
      </c>
      <c r="AD56" s="40">
        <v>0</v>
      </c>
      <c r="AE56" s="40">
        <v>0</v>
      </c>
      <c r="AF56" s="40">
        <v>0</v>
      </c>
      <c r="AG56" s="40">
        <v>92</v>
      </c>
      <c r="AH56" s="40">
        <v>0</v>
      </c>
      <c r="AI56" s="40">
        <v>10201</v>
      </c>
      <c r="AJ56" s="40">
        <v>0</v>
      </c>
      <c r="AK56" s="40">
        <v>0</v>
      </c>
      <c r="AL56" s="40">
        <v>4171</v>
      </c>
      <c r="AM56" s="40">
        <v>0</v>
      </c>
      <c r="AN56" s="40">
        <v>2009</v>
      </c>
      <c r="AO56" s="40">
        <v>0</v>
      </c>
      <c r="AP56" s="40">
        <v>21432</v>
      </c>
      <c r="AQ56" s="40">
        <v>0</v>
      </c>
      <c r="AR56" s="40">
        <v>89314</v>
      </c>
      <c r="AS56" s="40">
        <v>74288</v>
      </c>
      <c r="AT56" s="40">
        <v>271499</v>
      </c>
      <c r="AU56" s="40">
        <v>5515870</v>
      </c>
      <c r="AV56" s="40">
        <v>44293254</v>
      </c>
      <c r="AW56" s="40">
        <v>13223382</v>
      </c>
      <c r="AX56" s="40">
        <v>13289393</v>
      </c>
      <c r="AY56" s="40">
        <v>105431</v>
      </c>
      <c r="AZ56" s="40">
        <v>16127390</v>
      </c>
      <c r="BA56" s="40">
        <v>2399863</v>
      </c>
      <c r="BB56" s="40">
        <v>0</v>
      </c>
      <c r="BC56" s="40">
        <v>31</v>
      </c>
      <c r="BD56" s="40">
        <v>0</v>
      </c>
      <c r="BE56" s="40">
        <v>12298</v>
      </c>
      <c r="BF56" s="40">
        <v>52803</v>
      </c>
      <c r="BG56" s="40">
        <v>73554</v>
      </c>
      <c r="BH56" s="40">
        <v>162400</v>
      </c>
      <c r="BI56" s="40">
        <v>52309</v>
      </c>
      <c r="BJ56" s="40">
        <v>4989</v>
      </c>
      <c r="BK56" s="40">
        <v>8248538</v>
      </c>
      <c r="BL56" s="40">
        <v>75886</v>
      </c>
      <c r="BM56" s="40">
        <v>5780127</v>
      </c>
      <c r="BN56" s="40">
        <v>210482</v>
      </c>
      <c r="BO56" s="40">
        <v>68332</v>
      </c>
      <c r="BP56" s="40">
        <v>56617</v>
      </c>
      <c r="BQ56" s="40">
        <v>12929</v>
      </c>
      <c r="BR56" s="40">
        <v>0</v>
      </c>
      <c r="BS56" s="40">
        <v>0</v>
      </c>
      <c r="BT56" s="40">
        <v>175704178</v>
      </c>
      <c r="BU56" s="40">
        <v>0</v>
      </c>
      <c r="BV56" s="40">
        <v>0</v>
      </c>
      <c r="BW56" s="40">
        <v>0</v>
      </c>
      <c r="BX56" s="40">
        <v>0</v>
      </c>
      <c r="BY56" s="40">
        <v>0</v>
      </c>
      <c r="BZ56" s="40">
        <v>0</v>
      </c>
      <c r="CA56" s="40">
        <v>0</v>
      </c>
      <c r="CB56" s="40">
        <v>0</v>
      </c>
      <c r="CC56" s="40">
        <v>0</v>
      </c>
      <c r="CD56" s="40">
        <v>0</v>
      </c>
      <c r="CE56" s="40">
        <v>175704178</v>
      </c>
      <c r="CF56" s="41"/>
      <c r="CG56" s="41"/>
      <c r="CH56" s="42"/>
    </row>
    <row r="57" spans="1:86">
      <c r="A57" s="38">
        <v>51</v>
      </c>
      <c r="B57" s="65" t="s">
        <v>33</v>
      </c>
      <c r="C57" s="39" t="s">
        <v>32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1</v>
      </c>
      <c r="O57" s="40">
        <v>0</v>
      </c>
      <c r="P57" s="40">
        <v>0</v>
      </c>
      <c r="Q57" s="40">
        <v>0</v>
      </c>
      <c r="R57" s="40">
        <v>0</v>
      </c>
      <c r="S57" s="40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  <c r="AC57" s="40">
        <v>0</v>
      </c>
      <c r="AD57" s="40">
        <v>0</v>
      </c>
      <c r="AE57" s="40">
        <v>0</v>
      </c>
      <c r="AF57" s="40">
        <v>0</v>
      </c>
      <c r="AG57" s="40">
        <v>0</v>
      </c>
      <c r="AH57" s="40">
        <v>0</v>
      </c>
      <c r="AI57" s="40">
        <v>0</v>
      </c>
      <c r="AJ57" s="40">
        <v>0</v>
      </c>
      <c r="AK57" s="40">
        <v>0</v>
      </c>
      <c r="AL57" s="40">
        <v>0</v>
      </c>
      <c r="AM57" s="40">
        <v>0</v>
      </c>
      <c r="AN57" s="40">
        <v>0</v>
      </c>
      <c r="AO57" s="40">
        <v>0</v>
      </c>
      <c r="AP57" s="40">
        <v>0</v>
      </c>
      <c r="AQ57" s="40">
        <v>0</v>
      </c>
      <c r="AR57" s="40">
        <v>0</v>
      </c>
      <c r="AS57" s="40">
        <v>0</v>
      </c>
      <c r="AT57" s="40">
        <v>0</v>
      </c>
      <c r="AU57" s="40">
        <v>0</v>
      </c>
      <c r="AV57" s="40">
        <v>0</v>
      </c>
      <c r="AW57" s="40">
        <v>1538536</v>
      </c>
      <c r="AX57" s="40">
        <v>1190</v>
      </c>
      <c r="AY57" s="40">
        <v>0</v>
      </c>
      <c r="AZ57" s="40">
        <v>280</v>
      </c>
      <c r="BA57" s="40">
        <v>0</v>
      </c>
      <c r="BB57" s="40">
        <v>107156</v>
      </c>
      <c r="BC57" s="40">
        <v>0</v>
      </c>
      <c r="BD57" s="40">
        <v>3</v>
      </c>
      <c r="BE57" s="40">
        <v>5</v>
      </c>
      <c r="BF57" s="40">
        <v>0</v>
      </c>
      <c r="BG57" s="40">
        <v>13739</v>
      </c>
      <c r="BH57" s="40">
        <v>0</v>
      </c>
      <c r="BI57" s="40">
        <v>0</v>
      </c>
      <c r="BJ57" s="40">
        <v>0</v>
      </c>
      <c r="BK57" s="40">
        <v>0</v>
      </c>
      <c r="BL57" s="40">
        <v>0</v>
      </c>
      <c r="BM57" s="40">
        <v>0</v>
      </c>
      <c r="BN57" s="40">
        <v>0</v>
      </c>
      <c r="BO57" s="40">
        <v>0</v>
      </c>
      <c r="BP57" s="40">
        <v>0</v>
      </c>
      <c r="BQ57" s="40">
        <v>2</v>
      </c>
      <c r="BR57" s="40">
        <v>0</v>
      </c>
      <c r="BS57" s="40">
        <v>0</v>
      </c>
      <c r="BT57" s="40">
        <v>1660912</v>
      </c>
      <c r="BU57" s="40">
        <v>0</v>
      </c>
      <c r="BV57" s="40">
        <v>0</v>
      </c>
      <c r="BW57" s="40">
        <v>0</v>
      </c>
      <c r="BX57" s="40">
        <v>0</v>
      </c>
      <c r="BY57" s="40">
        <v>0</v>
      </c>
      <c r="BZ57" s="40">
        <v>0</v>
      </c>
      <c r="CA57" s="40">
        <v>0</v>
      </c>
      <c r="CB57" s="40">
        <v>0</v>
      </c>
      <c r="CC57" s="40">
        <v>0</v>
      </c>
      <c r="CD57" s="40">
        <v>0</v>
      </c>
      <c r="CE57" s="40">
        <v>1660912</v>
      </c>
      <c r="CF57" s="41"/>
      <c r="CG57" s="41"/>
      <c r="CH57" s="42"/>
    </row>
    <row r="58" spans="1:86">
      <c r="A58" s="38">
        <v>52</v>
      </c>
      <c r="B58" s="65" t="s">
        <v>31</v>
      </c>
      <c r="C58" s="39" t="s">
        <v>30</v>
      </c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T58" s="40">
        <v>0</v>
      </c>
      <c r="U58" s="40">
        <v>0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  <c r="AB58" s="40">
        <v>0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0</v>
      </c>
      <c r="AI58" s="40">
        <v>0</v>
      </c>
      <c r="AJ58" s="40">
        <v>0</v>
      </c>
      <c r="AK58" s="40">
        <v>0</v>
      </c>
      <c r="AL58" s="40">
        <v>0</v>
      </c>
      <c r="AM58" s="40">
        <v>0</v>
      </c>
      <c r="AN58" s="40">
        <v>0</v>
      </c>
      <c r="AO58" s="40">
        <v>0</v>
      </c>
      <c r="AP58" s="40">
        <v>0</v>
      </c>
      <c r="AQ58" s="40">
        <v>0</v>
      </c>
      <c r="AR58" s="40">
        <v>0</v>
      </c>
      <c r="AS58" s="40">
        <v>0</v>
      </c>
      <c r="AT58" s="40">
        <v>0</v>
      </c>
      <c r="AU58" s="40">
        <v>0</v>
      </c>
      <c r="AV58" s="40">
        <v>0</v>
      </c>
      <c r="AW58" s="40">
        <v>0</v>
      </c>
      <c r="AX58" s="40">
        <v>0</v>
      </c>
      <c r="AY58" s="40">
        <v>0</v>
      </c>
      <c r="AZ58" s="40">
        <v>0</v>
      </c>
      <c r="BA58" s="40">
        <v>0</v>
      </c>
      <c r="BB58" s="40">
        <v>0</v>
      </c>
      <c r="BC58" s="40">
        <v>0</v>
      </c>
      <c r="BD58" s="40">
        <v>0</v>
      </c>
      <c r="BE58" s="40">
        <v>0</v>
      </c>
      <c r="BF58" s="40">
        <v>0</v>
      </c>
      <c r="BG58" s="40">
        <v>0</v>
      </c>
      <c r="BH58" s="40">
        <v>0</v>
      </c>
      <c r="BI58" s="40">
        <v>0</v>
      </c>
      <c r="BJ58" s="40">
        <v>0</v>
      </c>
      <c r="BK58" s="40">
        <v>0</v>
      </c>
      <c r="BL58" s="40">
        <v>0</v>
      </c>
      <c r="BM58" s="40">
        <v>0</v>
      </c>
      <c r="BN58" s="40">
        <v>0</v>
      </c>
      <c r="BO58" s="40">
        <v>0</v>
      </c>
      <c r="BP58" s="40">
        <v>0</v>
      </c>
      <c r="BQ58" s="40">
        <v>0</v>
      </c>
      <c r="BR58" s="40">
        <v>0</v>
      </c>
      <c r="BS58" s="40">
        <v>0</v>
      </c>
      <c r="BT58" s="40">
        <v>0</v>
      </c>
      <c r="BU58" s="40">
        <v>303638041</v>
      </c>
      <c r="BV58" s="40">
        <v>0</v>
      </c>
      <c r="BW58" s="40">
        <v>0</v>
      </c>
      <c r="BX58" s="40">
        <v>303638041</v>
      </c>
      <c r="BY58" s="40">
        <v>0</v>
      </c>
      <c r="BZ58" s="40">
        <v>0</v>
      </c>
      <c r="CA58" s="40">
        <v>0</v>
      </c>
      <c r="CB58" s="40">
        <v>0</v>
      </c>
      <c r="CC58" s="40">
        <v>0</v>
      </c>
      <c r="CD58" s="40">
        <v>303638041</v>
      </c>
      <c r="CE58" s="40">
        <v>303638041</v>
      </c>
      <c r="CF58" s="41"/>
      <c r="CG58" s="41"/>
      <c r="CH58" s="42"/>
    </row>
    <row r="59" spans="1:86" ht="22.5">
      <c r="A59" s="38">
        <v>53</v>
      </c>
      <c r="B59" s="65" t="s">
        <v>29</v>
      </c>
      <c r="C59" s="39" t="s">
        <v>28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40">
        <v>0</v>
      </c>
      <c r="AD59" s="40">
        <v>0</v>
      </c>
      <c r="AE59" s="40">
        <v>0</v>
      </c>
      <c r="AF59" s="40">
        <v>0</v>
      </c>
      <c r="AG59" s="40">
        <v>0</v>
      </c>
      <c r="AH59" s="40">
        <v>0</v>
      </c>
      <c r="AI59" s="40">
        <v>0</v>
      </c>
      <c r="AJ59" s="40">
        <v>0</v>
      </c>
      <c r="AK59" s="40">
        <v>0</v>
      </c>
      <c r="AL59" s="40">
        <v>0</v>
      </c>
      <c r="AM59" s="40">
        <v>0</v>
      </c>
      <c r="AN59" s="40">
        <v>0</v>
      </c>
      <c r="AO59" s="40">
        <v>0</v>
      </c>
      <c r="AP59" s="40">
        <v>0</v>
      </c>
      <c r="AQ59" s="40">
        <v>0</v>
      </c>
      <c r="AR59" s="40">
        <v>0</v>
      </c>
      <c r="AS59" s="40">
        <v>0</v>
      </c>
      <c r="AT59" s="40">
        <v>0</v>
      </c>
      <c r="AU59" s="40">
        <v>0</v>
      </c>
      <c r="AV59" s="40">
        <v>0</v>
      </c>
      <c r="AW59" s="40">
        <v>0</v>
      </c>
      <c r="AX59" s="40">
        <v>0</v>
      </c>
      <c r="AY59" s="40">
        <v>0</v>
      </c>
      <c r="AZ59" s="40">
        <v>0</v>
      </c>
      <c r="BA59" s="40">
        <v>0</v>
      </c>
      <c r="BB59" s="40">
        <v>0</v>
      </c>
      <c r="BC59" s="40">
        <v>0</v>
      </c>
      <c r="BD59" s="40">
        <v>0</v>
      </c>
      <c r="BE59" s="40">
        <v>0</v>
      </c>
      <c r="BF59" s="40">
        <v>0</v>
      </c>
      <c r="BG59" s="40">
        <v>0</v>
      </c>
      <c r="BH59" s="40">
        <v>0</v>
      </c>
      <c r="BI59" s="40">
        <v>0</v>
      </c>
      <c r="BJ59" s="40">
        <v>0</v>
      </c>
      <c r="BK59" s="40">
        <v>0</v>
      </c>
      <c r="BL59" s="40">
        <v>0</v>
      </c>
      <c r="BM59" s="40">
        <v>0</v>
      </c>
      <c r="BN59" s="40">
        <v>0</v>
      </c>
      <c r="BO59" s="40">
        <v>0</v>
      </c>
      <c r="BP59" s="40">
        <v>0</v>
      </c>
      <c r="BQ59" s="40">
        <v>0</v>
      </c>
      <c r="BR59" s="40">
        <v>0</v>
      </c>
      <c r="BS59" s="40">
        <v>0</v>
      </c>
      <c r="BT59" s="40">
        <v>0</v>
      </c>
      <c r="BU59" s="40">
        <v>227054357</v>
      </c>
      <c r="BV59" s="40">
        <v>0</v>
      </c>
      <c r="BW59" s="40">
        <v>0</v>
      </c>
      <c r="BX59" s="40">
        <v>227054357</v>
      </c>
      <c r="BY59" s="40">
        <v>0</v>
      </c>
      <c r="BZ59" s="40">
        <v>0</v>
      </c>
      <c r="CA59" s="40">
        <v>0</v>
      </c>
      <c r="CB59" s="40">
        <v>0</v>
      </c>
      <c r="CC59" s="40">
        <v>0</v>
      </c>
      <c r="CD59" s="40">
        <v>227054357</v>
      </c>
      <c r="CE59" s="40">
        <v>227054357</v>
      </c>
      <c r="CF59" s="41"/>
      <c r="CG59" s="41"/>
      <c r="CH59" s="42"/>
    </row>
    <row r="60" spans="1:86" ht="24" customHeight="1">
      <c r="A60" s="38">
        <v>54</v>
      </c>
      <c r="B60" s="67" t="s">
        <v>199</v>
      </c>
      <c r="C60" s="39" t="s">
        <v>161</v>
      </c>
      <c r="D60" s="40">
        <v>93</v>
      </c>
      <c r="E60" s="40">
        <v>13</v>
      </c>
      <c r="F60" s="40">
        <v>0</v>
      </c>
      <c r="G60" s="40">
        <v>0</v>
      </c>
      <c r="H60" s="40">
        <v>248627</v>
      </c>
      <c r="I60" s="40">
        <v>2061</v>
      </c>
      <c r="J60" s="40">
        <v>0</v>
      </c>
      <c r="K60" s="40">
        <v>5391</v>
      </c>
      <c r="L60" s="40">
        <v>0</v>
      </c>
      <c r="M60" s="40">
        <v>6</v>
      </c>
      <c r="N60" s="40">
        <v>742</v>
      </c>
      <c r="O60" s="40">
        <v>0</v>
      </c>
      <c r="P60" s="40">
        <v>0</v>
      </c>
      <c r="Q60" s="40">
        <v>18</v>
      </c>
      <c r="R60" s="40">
        <v>1</v>
      </c>
      <c r="S60" s="40">
        <v>0</v>
      </c>
      <c r="T60" s="40">
        <v>0</v>
      </c>
      <c r="U60" s="40">
        <v>0</v>
      </c>
      <c r="V60" s="40">
        <v>0</v>
      </c>
      <c r="W60" s="40">
        <v>1490501</v>
      </c>
      <c r="X60" s="40">
        <v>7483</v>
      </c>
      <c r="Y60" s="40">
        <v>112178</v>
      </c>
      <c r="Z60" s="40">
        <v>0</v>
      </c>
      <c r="AA60" s="40">
        <v>60</v>
      </c>
      <c r="AB60" s="40">
        <v>8483</v>
      </c>
      <c r="AC60" s="40">
        <v>0</v>
      </c>
      <c r="AD60" s="40">
        <v>0</v>
      </c>
      <c r="AE60" s="40">
        <v>49</v>
      </c>
      <c r="AF60" s="40">
        <v>24</v>
      </c>
      <c r="AG60" s="40">
        <v>0</v>
      </c>
      <c r="AH60" s="40">
        <v>0</v>
      </c>
      <c r="AI60" s="40">
        <v>11</v>
      </c>
      <c r="AJ60" s="40">
        <v>0</v>
      </c>
      <c r="AK60" s="40">
        <v>73</v>
      </c>
      <c r="AL60" s="40">
        <v>0</v>
      </c>
      <c r="AM60" s="40">
        <v>0</v>
      </c>
      <c r="AN60" s="40">
        <v>465</v>
      </c>
      <c r="AO60" s="40">
        <v>355</v>
      </c>
      <c r="AP60" s="40">
        <v>76</v>
      </c>
      <c r="AQ60" s="40">
        <v>0</v>
      </c>
      <c r="AR60" s="40">
        <v>0</v>
      </c>
      <c r="AS60" s="40">
        <v>0</v>
      </c>
      <c r="AT60" s="40">
        <v>1158</v>
      </c>
      <c r="AU60" s="40">
        <v>288</v>
      </c>
      <c r="AV60" s="40">
        <v>2096202</v>
      </c>
      <c r="AW60" s="40">
        <v>1336857</v>
      </c>
      <c r="AX60" s="40">
        <v>118784</v>
      </c>
      <c r="AY60" s="40">
        <v>107</v>
      </c>
      <c r="AZ60" s="40">
        <v>59642</v>
      </c>
      <c r="BA60" s="40">
        <v>37507</v>
      </c>
      <c r="BB60" s="40">
        <v>7608</v>
      </c>
      <c r="BC60" s="40">
        <v>1534</v>
      </c>
      <c r="BD60" s="40">
        <v>5334</v>
      </c>
      <c r="BE60" s="40">
        <v>10574545</v>
      </c>
      <c r="BF60" s="40">
        <v>4695407</v>
      </c>
      <c r="BG60" s="40">
        <v>6036457</v>
      </c>
      <c r="BH60" s="40">
        <v>6470275</v>
      </c>
      <c r="BI60" s="40">
        <v>2019294</v>
      </c>
      <c r="BJ60" s="40">
        <v>922122</v>
      </c>
      <c r="BK60" s="40">
        <v>3760050</v>
      </c>
      <c r="BL60" s="40">
        <v>0</v>
      </c>
      <c r="BM60" s="40">
        <v>27039172</v>
      </c>
      <c r="BN60" s="40">
        <v>18648968</v>
      </c>
      <c r="BO60" s="40">
        <v>212264</v>
      </c>
      <c r="BP60" s="40">
        <v>997</v>
      </c>
      <c r="BQ60" s="40">
        <v>820035</v>
      </c>
      <c r="BR60" s="40">
        <v>3927145</v>
      </c>
      <c r="BS60" s="40">
        <v>0</v>
      </c>
      <c r="BT60" s="40">
        <v>90668462</v>
      </c>
      <c r="BU60" s="40">
        <v>28716897</v>
      </c>
      <c r="BV60" s="40">
        <v>0</v>
      </c>
      <c r="BW60" s="40">
        <v>0</v>
      </c>
      <c r="BX60" s="40">
        <v>28716897</v>
      </c>
      <c r="BY60" s="40">
        <v>157481131</v>
      </c>
      <c r="BZ60" s="40">
        <v>446185</v>
      </c>
      <c r="CA60" s="40">
        <v>0</v>
      </c>
      <c r="CB60" s="40">
        <v>157927316</v>
      </c>
      <c r="CC60" s="40">
        <v>0</v>
      </c>
      <c r="CD60" s="40">
        <v>186644213</v>
      </c>
      <c r="CE60" s="40">
        <v>277312675</v>
      </c>
      <c r="CF60" s="41"/>
      <c r="CG60" s="41"/>
      <c r="CH60" s="42"/>
    </row>
    <row r="61" spans="1:86">
      <c r="A61" s="38">
        <v>55</v>
      </c>
      <c r="B61" s="65" t="s">
        <v>27</v>
      </c>
      <c r="C61" s="39" t="s">
        <v>26</v>
      </c>
      <c r="D61" s="40">
        <v>0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0</v>
      </c>
      <c r="T61" s="40">
        <v>0</v>
      </c>
      <c r="U61" s="40">
        <v>0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0</v>
      </c>
      <c r="AC61" s="40">
        <v>0</v>
      </c>
      <c r="AD61" s="40">
        <v>0</v>
      </c>
      <c r="AE61" s="40">
        <v>0</v>
      </c>
      <c r="AF61" s="40">
        <v>0</v>
      </c>
      <c r="AG61" s="40">
        <v>0</v>
      </c>
      <c r="AH61" s="40">
        <v>0</v>
      </c>
      <c r="AI61" s="40">
        <v>0</v>
      </c>
      <c r="AJ61" s="40">
        <v>0</v>
      </c>
      <c r="AK61" s="40">
        <v>0</v>
      </c>
      <c r="AL61" s="40">
        <v>0</v>
      </c>
      <c r="AM61" s="40">
        <v>0</v>
      </c>
      <c r="AN61" s="40">
        <v>0</v>
      </c>
      <c r="AO61" s="40">
        <v>0</v>
      </c>
      <c r="AP61" s="40">
        <v>113</v>
      </c>
      <c r="AQ61" s="40">
        <v>0</v>
      </c>
      <c r="AR61" s="40">
        <v>0</v>
      </c>
      <c r="AS61" s="40">
        <v>0</v>
      </c>
      <c r="AT61" s="40">
        <v>24</v>
      </c>
      <c r="AU61" s="40">
        <v>31070</v>
      </c>
      <c r="AV61" s="40">
        <v>575631</v>
      </c>
      <c r="AW61" s="40">
        <v>774998</v>
      </c>
      <c r="AX61" s="40">
        <v>587400</v>
      </c>
      <c r="AY61" s="40">
        <v>66389</v>
      </c>
      <c r="AZ61" s="40">
        <v>12272</v>
      </c>
      <c r="BA61" s="40">
        <v>108406</v>
      </c>
      <c r="BB61" s="40">
        <v>0</v>
      </c>
      <c r="BC61" s="40">
        <v>0</v>
      </c>
      <c r="BD61" s="40">
        <v>0</v>
      </c>
      <c r="BE61" s="40">
        <v>651691</v>
      </c>
      <c r="BF61" s="40">
        <v>44410459</v>
      </c>
      <c r="BG61" s="40">
        <v>5728741</v>
      </c>
      <c r="BH61" s="40">
        <v>5009817</v>
      </c>
      <c r="BI61" s="40">
        <v>2949155</v>
      </c>
      <c r="BJ61" s="40">
        <v>193</v>
      </c>
      <c r="BK61" s="40">
        <v>0</v>
      </c>
      <c r="BL61" s="40">
        <v>821</v>
      </c>
      <c r="BM61" s="40">
        <v>38593982</v>
      </c>
      <c r="BN61" s="40">
        <v>0</v>
      </c>
      <c r="BO61" s="40">
        <v>0</v>
      </c>
      <c r="BP61" s="40">
        <v>0</v>
      </c>
      <c r="BQ61" s="40">
        <v>0</v>
      </c>
      <c r="BR61" s="40">
        <v>0</v>
      </c>
      <c r="BS61" s="40">
        <v>0</v>
      </c>
      <c r="BT61" s="40">
        <v>99501162</v>
      </c>
      <c r="BU61" s="40">
        <v>37712069</v>
      </c>
      <c r="BV61" s="40">
        <v>0</v>
      </c>
      <c r="BW61" s="40">
        <v>0</v>
      </c>
      <c r="BX61" s="40">
        <v>37712069</v>
      </c>
      <c r="BY61" s="40">
        <v>0</v>
      </c>
      <c r="BZ61" s="40">
        <v>0</v>
      </c>
      <c r="CA61" s="40">
        <v>0</v>
      </c>
      <c r="CB61" s="40">
        <v>0</v>
      </c>
      <c r="CC61" s="40">
        <v>0</v>
      </c>
      <c r="CD61" s="40">
        <v>37712069</v>
      </c>
      <c r="CE61" s="40">
        <v>137213231</v>
      </c>
      <c r="CF61" s="41"/>
      <c r="CG61" s="41"/>
      <c r="CH61" s="42"/>
    </row>
    <row r="62" spans="1:86" ht="22.5">
      <c r="A62" s="38">
        <v>56</v>
      </c>
      <c r="B62" s="65" t="s">
        <v>25</v>
      </c>
      <c r="C62" s="39" t="s">
        <v>24</v>
      </c>
      <c r="D62" s="40">
        <v>0</v>
      </c>
      <c r="E62" s="40">
        <v>0</v>
      </c>
      <c r="F62" s="40">
        <v>0</v>
      </c>
      <c r="G62" s="40">
        <v>202038</v>
      </c>
      <c r="H62" s="40">
        <v>2148043</v>
      </c>
      <c r="I62" s="40">
        <v>100288</v>
      </c>
      <c r="J62" s="40">
        <v>219407</v>
      </c>
      <c r="K62" s="40">
        <v>799188</v>
      </c>
      <c r="L62" s="40">
        <v>48113</v>
      </c>
      <c r="M62" s="40">
        <v>104889</v>
      </c>
      <c r="N62" s="40">
        <v>3497796</v>
      </c>
      <c r="O62" s="40">
        <v>6618</v>
      </c>
      <c r="P62" s="40">
        <v>105677</v>
      </c>
      <c r="Q62" s="40">
        <v>71090</v>
      </c>
      <c r="R62" s="40">
        <v>6778</v>
      </c>
      <c r="S62" s="40">
        <v>39570</v>
      </c>
      <c r="T62" s="40">
        <v>121266</v>
      </c>
      <c r="U62" s="40">
        <v>22041</v>
      </c>
      <c r="V62" s="40">
        <v>215692</v>
      </c>
      <c r="W62" s="40">
        <v>1409724</v>
      </c>
      <c r="X62" s="40">
        <v>731806</v>
      </c>
      <c r="Y62" s="40">
        <v>61001</v>
      </c>
      <c r="Z62" s="40">
        <v>58255</v>
      </c>
      <c r="AA62" s="40">
        <v>1020667</v>
      </c>
      <c r="AB62" s="40">
        <v>111521</v>
      </c>
      <c r="AC62" s="40">
        <v>13964</v>
      </c>
      <c r="AD62" s="40">
        <v>14236</v>
      </c>
      <c r="AE62" s="40">
        <v>23696</v>
      </c>
      <c r="AF62" s="40">
        <v>692</v>
      </c>
      <c r="AG62" s="40">
        <v>56671</v>
      </c>
      <c r="AH62" s="40">
        <v>74472</v>
      </c>
      <c r="AI62" s="40">
        <v>7918</v>
      </c>
      <c r="AJ62" s="40">
        <v>37282</v>
      </c>
      <c r="AK62" s="40">
        <v>894978</v>
      </c>
      <c r="AL62" s="40">
        <v>396868</v>
      </c>
      <c r="AM62" s="40">
        <v>10928</v>
      </c>
      <c r="AN62" s="40">
        <v>12595</v>
      </c>
      <c r="AO62" s="40">
        <v>204376</v>
      </c>
      <c r="AP62" s="40">
        <v>5528731</v>
      </c>
      <c r="AQ62" s="40">
        <v>1053481</v>
      </c>
      <c r="AR62" s="40">
        <v>973798</v>
      </c>
      <c r="AS62" s="40">
        <v>299355</v>
      </c>
      <c r="AT62" s="40">
        <v>1507188</v>
      </c>
      <c r="AU62" s="40">
        <v>1571898</v>
      </c>
      <c r="AV62" s="40">
        <v>2329213</v>
      </c>
      <c r="AW62" s="40">
        <v>1425758</v>
      </c>
      <c r="AX62" s="40">
        <v>5088038</v>
      </c>
      <c r="AY62" s="40">
        <v>52030</v>
      </c>
      <c r="AZ62" s="40">
        <v>332009</v>
      </c>
      <c r="BA62" s="40">
        <v>873245</v>
      </c>
      <c r="BB62" s="40">
        <v>0</v>
      </c>
      <c r="BC62" s="40">
        <v>0</v>
      </c>
      <c r="BD62" s="40">
        <v>525963</v>
      </c>
      <c r="BE62" s="40">
        <v>0</v>
      </c>
      <c r="BF62" s="40">
        <v>0</v>
      </c>
      <c r="BG62" s="40">
        <v>57029318</v>
      </c>
      <c r="BH62" s="40">
        <v>33478459</v>
      </c>
      <c r="BI62" s="40">
        <v>23763699</v>
      </c>
      <c r="BJ62" s="40">
        <v>156023423</v>
      </c>
      <c r="BK62" s="40">
        <v>1050599</v>
      </c>
      <c r="BL62" s="40">
        <v>0</v>
      </c>
      <c r="BM62" s="40">
        <v>0</v>
      </c>
      <c r="BN62" s="40">
        <v>0</v>
      </c>
      <c r="BO62" s="40">
        <v>0</v>
      </c>
      <c r="BP62" s="40">
        <v>0</v>
      </c>
      <c r="BQ62" s="40">
        <v>0</v>
      </c>
      <c r="BR62" s="40">
        <v>3503</v>
      </c>
      <c r="BS62" s="40">
        <v>0</v>
      </c>
      <c r="BT62" s="40">
        <v>305759852</v>
      </c>
      <c r="BU62" s="40">
        <v>0</v>
      </c>
      <c r="BV62" s="40">
        <v>0</v>
      </c>
      <c r="BW62" s="40">
        <v>0</v>
      </c>
      <c r="BX62" s="40">
        <v>0</v>
      </c>
      <c r="BY62" s="40">
        <v>0</v>
      </c>
      <c r="BZ62" s="40">
        <v>0</v>
      </c>
      <c r="CA62" s="40">
        <v>0</v>
      </c>
      <c r="CB62" s="40">
        <v>0</v>
      </c>
      <c r="CC62" s="40">
        <v>0</v>
      </c>
      <c r="CD62" s="40">
        <v>0</v>
      </c>
      <c r="CE62" s="40">
        <v>305759852</v>
      </c>
      <c r="CF62" s="41"/>
      <c r="CG62" s="41"/>
      <c r="CH62" s="42"/>
    </row>
    <row r="63" spans="1:86" ht="45">
      <c r="A63" s="38">
        <v>57</v>
      </c>
      <c r="B63" s="65" t="s">
        <v>23</v>
      </c>
      <c r="C63" s="39" t="s">
        <v>138</v>
      </c>
      <c r="D63" s="40">
        <v>381195</v>
      </c>
      <c r="E63" s="40">
        <v>1344</v>
      </c>
      <c r="F63" s="40">
        <v>189</v>
      </c>
      <c r="G63" s="40">
        <v>7412</v>
      </c>
      <c r="H63" s="40">
        <v>834036</v>
      </c>
      <c r="I63" s="40">
        <v>31458</v>
      </c>
      <c r="J63" s="40">
        <v>33839</v>
      </c>
      <c r="K63" s="40">
        <v>18853</v>
      </c>
      <c r="L63" s="40">
        <v>2762</v>
      </c>
      <c r="M63" s="40">
        <v>730</v>
      </c>
      <c r="N63" s="40">
        <v>11220</v>
      </c>
      <c r="O63" s="40">
        <v>11</v>
      </c>
      <c r="P63" s="40">
        <v>0</v>
      </c>
      <c r="Q63" s="40">
        <v>4</v>
      </c>
      <c r="R63" s="40">
        <v>0</v>
      </c>
      <c r="S63" s="40">
        <v>0</v>
      </c>
      <c r="T63" s="40">
        <v>0</v>
      </c>
      <c r="U63" s="40">
        <v>0</v>
      </c>
      <c r="V63" s="40">
        <v>0</v>
      </c>
      <c r="W63" s="40">
        <v>67</v>
      </c>
      <c r="X63" s="40">
        <v>629</v>
      </c>
      <c r="Y63" s="40">
        <v>0</v>
      </c>
      <c r="Z63" s="40">
        <v>18</v>
      </c>
      <c r="AA63" s="40">
        <v>819</v>
      </c>
      <c r="AB63" s="40">
        <v>18265</v>
      </c>
      <c r="AC63" s="40">
        <v>0</v>
      </c>
      <c r="AD63" s="40">
        <v>21</v>
      </c>
      <c r="AE63" s="40">
        <v>78985</v>
      </c>
      <c r="AF63" s="40">
        <v>0</v>
      </c>
      <c r="AG63" s="40">
        <v>22</v>
      </c>
      <c r="AH63" s="40">
        <v>134</v>
      </c>
      <c r="AI63" s="40">
        <v>99</v>
      </c>
      <c r="AJ63" s="40">
        <v>168</v>
      </c>
      <c r="AK63" s="40">
        <v>0</v>
      </c>
      <c r="AL63" s="40">
        <v>318</v>
      </c>
      <c r="AM63" s="40">
        <v>0</v>
      </c>
      <c r="AN63" s="40">
        <v>3</v>
      </c>
      <c r="AO63" s="40">
        <v>2993</v>
      </c>
      <c r="AP63" s="40">
        <v>5754</v>
      </c>
      <c r="AQ63" s="40">
        <v>1336</v>
      </c>
      <c r="AR63" s="40">
        <v>1879</v>
      </c>
      <c r="AS63" s="40">
        <v>1891</v>
      </c>
      <c r="AT63" s="40">
        <v>4166</v>
      </c>
      <c r="AU63" s="40">
        <v>6783</v>
      </c>
      <c r="AV63" s="40">
        <v>470741</v>
      </c>
      <c r="AW63" s="40">
        <v>110635</v>
      </c>
      <c r="AX63" s="40">
        <v>344204</v>
      </c>
      <c r="AY63" s="40">
        <v>1710</v>
      </c>
      <c r="AZ63" s="40">
        <v>37325</v>
      </c>
      <c r="BA63" s="40">
        <v>28583</v>
      </c>
      <c r="BB63" s="40">
        <v>157</v>
      </c>
      <c r="BC63" s="40">
        <v>237</v>
      </c>
      <c r="BD63" s="40">
        <v>26</v>
      </c>
      <c r="BE63" s="40">
        <v>196735</v>
      </c>
      <c r="BF63" s="40">
        <v>7378</v>
      </c>
      <c r="BG63" s="40">
        <v>667175</v>
      </c>
      <c r="BH63" s="40">
        <v>200649</v>
      </c>
      <c r="BI63" s="40">
        <v>2108</v>
      </c>
      <c r="BJ63" s="40">
        <v>49137</v>
      </c>
      <c r="BK63" s="40">
        <v>26416</v>
      </c>
      <c r="BL63" s="40">
        <v>191855</v>
      </c>
      <c r="BM63" s="40">
        <v>9644</v>
      </c>
      <c r="BN63" s="40">
        <v>78</v>
      </c>
      <c r="BO63" s="40">
        <v>5</v>
      </c>
      <c r="BP63" s="40">
        <v>42</v>
      </c>
      <c r="BQ63" s="40">
        <v>226029</v>
      </c>
      <c r="BR63" s="40">
        <v>32449</v>
      </c>
      <c r="BS63" s="40">
        <v>0</v>
      </c>
      <c r="BT63" s="40">
        <v>4050721</v>
      </c>
      <c r="BU63" s="40">
        <v>0</v>
      </c>
      <c r="BV63" s="40">
        <v>0</v>
      </c>
      <c r="BW63" s="40">
        <v>0</v>
      </c>
      <c r="BX63" s="40">
        <v>0</v>
      </c>
      <c r="BY63" s="40">
        <v>0</v>
      </c>
      <c r="BZ63" s="40">
        <v>0</v>
      </c>
      <c r="CA63" s="40">
        <v>0</v>
      </c>
      <c r="CB63" s="40">
        <v>0</v>
      </c>
      <c r="CC63" s="40">
        <v>0</v>
      </c>
      <c r="CD63" s="40">
        <v>0</v>
      </c>
      <c r="CE63" s="40">
        <v>4050721</v>
      </c>
      <c r="CF63" s="41"/>
      <c r="CG63" s="41"/>
      <c r="CH63" s="42"/>
    </row>
    <row r="64" spans="1:86" ht="33.75">
      <c r="A64" s="38">
        <v>58</v>
      </c>
      <c r="B64" s="65" t="s">
        <v>22</v>
      </c>
      <c r="C64" s="39" t="s">
        <v>139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T64" s="40">
        <v>0</v>
      </c>
      <c r="U64" s="40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40">
        <v>0</v>
      </c>
      <c r="AJ64" s="40">
        <v>0</v>
      </c>
      <c r="AK64" s="40">
        <v>0</v>
      </c>
      <c r="AL64" s="40">
        <v>0</v>
      </c>
      <c r="AM64" s="40">
        <v>0</v>
      </c>
      <c r="AN64" s="40">
        <v>0</v>
      </c>
      <c r="AO64" s="40">
        <v>0</v>
      </c>
      <c r="AP64" s="40">
        <v>0</v>
      </c>
      <c r="AQ64" s="40">
        <v>0</v>
      </c>
      <c r="AR64" s="40">
        <v>0</v>
      </c>
      <c r="AS64" s="40">
        <v>0</v>
      </c>
      <c r="AT64" s="40">
        <v>0</v>
      </c>
      <c r="AU64" s="40">
        <v>0</v>
      </c>
      <c r="AV64" s="40">
        <v>0</v>
      </c>
      <c r="AW64" s="40">
        <v>0</v>
      </c>
      <c r="AX64" s="40">
        <v>0</v>
      </c>
      <c r="AY64" s="40">
        <v>0</v>
      </c>
      <c r="AZ64" s="40">
        <v>0</v>
      </c>
      <c r="BA64" s="40">
        <v>0</v>
      </c>
      <c r="BB64" s="40">
        <v>0</v>
      </c>
      <c r="BC64" s="40">
        <v>0</v>
      </c>
      <c r="BD64" s="40">
        <v>0</v>
      </c>
      <c r="BE64" s="40">
        <v>0</v>
      </c>
      <c r="BF64" s="40">
        <v>0</v>
      </c>
      <c r="BG64" s="40">
        <v>0</v>
      </c>
      <c r="BH64" s="40">
        <v>0</v>
      </c>
      <c r="BI64" s="40">
        <v>0</v>
      </c>
      <c r="BJ64" s="40">
        <v>0</v>
      </c>
      <c r="BK64" s="40">
        <v>0</v>
      </c>
      <c r="BL64" s="40">
        <v>0</v>
      </c>
      <c r="BM64" s="40">
        <v>0</v>
      </c>
      <c r="BN64" s="40">
        <v>0</v>
      </c>
      <c r="BO64" s="40">
        <v>0</v>
      </c>
      <c r="BP64" s="40">
        <v>0</v>
      </c>
      <c r="BQ64" s="40">
        <v>0</v>
      </c>
      <c r="BR64" s="40">
        <v>0</v>
      </c>
      <c r="BS64" s="40">
        <v>0</v>
      </c>
      <c r="BT64" s="40">
        <v>0</v>
      </c>
      <c r="BU64" s="40">
        <v>0</v>
      </c>
      <c r="BV64" s="40">
        <v>0</v>
      </c>
      <c r="BW64" s="40">
        <v>0</v>
      </c>
      <c r="BX64" s="40">
        <v>0</v>
      </c>
      <c r="BY64" s="40">
        <v>0</v>
      </c>
      <c r="BZ64" s="40">
        <v>0</v>
      </c>
      <c r="CA64" s="40">
        <v>0</v>
      </c>
      <c r="CB64" s="40">
        <v>0</v>
      </c>
      <c r="CC64" s="40">
        <v>0</v>
      </c>
      <c r="CD64" s="40">
        <v>0</v>
      </c>
      <c r="CE64" s="40">
        <v>0</v>
      </c>
      <c r="CF64" s="41"/>
      <c r="CG64" s="41"/>
      <c r="CH64" s="42"/>
    </row>
    <row r="65" spans="1:86" ht="22.5">
      <c r="A65" s="38">
        <v>59</v>
      </c>
      <c r="B65" s="65" t="s">
        <v>21</v>
      </c>
      <c r="C65" s="39" t="s">
        <v>20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120169</v>
      </c>
      <c r="O65" s="40">
        <v>19742</v>
      </c>
      <c r="P65" s="40">
        <v>164</v>
      </c>
      <c r="Q65" s="40">
        <v>3587</v>
      </c>
      <c r="R65" s="40">
        <v>1535</v>
      </c>
      <c r="S65" s="40">
        <v>0</v>
      </c>
      <c r="T65" s="40">
        <v>178246</v>
      </c>
      <c r="U65" s="40">
        <v>0</v>
      </c>
      <c r="V65" s="40">
        <v>0</v>
      </c>
      <c r="W65" s="40">
        <v>235</v>
      </c>
      <c r="X65" s="40">
        <v>39638</v>
      </c>
      <c r="Y65" s="40">
        <v>10909</v>
      </c>
      <c r="Z65" s="40">
        <v>15919</v>
      </c>
      <c r="AA65" s="40">
        <v>101393</v>
      </c>
      <c r="AB65" s="40">
        <v>9275</v>
      </c>
      <c r="AC65" s="40">
        <v>0</v>
      </c>
      <c r="AD65" s="40">
        <v>1334</v>
      </c>
      <c r="AE65" s="40">
        <v>25092</v>
      </c>
      <c r="AF65" s="40">
        <v>0</v>
      </c>
      <c r="AG65" s="40">
        <v>31622</v>
      </c>
      <c r="AH65" s="40">
        <v>9609</v>
      </c>
      <c r="AI65" s="40">
        <v>6107</v>
      </c>
      <c r="AJ65" s="40">
        <v>2392</v>
      </c>
      <c r="AK65" s="40">
        <v>112955</v>
      </c>
      <c r="AL65" s="40">
        <v>1724</v>
      </c>
      <c r="AM65" s="40">
        <v>11107</v>
      </c>
      <c r="AN65" s="40">
        <v>1174</v>
      </c>
      <c r="AO65" s="40">
        <v>198045</v>
      </c>
      <c r="AP65" s="40">
        <v>3798</v>
      </c>
      <c r="AQ65" s="40">
        <v>0</v>
      </c>
      <c r="AR65" s="40">
        <v>0</v>
      </c>
      <c r="AS65" s="40">
        <v>0</v>
      </c>
      <c r="AT65" s="40">
        <v>4825610</v>
      </c>
      <c r="AU65" s="40">
        <v>1384273</v>
      </c>
      <c r="AV65" s="40">
        <v>7374131</v>
      </c>
      <c r="AW65" s="40">
        <v>18523636</v>
      </c>
      <c r="AX65" s="40">
        <v>4864523</v>
      </c>
      <c r="AY65" s="40">
        <v>6557</v>
      </c>
      <c r="AZ65" s="40">
        <v>6235037</v>
      </c>
      <c r="BA65" s="40">
        <v>4904894</v>
      </c>
      <c r="BB65" s="40">
        <v>0</v>
      </c>
      <c r="BC65" s="40">
        <v>2</v>
      </c>
      <c r="BD65" s="40">
        <v>0</v>
      </c>
      <c r="BE65" s="40">
        <v>1229593</v>
      </c>
      <c r="BF65" s="40">
        <v>190495</v>
      </c>
      <c r="BG65" s="40">
        <v>552048</v>
      </c>
      <c r="BH65" s="40">
        <v>539743</v>
      </c>
      <c r="BI65" s="40">
        <v>419582</v>
      </c>
      <c r="BJ65" s="40">
        <v>0</v>
      </c>
      <c r="BK65" s="40">
        <v>438859</v>
      </c>
      <c r="BL65" s="40">
        <v>6063570</v>
      </c>
      <c r="BM65" s="40">
        <v>16866367</v>
      </c>
      <c r="BN65" s="40">
        <v>0</v>
      </c>
      <c r="BO65" s="40">
        <v>0</v>
      </c>
      <c r="BP65" s="40">
        <v>1</v>
      </c>
      <c r="BQ65" s="40">
        <v>0</v>
      </c>
      <c r="BR65" s="40">
        <v>0</v>
      </c>
      <c r="BS65" s="40">
        <v>0</v>
      </c>
      <c r="BT65" s="40">
        <v>75324692</v>
      </c>
      <c r="BU65" s="40">
        <v>0</v>
      </c>
      <c r="BV65" s="40">
        <v>0</v>
      </c>
      <c r="BW65" s="40">
        <v>0</v>
      </c>
      <c r="BX65" s="40">
        <v>0</v>
      </c>
      <c r="BY65" s="40">
        <v>0</v>
      </c>
      <c r="BZ65" s="40">
        <v>0</v>
      </c>
      <c r="CA65" s="40">
        <v>0</v>
      </c>
      <c r="CB65" s="40">
        <v>0</v>
      </c>
      <c r="CC65" s="40">
        <v>0</v>
      </c>
      <c r="CD65" s="40">
        <v>0</v>
      </c>
      <c r="CE65" s="40">
        <v>75324692</v>
      </c>
      <c r="CF65" s="41"/>
      <c r="CG65" s="41"/>
      <c r="CH65" s="42"/>
    </row>
    <row r="66" spans="1:86" ht="22.5">
      <c r="A66" s="38">
        <v>60</v>
      </c>
      <c r="B66" s="65" t="s">
        <v>160</v>
      </c>
      <c r="C66" s="39" t="s">
        <v>159</v>
      </c>
      <c r="D66" s="40">
        <v>12713140</v>
      </c>
      <c r="E66" s="40">
        <v>1</v>
      </c>
      <c r="F66" s="40">
        <v>0</v>
      </c>
      <c r="G66" s="40">
        <v>46</v>
      </c>
      <c r="H66" s="40">
        <v>15370396</v>
      </c>
      <c r="I66" s="40">
        <v>1111839</v>
      </c>
      <c r="J66" s="40">
        <v>2</v>
      </c>
      <c r="K66" s="40">
        <v>19082</v>
      </c>
      <c r="L66" s="40">
        <v>4705</v>
      </c>
      <c r="M66" s="40">
        <v>40076</v>
      </c>
      <c r="N66" s="40">
        <v>460787</v>
      </c>
      <c r="O66" s="40">
        <v>0</v>
      </c>
      <c r="P66" s="40">
        <v>0</v>
      </c>
      <c r="Q66" s="40">
        <v>1707</v>
      </c>
      <c r="R66" s="40">
        <v>1348</v>
      </c>
      <c r="S66" s="40">
        <v>0</v>
      </c>
      <c r="T66" s="40">
        <v>4</v>
      </c>
      <c r="U66" s="40">
        <v>3055</v>
      </c>
      <c r="V66" s="40">
        <v>326615</v>
      </c>
      <c r="W66" s="40">
        <v>219823</v>
      </c>
      <c r="X66" s="40">
        <v>68</v>
      </c>
      <c r="Y66" s="40">
        <v>4470</v>
      </c>
      <c r="Z66" s="40">
        <v>5537</v>
      </c>
      <c r="AA66" s="40">
        <v>14886</v>
      </c>
      <c r="AB66" s="40">
        <v>429595</v>
      </c>
      <c r="AC66" s="40">
        <v>0</v>
      </c>
      <c r="AD66" s="40">
        <v>164</v>
      </c>
      <c r="AE66" s="40">
        <v>36262</v>
      </c>
      <c r="AF66" s="40">
        <v>0</v>
      </c>
      <c r="AG66" s="40">
        <v>258</v>
      </c>
      <c r="AH66" s="40">
        <v>2</v>
      </c>
      <c r="AI66" s="40">
        <v>99</v>
      </c>
      <c r="AJ66" s="40">
        <v>51</v>
      </c>
      <c r="AK66" s="40">
        <v>17331</v>
      </c>
      <c r="AL66" s="40">
        <v>1624</v>
      </c>
      <c r="AM66" s="40">
        <v>0</v>
      </c>
      <c r="AN66" s="40">
        <v>1913</v>
      </c>
      <c r="AO66" s="40">
        <v>156161</v>
      </c>
      <c r="AP66" s="40">
        <v>351333</v>
      </c>
      <c r="AQ66" s="40">
        <v>0</v>
      </c>
      <c r="AR66" s="40">
        <v>21450</v>
      </c>
      <c r="AS66" s="40">
        <v>0</v>
      </c>
      <c r="AT66" s="40">
        <v>85663787</v>
      </c>
      <c r="AU66" s="40">
        <v>16209275</v>
      </c>
      <c r="AV66" s="40">
        <v>149426992</v>
      </c>
      <c r="AW66" s="40">
        <v>36441310</v>
      </c>
      <c r="AX66" s="40">
        <v>33010746</v>
      </c>
      <c r="AY66" s="40">
        <v>63822</v>
      </c>
      <c r="AZ66" s="40">
        <v>25444</v>
      </c>
      <c r="BA66" s="40">
        <v>78800</v>
      </c>
      <c r="BB66" s="40">
        <v>0</v>
      </c>
      <c r="BC66" s="40">
        <v>673707</v>
      </c>
      <c r="BD66" s="40">
        <v>28</v>
      </c>
      <c r="BE66" s="40">
        <v>12821348</v>
      </c>
      <c r="BF66" s="40">
        <v>3885308</v>
      </c>
      <c r="BG66" s="40">
        <v>16085548</v>
      </c>
      <c r="BH66" s="40">
        <v>7233070</v>
      </c>
      <c r="BI66" s="40">
        <v>6625903</v>
      </c>
      <c r="BJ66" s="40">
        <v>14767596</v>
      </c>
      <c r="BK66" s="40">
        <v>80810114</v>
      </c>
      <c r="BL66" s="40">
        <v>34849235</v>
      </c>
      <c r="BM66" s="40">
        <v>261081390</v>
      </c>
      <c r="BN66" s="40">
        <v>21347794</v>
      </c>
      <c r="BO66" s="40">
        <v>467181</v>
      </c>
      <c r="BP66" s="40">
        <v>27</v>
      </c>
      <c r="BQ66" s="40">
        <v>23200291</v>
      </c>
      <c r="BR66" s="40">
        <v>23721046</v>
      </c>
      <c r="BS66" s="40">
        <v>0</v>
      </c>
      <c r="BT66" s="40">
        <v>859803592</v>
      </c>
      <c r="BU66" s="40">
        <v>0</v>
      </c>
      <c r="BV66" s="40">
        <v>0</v>
      </c>
      <c r="BW66" s="40">
        <v>0</v>
      </c>
      <c r="BX66" s="40">
        <v>0</v>
      </c>
      <c r="BY66" s="40">
        <v>12888320</v>
      </c>
      <c r="BZ66" s="40">
        <v>0</v>
      </c>
      <c r="CA66" s="40">
        <v>0</v>
      </c>
      <c r="CB66" s="40">
        <v>12888320</v>
      </c>
      <c r="CC66" s="40">
        <v>0</v>
      </c>
      <c r="CD66" s="40">
        <v>12888320</v>
      </c>
      <c r="CE66" s="40">
        <v>872691912</v>
      </c>
      <c r="CF66" s="41"/>
      <c r="CG66" s="41"/>
      <c r="CH66" s="42"/>
    </row>
    <row r="67" spans="1:86" ht="22.5">
      <c r="A67" s="38">
        <v>61</v>
      </c>
      <c r="B67" s="65" t="s">
        <v>158</v>
      </c>
      <c r="C67" s="39" t="s">
        <v>157</v>
      </c>
      <c r="D67" s="40">
        <v>689230</v>
      </c>
      <c r="E67" s="40">
        <v>0</v>
      </c>
      <c r="F67" s="40">
        <v>0</v>
      </c>
      <c r="G67" s="40">
        <v>3085777</v>
      </c>
      <c r="H67" s="40">
        <v>21617978</v>
      </c>
      <c r="I67" s="40">
        <v>702512</v>
      </c>
      <c r="J67" s="40">
        <v>0</v>
      </c>
      <c r="K67" s="40">
        <v>28330</v>
      </c>
      <c r="L67" s="40">
        <v>529317</v>
      </c>
      <c r="M67" s="40">
        <v>1083582</v>
      </c>
      <c r="N67" s="40">
        <v>1521079</v>
      </c>
      <c r="O67" s="40">
        <v>24419</v>
      </c>
      <c r="P67" s="40">
        <v>0</v>
      </c>
      <c r="Q67" s="40">
        <v>6380</v>
      </c>
      <c r="R67" s="40">
        <v>818</v>
      </c>
      <c r="S67" s="40">
        <v>0</v>
      </c>
      <c r="T67" s="40">
        <v>0</v>
      </c>
      <c r="U67" s="40">
        <v>0</v>
      </c>
      <c r="V67" s="40">
        <v>0</v>
      </c>
      <c r="W67" s="40">
        <v>305887</v>
      </c>
      <c r="X67" s="40">
        <v>19469</v>
      </c>
      <c r="Y67" s="40">
        <v>0</v>
      </c>
      <c r="Z67" s="40">
        <v>673</v>
      </c>
      <c r="AA67" s="40">
        <v>10060</v>
      </c>
      <c r="AB67" s="40">
        <v>55498</v>
      </c>
      <c r="AC67" s="40">
        <v>245</v>
      </c>
      <c r="AD67" s="40">
        <v>77</v>
      </c>
      <c r="AE67" s="40">
        <v>88474</v>
      </c>
      <c r="AF67" s="40">
        <v>0</v>
      </c>
      <c r="AG67" s="40">
        <v>325</v>
      </c>
      <c r="AH67" s="40">
        <v>249</v>
      </c>
      <c r="AI67" s="40">
        <v>347</v>
      </c>
      <c r="AJ67" s="40">
        <v>1890</v>
      </c>
      <c r="AK67" s="40">
        <v>3343</v>
      </c>
      <c r="AL67" s="40">
        <v>3458</v>
      </c>
      <c r="AM67" s="40">
        <v>0</v>
      </c>
      <c r="AN67" s="40">
        <v>0</v>
      </c>
      <c r="AO67" s="40">
        <v>166733</v>
      </c>
      <c r="AP67" s="40">
        <v>1337</v>
      </c>
      <c r="AQ67" s="40">
        <v>0</v>
      </c>
      <c r="AR67" s="40">
        <v>0</v>
      </c>
      <c r="AS67" s="40">
        <v>0</v>
      </c>
      <c r="AT67" s="40">
        <v>1358489</v>
      </c>
      <c r="AU67" s="40">
        <v>223111</v>
      </c>
      <c r="AV67" s="40">
        <v>118743709</v>
      </c>
      <c r="AW67" s="40">
        <v>115806341</v>
      </c>
      <c r="AX67" s="40">
        <v>29218543</v>
      </c>
      <c r="AY67" s="40">
        <v>26084</v>
      </c>
      <c r="AZ67" s="40">
        <v>0</v>
      </c>
      <c r="BA67" s="40">
        <v>2177515</v>
      </c>
      <c r="BB67" s="40">
        <v>0</v>
      </c>
      <c r="BC67" s="40">
        <v>28</v>
      </c>
      <c r="BD67" s="40">
        <v>0</v>
      </c>
      <c r="BE67" s="40">
        <v>67551561</v>
      </c>
      <c r="BF67" s="40">
        <v>6025</v>
      </c>
      <c r="BG67" s="40">
        <v>269166</v>
      </c>
      <c r="BH67" s="40">
        <v>51288</v>
      </c>
      <c r="BI67" s="40">
        <v>72158</v>
      </c>
      <c r="BJ67" s="40">
        <v>118062</v>
      </c>
      <c r="BK67" s="40">
        <v>356737</v>
      </c>
      <c r="BL67" s="40">
        <v>12035023</v>
      </c>
      <c r="BM67" s="40">
        <v>4173661</v>
      </c>
      <c r="BN67" s="40">
        <v>112327</v>
      </c>
      <c r="BO67" s="40">
        <v>0</v>
      </c>
      <c r="BP67" s="40">
        <v>1</v>
      </c>
      <c r="BQ67" s="40">
        <v>931960</v>
      </c>
      <c r="BR67" s="40">
        <v>0</v>
      </c>
      <c r="BS67" s="40">
        <v>0</v>
      </c>
      <c r="BT67" s="40">
        <v>383179276</v>
      </c>
      <c r="BU67" s="40">
        <v>0</v>
      </c>
      <c r="BV67" s="40">
        <v>0</v>
      </c>
      <c r="BW67" s="40">
        <v>0</v>
      </c>
      <c r="BX67" s="40">
        <v>0</v>
      </c>
      <c r="BY67" s="40">
        <v>0</v>
      </c>
      <c r="BZ67" s="40">
        <v>0</v>
      </c>
      <c r="CA67" s="40">
        <v>0</v>
      </c>
      <c r="CB67" s="40">
        <v>0</v>
      </c>
      <c r="CC67" s="40">
        <v>0</v>
      </c>
      <c r="CD67" s="40">
        <v>0</v>
      </c>
      <c r="CE67" s="40">
        <v>383179276</v>
      </c>
      <c r="CF67" s="41"/>
      <c r="CG67" s="41"/>
      <c r="CH67" s="42"/>
    </row>
    <row r="68" spans="1:86" ht="33.75">
      <c r="A68" s="38">
        <v>62</v>
      </c>
      <c r="B68" s="65" t="s">
        <v>19</v>
      </c>
      <c r="C68" s="39" t="s">
        <v>18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40">
        <v>0</v>
      </c>
      <c r="AJ68" s="40">
        <v>0</v>
      </c>
      <c r="AK68" s="40">
        <v>0</v>
      </c>
      <c r="AL68" s="40">
        <v>0</v>
      </c>
      <c r="AM68" s="40">
        <v>0</v>
      </c>
      <c r="AN68" s="40">
        <v>0</v>
      </c>
      <c r="AO68" s="40">
        <v>0</v>
      </c>
      <c r="AP68" s="40">
        <v>0</v>
      </c>
      <c r="AQ68" s="40">
        <v>0</v>
      </c>
      <c r="AR68" s="40">
        <v>0</v>
      </c>
      <c r="AS68" s="40">
        <v>0</v>
      </c>
      <c r="AT68" s="40">
        <v>0</v>
      </c>
      <c r="AU68" s="40">
        <v>0</v>
      </c>
      <c r="AV68" s="40">
        <v>0</v>
      </c>
      <c r="AW68" s="40">
        <v>0</v>
      </c>
      <c r="AX68" s="40">
        <v>0</v>
      </c>
      <c r="AY68" s="40">
        <v>0</v>
      </c>
      <c r="AZ68" s="40">
        <v>0</v>
      </c>
      <c r="BA68" s="40">
        <v>0</v>
      </c>
      <c r="BB68" s="40">
        <v>0</v>
      </c>
      <c r="BC68" s="40">
        <v>0</v>
      </c>
      <c r="BD68" s="40">
        <v>0</v>
      </c>
      <c r="BE68" s="40">
        <v>0</v>
      </c>
      <c r="BF68" s="40">
        <v>0</v>
      </c>
      <c r="BG68" s="40">
        <v>0</v>
      </c>
      <c r="BH68" s="40">
        <v>0</v>
      </c>
      <c r="BI68" s="40">
        <v>0</v>
      </c>
      <c r="BJ68" s="40">
        <v>0</v>
      </c>
      <c r="BK68" s="40">
        <v>0</v>
      </c>
      <c r="BL68" s="40">
        <v>0</v>
      </c>
      <c r="BM68" s="40">
        <v>0</v>
      </c>
      <c r="BN68" s="40">
        <v>0</v>
      </c>
      <c r="BO68" s="40">
        <v>0</v>
      </c>
      <c r="BP68" s="40">
        <v>0</v>
      </c>
      <c r="BQ68" s="40">
        <v>0</v>
      </c>
      <c r="BR68" s="40">
        <v>0</v>
      </c>
      <c r="BS68" s="40">
        <v>0</v>
      </c>
      <c r="BT68" s="40">
        <v>0</v>
      </c>
      <c r="BU68" s="40">
        <v>0</v>
      </c>
      <c r="BV68" s="40">
        <v>0</v>
      </c>
      <c r="BW68" s="40">
        <v>0</v>
      </c>
      <c r="BX68" s="40">
        <v>0</v>
      </c>
      <c r="BY68" s="40">
        <v>0</v>
      </c>
      <c r="BZ68" s="40">
        <v>0</v>
      </c>
      <c r="CA68" s="40">
        <v>0</v>
      </c>
      <c r="CB68" s="40">
        <v>0</v>
      </c>
      <c r="CC68" s="40">
        <v>0</v>
      </c>
      <c r="CD68" s="40">
        <v>0</v>
      </c>
      <c r="CE68" s="40">
        <v>0</v>
      </c>
      <c r="CF68" s="41"/>
      <c r="CG68" s="41"/>
      <c r="CH68" s="42"/>
    </row>
    <row r="69" spans="1:86">
      <c r="A69" s="38">
        <v>63</v>
      </c>
      <c r="B69" s="65" t="s">
        <v>17</v>
      </c>
      <c r="C69" s="39" t="s">
        <v>16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40">
        <v>0</v>
      </c>
      <c r="S69" s="40">
        <v>0</v>
      </c>
      <c r="T69" s="40">
        <v>0</v>
      </c>
      <c r="U69" s="40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  <c r="AB69" s="40">
        <v>0</v>
      </c>
      <c r="AC69" s="40">
        <v>0</v>
      </c>
      <c r="AD69" s="40">
        <v>0</v>
      </c>
      <c r="AE69" s="40">
        <v>0</v>
      </c>
      <c r="AF69" s="40">
        <v>0</v>
      </c>
      <c r="AG69" s="40">
        <v>0</v>
      </c>
      <c r="AH69" s="40">
        <v>0</v>
      </c>
      <c r="AI69" s="40">
        <v>0</v>
      </c>
      <c r="AJ69" s="40">
        <v>0</v>
      </c>
      <c r="AK69" s="40">
        <v>0</v>
      </c>
      <c r="AL69" s="40">
        <v>0</v>
      </c>
      <c r="AM69" s="40">
        <v>0</v>
      </c>
      <c r="AN69" s="40">
        <v>0</v>
      </c>
      <c r="AO69" s="40">
        <v>0</v>
      </c>
      <c r="AP69" s="40">
        <v>0</v>
      </c>
      <c r="AQ69" s="40">
        <v>0</v>
      </c>
      <c r="AR69" s="40">
        <v>0</v>
      </c>
      <c r="AS69" s="40">
        <v>0</v>
      </c>
      <c r="AT69" s="40">
        <v>0</v>
      </c>
      <c r="AU69" s="40">
        <v>0</v>
      </c>
      <c r="AV69" s="40">
        <v>0</v>
      </c>
      <c r="AW69" s="40">
        <v>0</v>
      </c>
      <c r="AX69" s="40">
        <v>0</v>
      </c>
      <c r="AY69" s="40">
        <v>0</v>
      </c>
      <c r="AZ69" s="40">
        <v>0</v>
      </c>
      <c r="BA69" s="40">
        <v>0</v>
      </c>
      <c r="BB69" s="40">
        <v>0</v>
      </c>
      <c r="BC69" s="40">
        <v>0</v>
      </c>
      <c r="BD69" s="40">
        <v>0</v>
      </c>
      <c r="BE69" s="40">
        <v>0</v>
      </c>
      <c r="BF69" s="40">
        <v>0</v>
      </c>
      <c r="BG69" s="40">
        <v>0</v>
      </c>
      <c r="BH69" s="40">
        <v>0</v>
      </c>
      <c r="BI69" s="40">
        <v>0</v>
      </c>
      <c r="BJ69" s="40">
        <v>0</v>
      </c>
      <c r="BK69" s="40">
        <v>0</v>
      </c>
      <c r="BL69" s="40">
        <v>0</v>
      </c>
      <c r="BM69" s="40">
        <v>0</v>
      </c>
      <c r="BN69" s="40">
        <v>0</v>
      </c>
      <c r="BO69" s="40">
        <v>0</v>
      </c>
      <c r="BP69" s="40">
        <v>0</v>
      </c>
      <c r="BQ69" s="40">
        <v>0</v>
      </c>
      <c r="BR69" s="40">
        <v>0</v>
      </c>
      <c r="BS69" s="40">
        <v>0</v>
      </c>
      <c r="BT69" s="40">
        <v>0</v>
      </c>
      <c r="BU69" s="40">
        <v>86801430</v>
      </c>
      <c r="BV69" s="40">
        <v>0</v>
      </c>
      <c r="BW69" s="40">
        <v>0</v>
      </c>
      <c r="BX69" s="40">
        <v>86801430</v>
      </c>
      <c r="BY69" s="40">
        <v>0</v>
      </c>
      <c r="BZ69" s="40">
        <v>0</v>
      </c>
      <c r="CA69" s="40">
        <v>0</v>
      </c>
      <c r="CB69" s="40">
        <v>0</v>
      </c>
      <c r="CC69" s="40">
        <v>0</v>
      </c>
      <c r="CD69" s="40">
        <v>86801430</v>
      </c>
      <c r="CE69" s="40">
        <v>86801430</v>
      </c>
      <c r="CF69" s="41"/>
      <c r="CG69" s="41"/>
      <c r="CH69" s="42"/>
    </row>
    <row r="70" spans="1:86">
      <c r="A70" s="38">
        <v>64</v>
      </c>
      <c r="B70" s="65" t="s">
        <v>15</v>
      </c>
      <c r="C70" s="39" t="s">
        <v>14</v>
      </c>
      <c r="D70" s="40">
        <v>0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T70" s="40">
        <v>0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0</v>
      </c>
      <c r="AB70" s="40">
        <v>0</v>
      </c>
      <c r="AC70" s="40">
        <v>0</v>
      </c>
      <c r="AD70" s="40">
        <v>0</v>
      </c>
      <c r="AE70" s="40">
        <v>0</v>
      </c>
      <c r="AF70" s="40">
        <v>0</v>
      </c>
      <c r="AG70" s="40">
        <v>0</v>
      </c>
      <c r="AH70" s="40">
        <v>0</v>
      </c>
      <c r="AI70" s="40">
        <v>0</v>
      </c>
      <c r="AJ70" s="40">
        <v>0</v>
      </c>
      <c r="AK70" s="40">
        <v>0</v>
      </c>
      <c r="AL70" s="40">
        <v>0</v>
      </c>
      <c r="AM70" s="40">
        <v>0</v>
      </c>
      <c r="AN70" s="40">
        <v>0</v>
      </c>
      <c r="AO70" s="40">
        <v>0</v>
      </c>
      <c r="AP70" s="40">
        <v>0</v>
      </c>
      <c r="AQ70" s="40">
        <v>0</v>
      </c>
      <c r="AR70" s="40">
        <v>0</v>
      </c>
      <c r="AS70" s="40">
        <v>0</v>
      </c>
      <c r="AT70" s="40">
        <v>0</v>
      </c>
      <c r="AU70" s="40">
        <v>0</v>
      </c>
      <c r="AV70" s="40">
        <v>0</v>
      </c>
      <c r="AW70" s="40">
        <v>0</v>
      </c>
      <c r="AX70" s="40">
        <v>0</v>
      </c>
      <c r="AY70" s="40">
        <v>0</v>
      </c>
      <c r="AZ70" s="40">
        <v>0</v>
      </c>
      <c r="BA70" s="40">
        <v>0</v>
      </c>
      <c r="BB70" s="40">
        <v>0</v>
      </c>
      <c r="BC70" s="40">
        <v>0</v>
      </c>
      <c r="BD70" s="40">
        <v>0</v>
      </c>
      <c r="BE70" s="40">
        <v>0</v>
      </c>
      <c r="BF70" s="40">
        <v>0</v>
      </c>
      <c r="BG70" s="40">
        <v>0</v>
      </c>
      <c r="BH70" s="40">
        <v>0</v>
      </c>
      <c r="BI70" s="40">
        <v>0</v>
      </c>
      <c r="BJ70" s="40">
        <v>0</v>
      </c>
      <c r="BK70" s="40">
        <v>0</v>
      </c>
      <c r="BL70" s="40">
        <v>0</v>
      </c>
      <c r="BM70" s="40">
        <v>0</v>
      </c>
      <c r="BN70" s="40">
        <v>0</v>
      </c>
      <c r="BO70" s="40">
        <v>0</v>
      </c>
      <c r="BP70" s="40">
        <v>0</v>
      </c>
      <c r="BQ70" s="40">
        <v>0</v>
      </c>
      <c r="BR70" s="40">
        <v>0</v>
      </c>
      <c r="BS70" s="40">
        <v>0</v>
      </c>
      <c r="BT70" s="40">
        <v>0</v>
      </c>
      <c r="BU70" s="40">
        <v>11322189</v>
      </c>
      <c r="BV70" s="40">
        <v>0</v>
      </c>
      <c r="BW70" s="40">
        <v>0</v>
      </c>
      <c r="BX70" s="40">
        <v>11322189</v>
      </c>
      <c r="BY70" s="40">
        <v>0</v>
      </c>
      <c r="BZ70" s="40">
        <v>0</v>
      </c>
      <c r="CA70" s="40">
        <v>0</v>
      </c>
      <c r="CB70" s="40">
        <v>0</v>
      </c>
      <c r="CC70" s="40">
        <v>0</v>
      </c>
      <c r="CD70" s="40">
        <v>11322189</v>
      </c>
      <c r="CE70" s="40">
        <v>11322189</v>
      </c>
      <c r="CF70" s="41"/>
      <c r="CG70" s="41"/>
      <c r="CH70" s="42"/>
    </row>
    <row r="71" spans="1:86">
      <c r="A71" s="38">
        <v>65</v>
      </c>
      <c r="B71" s="65" t="s">
        <v>13</v>
      </c>
      <c r="C71" s="39" t="s">
        <v>12</v>
      </c>
      <c r="D71" s="40">
        <v>0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 s="40">
        <v>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  <c r="AA71" s="40">
        <v>0</v>
      </c>
      <c r="AB71" s="40">
        <v>0</v>
      </c>
      <c r="AC71" s="40">
        <v>0</v>
      </c>
      <c r="AD71" s="40">
        <v>0</v>
      </c>
      <c r="AE71" s="40">
        <v>0</v>
      </c>
      <c r="AF71" s="40">
        <v>0</v>
      </c>
      <c r="AG71" s="40">
        <v>0</v>
      </c>
      <c r="AH71" s="40">
        <v>0</v>
      </c>
      <c r="AI71" s="40">
        <v>0</v>
      </c>
      <c r="AJ71" s="40">
        <v>0</v>
      </c>
      <c r="AK71" s="40">
        <v>0</v>
      </c>
      <c r="AL71" s="40">
        <v>0</v>
      </c>
      <c r="AM71" s="40">
        <v>0</v>
      </c>
      <c r="AN71" s="40">
        <v>0</v>
      </c>
      <c r="AO71" s="40">
        <v>0</v>
      </c>
      <c r="AP71" s="40">
        <v>0</v>
      </c>
      <c r="AQ71" s="40">
        <v>0</v>
      </c>
      <c r="AR71" s="40">
        <v>0</v>
      </c>
      <c r="AS71" s="40">
        <v>0</v>
      </c>
      <c r="AT71" s="40">
        <v>0</v>
      </c>
      <c r="AU71" s="40">
        <v>0</v>
      </c>
      <c r="AV71" s="40">
        <v>0</v>
      </c>
      <c r="AW71" s="40">
        <v>0</v>
      </c>
      <c r="AX71" s="40">
        <v>0</v>
      </c>
      <c r="AY71" s="40">
        <v>0</v>
      </c>
      <c r="AZ71" s="40">
        <v>0</v>
      </c>
      <c r="BA71" s="40">
        <v>0</v>
      </c>
      <c r="BB71" s="40">
        <v>0</v>
      </c>
      <c r="BC71" s="40">
        <v>0</v>
      </c>
      <c r="BD71" s="40">
        <v>0</v>
      </c>
      <c r="BE71" s="40">
        <v>0</v>
      </c>
      <c r="BF71" s="40">
        <v>0</v>
      </c>
      <c r="BG71" s="40">
        <v>0</v>
      </c>
      <c r="BH71" s="40">
        <v>0</v>
      </c>
      <c r="BI71" s="40">
        <v>0</v>
      </c>
      <c r="BJ71" s="40">
        <v>0</v>
      </c>
      <c r="BK71" s="40">
        <v>0</v>
      </c>
      <c r="BL71" s="40">
        <v>0</v>
      </c>
      <c r="BM71" s="40">
        <v>0</v>
      </c>
      <c r="BN71" s="40">
        <v>0</v>
      </c>
      <c r="BO71" s="40">
        <v>0</v>
      </c>
      <c r="BP71" s="40">
        <v>0</v>
      </c>
      <c r="BQ71" s="40">
        <v>0</v>
      </c>
      <c r="BR71" s="40">
        <v>0</v>
      </c>
      <c r="BS71" s="40">
        <v>0</v>
      </c>
      <c r="BT71" s="40">
        <v>0</v>
      </c>
      <c r="BU71" s="40">
        <v>0</v>
      </c>
      <c r="BV71" s="40">
        <v>0</v>
      </c>
      <c r="BW71" s="40">
        <v>0</v>
      </c>
      <c r="BX71" s="40">
        <v>0</v>
      </c>
      <c r="BY71" s="40">
        <v>0</v>
      </c>
      <c r="BZ71" s="40">
        <v>0</v>
      </c>
      <c r="CA71" s="40">
        <v>0</v>
      </c>
      <c r="CB71" s="40">
        <v>0</v>
      </c>
      <c r="CC71" s="40">
        <v>0</v>
      </c>
      <c r="CD71" s="40">
        <v>0</v>
      </c>
      <c r="CE71" s="40">
        <v>0</v>
      </c>
      <c r="CF71" s="41"/>
      <c r="CG71" s="41"/>
      <c r="CH71" s="42"/>
    </row>
    <row r="72" spans="1:86" ht="22.5">
      <c r="A72" s="38">
        <v>66</v>
      </c>
      <c r="B72" s="65" t="s">
        <v>93</v>
      </c>
      <c r="C72" s="39" t="s">
        <v>156</v>
      </c>
      <c r="D72" s="40">
        <v>0</v>
      </c>
      <c r="E72" s="40">
        <v>0</v>
      </c>
      <c r="F72" s="40">
        <v>0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T72" s="40">
        <v>0</v>
      </c>
      <c r="U72" s="40">
        <v>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0</v>
      </c>
      <c r="AD72" s="40">
        <v>0</v>
      </c>
      <c r="AE72" s="40">
        <v>0</v>
      </c>
      <c r="AF72" s="40">
        <v>0</v>
      </c>
      <c r="AG72" s="40">
        <v>0</v>
      </c>
      <c r="AH72" s="40">
        <v>0</v>
      </c>
      <c r="AI72" s="40">
        <v>0</v>
      </c>
      <c r="AJ72" s="40">
        <v>0</v>
      </c>
      <c r="AK72" s="40">
        <v>0</v>
      </c>
      <c r="AL72" s="40">
        <v>0</v>
      </c>
      <c r="AM72" s="40">
        <v>0</v>
      </c>
      <c r="AN72" s="40">
        <v>0</v>
      </c>
      <c r="AO72" s="40">
        <v>0</v>
      </c>
      <c r="AP72" s="40">
        <v>0</v>
      </c>
      <c r="AQ72" s="40">
        <v>0</v>
      </c>
      <c r="AR72" s="40">
        <v>0</v>
      </c>
      <c r="AS72" s="40">
        <v>0</v>
      </c>
      <c r="AT72" s="40">
        <v>0</v>
      </c>
      <c r="AU72" s="40">
        <v>0</v>
      </c>
      <c r="AV72" s="40">
        <v>0</v>
      </c>
      <c r="AW72" s="40">
        <v>0</v>
      </c>
      <c r="AX72" s="40">
        <v>0</v>
      </c>
      <c r="AY72" s="40">
        <v>0</v>
      </c>
      <c r="AZ72" s="40">
        <v>0</v>
      </c>
      <c r="BA72" s="40">
        <v>0</v>
      </c>
      <c r="BB72" s="40">
        <v>0</v>
      </c>
      <c r="BC72" s="40">
        <v>0</v>
      </c>
      <c r="BD72" s="40">
        <v>0</v>
      </c>
      <c r="BE72" s="40">
        <v>36170</v>
      </c>
      <c r="BF72" s="40">
        <v>0</v>
      </c>
      <c r="BG72" s="40">
        <v>0</v>
      </c>
      <c r="BH72" s="40">
        <v>0</v>
      </c>
      <c r="BI72" s="40">
        <v>0</v>
      </c>
      <c r="BJ72" s="40">
        <v>34</v>
      </c>
      <c r="BK72" s="40">
        <v>98</v>
      </c>
      <c r="BL72" s="40">
        <v>0</v>
      </c>
      <c r="BM72" s="40">
        <v>0</v>
      </c>
      <c r="BN72" s="40">
        <v>0</v>
      </c>
      <c r="BO72" s="40">
        <v>0</v>
      </c>
      <c r="BP72" s="40">
        <v>0</v>
      </c>
      <c r="BQ72" s="40">
        <v>121023</v>
      </c>
      <c r="BR72" s="40">
        <v>0</v>
      </c>
      <c r="BS72" s="40">
        <v>0</v>
      </c>
      <c r="BT72" s="40">
        <v>157325</v>
      </c>
      <c r="BU72" s="40">
        <v>316272175</v>
      </c>
      <c r="BV72" s="40">
        <v>0</v>
      </c>
      <c r="BW72" s="40">
        <v>0</v>
      </c>
      <c r="BX72" s="40">
        <v>316272175</v>
      </c>
      <c r="BY72" s="40">
        <v>283506</v>
      </c>
      <c r="BZ72" s="40">
        <v>0</v>
      </c>
      <c r="CA72" s="40">
        <v>0</v>
      </c>
      <c r="CB72" s="40">
        <v>283506</v>
      </c>
      <c r="CC72" s="40">
        <v>0</v>
      </c>
      <c r="CD72" s="40">
        <v>316555681</v>
      </c>
      <c r="CE72" s="40">
        <v>316713006</v>
      </c>
      <c r="CF72" s="41"/>
      <c r="CG72" s="41"/>
      <c r="CH72" s="42"/>
    </row>
    <row r="73" spans="1:86">
      <c r="A73" s="38">
        <v>67</v>
      </c>
      <c r="B73" s="65" t="s">
        <v>92</v>
      </c>
      <c r="C73" s="39" t="s">
        <v>155</v>
      </c>
      <c r="D73" s="40">
        <v>0</v>
      </c>
      <c r="E73" s="40">
        <v>0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  <c r="N73" s="40">
        <v>0</v>
      </c>
      <c r="O73" s="40">
        <v>0</v>
      </c>
      <c r="P73" s="40">
        <v>0</v>
      </c>
      <c r="Q73" s="40">
        <v>0</v>
      </c>
      <c r="R73" s="40">
        <v>0</v>
      </c>
      <c r="S73" s="40">
        <v>0</v>
      </c>
      <c r="T73" s="40">
        <v>0</v>
      </c>
      <c r="U73" s="40">
        <v>0</v>
      </c>
      <c r="V73" s="40">
        <v>0</v>
      </c>
      <c r="W73" s="40">
        <v>0</v>
      </c>
      <c r="X73" s="40">
        <v>0</v>
      </c>
      <c r="Y73" s="40">
        <v>0</v>
      </c>
      <c r="Z73" s="40">
        <v>0</v>
      </c>
      <c r="AA73" s="40">
        <v>0</v>
      </c>
      <c r="AB73" s="40">
        <v>0</v>
      </c>
      <c r="AC73" s="40">
        <v>0</v>
      </c>
      <c r="AD73" s="40">
        <v>0</v>
      </c>
      <c r="AE73" s="40">
        <v>0</v>
      </c>
      <c r="AF73" s="40">
        <v>0</v>
      </c>
      <c r="AG73" s="40">
        <v>0</v>
      </c>
      <c r="AH73" s="40">
        <v>0</v>
      </c>
      <c r="AI73" s="40">
        <v>0</v>
      </c>
      <c r="AJ73" s="40">
        <v>0</v>
      </c>
      <c r="AK73" s="40">
        <v>0</v>
      </c>
      <c r="AL73" s="40">
        <v>0</v>
      </c>
      <c r="AM73" s="40">
        <v>0</v>
      </c>
      <c r="AN73" s="40">
        <v>0</v>
      </c>
      <c r="AO73" s="40">
        <v>0</v>
      </c>
      <c r="AP73" s="40">
        <v>0</v>
      </c>
      <c r="AQ73" s="40">
        <v>0</v>
      </c>
      <c r="AR73" s="40">
        <v>0</v>
      </c>
      <c r="AS73" s="40">
        <v>0</v>
      </c>
      <c r="AT73" s="40">
        <v>0</v>
      </c>
      <c r="AU73" s="40">
        <v>0</v>
      </c>
      <c r="AV73" s="40">
        <v>0</v>
      </c>
      <c r="AW73" s="40">
        <v>0</v>
      </c>
      <c r="AX73" s="40">
        <v>0</v>
      </c>
      <c r="AY73" s="40">
        <v>0</v>
      </c>
      <c r="AZ73" s="40">
        <v>0</v>
      </c>
      <c r="BA73" s="40">
        <v>0</v>
      </c>
      <c r="BB73" s="40">
        <v>0</v>
      </c>
      <c r="BC73" s="40">
        <v>0</v>
      </c>
      <c r="BD73" s="40">
        <v>0</v>
      </c>
      <c r="BE73" s="40">
        <v>367</v>
      </c>
      <c r="BF73" s="40">
        <v>0</v>
      </c>
      <c r="BG73" s="40">
        <v>0</v>
      </c>
      <c r="BH73" s="40">
        <v>0</v>
      </c>
      <c r="BI73" s="40">
        <v>0</v>
      </c>
      <c r="BJ73" s="40">
        <v>0</v>
      </c>
      <c r="BK73" s="40">
        <v>0</v>
      </c>
      <c r="BL73" s="40">
        <v>0</v>
      </c>
      <c r="BM73" s="40">
        <v>3061879</v>
      </c>
      <c r="BN73" s="40">
        <v>172</v>
      </c>
      <c r="BO73" s="40">
        <v>1</v>
      </c>
      <c r="BP73" s="40">
        <v>2</v>
      </c>
      <c r="BQ73" s="40">
        <v>0</v>
      </c>
      <c r="BR73" s="40">
        <v>0</v>
      </c>
      <c r="BS73" s="40">
        <v>0</v>
      </c>
      <c r="BT73" s="40">
        <v>3062421</v>
      </c>
      <c r="BU73" s="40">
        <v>0</v>
      </c>
      <c r="BV73" s="40">
        <v>0</v>
      </c>
      <c r="BW73" s="40">
        <v>0</v>
      </c>
      <c r="BX73" s="40">
        <v>0</v>
      </c>
      <c r="BY73" s="40">
        <v>0</v>
      </c>
      <c r="BZ73" s="40">
        <v>0</v>
      </c>
      <c r="CA73" s="40">
        <v>0</v>
      </c>
      <c r="CB73" s="40">
        <v>0</v>
      </c>
      <c r="CC73" s="40">
        <v>0</v>
      </c>
      <c r="CD73" s="40">
        <v>0</v>
      </c>
      <c r="CE73" s="40">
        <v>3062421</v>
      </c>
      <c r="CF73" s="41"/>
      <c r="CG73" s="41"/>
      <c r="CH73" s="42"/>
    </row>
    <row r="74" spans="1:86" ht="45">
      <c r="A74" s="38">
        <v>68</v>
      </c>
      <c r="B74" s="65" t="s">
        <v>11</v>
      </c>
      <c r="C74" s="39" t="s">
        <v>10</v>
      </c>
      <c r="D74" s="40">
        <v>0</v>
      </c>
      <c r="E74" s="40">
        <v>0</v>
      </c>
      <c r="F74" s="40">
        <v>0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T74" s="40">
        <v>0</v>
      </c>
      <c r="U74" s="40">
        <v>0</v>
      </c>
      <c r="V74" s="40">
        <v>0</v>
      </c>
      <c r="W74" s="40">
        <v>0</v>
      </c>
      <c r="X74" s="40">
        <v>0</v>
      </c>
      <c r="Y74" s="40">
        <v>0</v>
      </c>
      <c r="Z74" s="40">
        <v>0</v>
      </c>
      <c r="AA74" s="40">
        <v>0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  <c r="AI74" s="40">
        <v>0</v>
      </c>
      <c r="AJ74" s="40">
        <v>0</v>
      </c>
      <c r="AK74" s="40">
        <v>0</v>
      </c>
      <c r="AL74" s="40">
        <v>0</v>
      </c>
      <c r="AM74" s="40">
        <v>0</v>
      </c>
      <c r="AN74" s="40">
        <v>0</v>
      </c>
      <c r="AO74" s="40">
        <v>0</v>
      </c>
      <c r="AP74" s="40">
        <v>0</v>
      </c>
      <c r="AQ74" s="40">
        <v>0</v>
      </c>
      <c r="AR74" s="40">
        <v>0</v>
      </c>
      <c r="AS74" s="40">
        <v>0</v>
      </c>
      <c r="AT74" s="40">
        <v>0</v>
      </c>
      <c r="AU74" s="40">
        <v>0</v>
      </c>
      <c r="AV74" s="40">
        <v>0</v>
      </c>
      <c r="AW74" s="40">
        <v>0</v>
      </c>
      <c r="AX74" s="40">
        <v>0</v>
      </c>
      <c r="AY74" s="40">
        <v>0</v>
      </c>
      <c r="AZ74" s="40">
        <v>0</v>
      </c>
      <c r="BA74" s="40">
        <v>0</v>
      </c>
      <c r="BB74" s="40">
        <v>0</v>
      </c>
      <c r="BC74" s="40">
        <v>0</v>
      </c>
      <c r="BD74" s="40">
        <v>0</v>
      </c>
      <c r="BE74" s="40">
        <v>0</v>
      </c>
      <c r="BF74" s="40">
        <v>0</v>
      </c>
      <c r="BG74" s="40">
        <v>0</v>
      </c>
      <c r="BH74" s="40">
        <v>0</v>
      </c>
      <c r="BI74" s="40">
        <v>0</v>
      </c>
      <c r="BJ74" s="40">
        <v>0</v>
      </c>
      <c r="BK74" s="40">
        <v>0</v>
      </c>
      <c r="BL74" s="40">
        <v>0</v>
      </c>
      <c r="BM74" s="40">
        <v>0</v>
      </c>
      <c r="BN74" s="40">
        <v>0</v>
      </c>
      <c r="BO74" s="40">
        <v>0</v>
      </c>
      <c r="BP74" s="40">
        <v>0</v>
      </c>
      <c r="BQ74" s="40">
        <v>0</v>
      </c>
      <c r="BR74" s="40">
        <v>0</v>
      </c>
      <c r="BS74" s="40">
        <v>0</v>
      </c>
      <c r="BT74" s="40">
        <v>0</v>
      </c>
      <c r="BU74" s="40">
        <v>0</v>
      </c>
      <c r="BV74" s="40">
        <v>0</v>
      </c>
      <c r="BW74" s="40">
        <v>0</v>
      </c>
      <c r="BX74" s="40">
        <v>0</v>
      </c>
      <c r="BY74" s="40">
        <v>0</v>
      </c>
      <c r="BZ74" s="40">
        <v>0</v>
      </c>
      <c r="CA74" s="40">
        <v>0</v>
      </c>
      <c r="CB74" s="40">
        <v>0</v>
      </c>
      <c r="CC74" s="40">
        <v>0</v>
      </c>
      <c r="CD74" s="40">
        <v>0</v>
      </c>
      <c r="CE74" s="40">
        <v>0</v>
      </c>
      <c r="CF74" s="41"/>
      <c r="CG74" s="41"/>
      <c r="CH74" s="42"/>
    </row>
    <row r="75" spans="1:86" ht="22.5">
      <c r="A75" s="38">
        <v>69</v>
      </c>
      <c r="B75" s="65"/>
      <c r="C75" s="39" t="s">
        <v>9</v>
      </c>
      <c r="D75" s="40">
        <v>0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40">
        <v>0</v>
      </c>
      <c r="S75" s="40">
        <v>0</v>
      </c>
      <c r="T75" s="40">
        <v>0</v>
      </c>
      <c r="U75" s="40">
        <v>0</v>
      </c>
      <c r="V75" s="40">
        <v>0</v>
      </c>
      <c r="W75" s="40">
        <v>0</v>
      </c>
      <c r="X75" s="40">
        <v>0</v>
      </c>
      <c r="Y75" s="40">
        <v>0</v>
      </c>
      <c r="Z75" s="40">
        <v>0</v>
      </c>
      <c r="AA75" s="40">
        <v>0</v>
      </c>
      <c r="AB75" s="40">
        <v>0</v>
      </c>
      <c r="AC75" s="40">
        <v>0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  <c r="AI75" s="40">
        <v>0</v>
      </c>
      <c r="AJ75" s="40">
        <v>0</v>
      </c>
      <c r="AK75" s="40">
        <v>0</v>
      </c>
      <c r="AL75" s="40">
        <v>0</v>
      </c>
      <c r="AM75" s="40">
        <v>0</v>
      </c>
      <c r="AN75" s="40">
        <v>0</v>
      </c>
      <c r="AO75" s="40">
        <v>0</v>
      </c>
      <c r="AP75" s="40">
        <v>0</v>
      </c>
      <c r="AQ75" s="40">
        <v>0</v>
      </c>
      <c r="AR75" s="40">
        <v>0</v>
      </c>
      <c r="AS75" s="40">
        <v>0</v>
      </c>
      <c r="AT75" s="40">
        <v>0</v>
      </c>
      <c r="AU75" s="40">
        <v>0</v>
      </c>
      <c r="AV75" s="40">
        <v>0</v>
      </c>
      <c r="AW75" s="40">
        <v>0</v>
      </c>
      <c r="AX75" s="40">
        <v>0</v>
      </c>
      <c r="AY75" s="40">
        <v>0</v>
      </c>
      <c r="AZ75" s="40">
        <v>0</v>
      </c>
      <c r="BA75" s="40">
        <v>0</v>
      </c>
      <c r="BB75" s="40">
        <v>0</v>
      </c>
      <c r="BC75" s="40">
        <v>0</v>
      </c>
      <c r="BD75" s="40">
        <v>0</v>
      </c>
      <c r="BE75" s="40">
        <v>0</v>
      </c>
      <c r="BF75" s="40">
        <v>0</v>
      </c>
      <c r="BG75" s="40">
        <v>0</v>
      </c>
      <c r="BH75" s="40">
        <v>0</v>
      </c>
      <c r="BI75" s="40">
        <v>0</v>
      </c>
      <c r="BJ75" s="40">
        <v>0</v>
      </c>
      <c r="BK75" s="40">
        <v>0</v>
      </c>
      <c r="BL75" s="40">
        <v>0</v>
      </c>
      <c r="BM75" s="40">
        <v>0</v>
      </c>
      <c r="BN75" s="40">
        <v>0</v>
      </c>
      <c r="BO75" s="40">
        <v>0</v>
      </c>
      <c r="BP75" s="40">
        <v>0</v>
      </c>
      <c r="BQ75" s="40">
        <v>0</v>
      </c>
      <c r="BR75" s="40">
        <v>0</v>
      </c>
      <c r="BS75" s="40">
        <v>0</v>
      </c>
      <c r="BT75" s="40">
        <v>0</v>
      </c>
      <c r="BU75" s="40">
        <v>0</v>
      </c>
      <c r="BV75" s="40">
        <v>0</v>
      </c>
      <c r="BW75" s="40">
        <v>0</v>
      </c>
      <c r="BX75" s="40">
        <v>0</v>
      </c>
      <c r="BY75" s="40">
        <v>0</v>
      </c>
      <c r="BZ75" s="40">
        <v>0</v>
      </c>
      <c r="CA75" s="40">
        <v>0</v>
      </c>
      <c r="CB75" s="40">
        <v>0</v>
      </c>
      <c r="CC75" s="40">
        <v>0</v>
      </c>
      <c r="CD75" s="40">
        <v>0</v>
      </c>
      <c r="CE75" s="40">
        <v>0</v>
      </c>
      <c r="CF75" s="41"/>
      <c r="CG75" s="41"/>
      <c r="CH75" s="42"/>
    </row>
    <row r="76" spans="1:86" ht="22.5">
      <c r="A76" s="38">
        <v>70</v>
      </c>
      <c r="B76" s="65"/>
      <c r="C76" s="39" t="s">
        <v>8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40">
        <v>0</v>
      </c>
      <c r="AJ76" s="40">
        <v>0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0</v>
      </c>
      <c r="AQ76" s="40">
        <v>0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40">
        <v>0</v>
      </c>
      <c r="BH76" s="40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  <c r="BO76" s="40">
        <v>0</v>
      </c>
      <c r="BP76" s="40">
        <v>0</v>
      </c>
      <c r="BQ76" s="40">
        <v>0</v>
      </c>
      <c r="BR76" s="40">
        <v>0</v>
      </c>
      <c r="BS76" s="40">
        <v>0</v>
      </c>
      <c r="BT76" s="40">
        <v>0</v>
      </c>
      <c r="BU76" s="40">
        <v>0</v>
      </c>
      <c r="BV76" s="40">
        <v>0</v>
      </c>
      <c r="BW76" s="40">
        <v>0</v>
      </c>
      <c r="BX76" s="40">
        <v>0</v>
      </c>
      <c r="BY76" s="40">
        <v>0</v>
      </c>
      <c r="BZ76" s="40">
        <v>0</v>
      </c>
      <c r="CA76" s="40">
        <v>0</v>
      </c>
      <c r="CB76" s="40">
        <v>0</v>
      </c>
      <c r="CC76" s="40">
        <v>0</v>
      </c>
      <c r="CD76" s="40">
        <v>0</v>
      </c>
      <c r="CE76" s="40">
        <v>0</v>
      </c>
      <c r="CF76" s="41"/>
      <c r="CG76" s="41"/>
      <c r="CH76" s="42"/>
    </row>
    <row r="77" spans="1:86">
      <c r="A77" s="43">
        <v>71</v>
      </c>
      <c r="B77" s="66"/>
      <c r="C77" s="59" t="s">
        <v>7</v>
      </c>
      <c r="D77" s="47">
        <v>472857604</v>
      </c>
      <c r="E77" s="47">
        <v>522972</v>
      </c>
      <c r="F77" s="47">
        <v>5965060</v>
      </c>
      <c r="G77" s="47">
        <v>77977301</v>
      </c>
      <c r="H77" s="47">
        <v>865251154</v>
      </c>
      <c r="I77" s="47">
        <v>21182860</v>
      </c>
      <c r="J77" s="47">
        <v>101141008</v>
      </c>
      <c r="K77" s="47">
        <v>498491332</v>
      </c>
      <c r="L77" s="47">
        <v>30877982</v>
      </c>
      <c r="M77" s="47">
        <v>52684851</v>
      </c>
      <c r="N77" s="47">
        <v>529831298</v>
      </c>
      <c r="O77" s="47">
        <v>36197807</v>
      </c>
      <c r="P77" s="47">
        <v>12763077</v>
      </c>
      <c r="Q77" s="47">
        <v>27228340</v>
      </c>
      <c r="R77" s="47">
        <v>3785272</v>
      </c>
      <c r="S77" s="47">
        <v>11081482</v>
      </c>
      <c r="T77" s="47">
        <v>37844262</v>
      </c>
      <c r="U77" s="47">
        <v>19112710</v>
      </c>
      <c r="V77" s="47">
        <v>24865095</v>
      </c>
      <c r="W77" s="47">
        <v>113359711</v>
      </c>
      <c r="X77" s="47">
        <v>169595482</v>
      </c>
      <c r="Y77" s="47">
        <v>53132278</v>
      </c>
      <c r="Z77" s="47">
        <v>192395099</v>
      </c>
      <c r="AA77" s="47">
        <v>192092092</v>
      </c>
      <c r="AB77" s="47">
        <v>72598534</v>
      </c>
      <c r="AC77" s="47">
        <v>9557145</v>
      </c>
      <c r="AD77" s="47">
        <v>19253683</v>
      </c>
      <c r="AE77" s="47">
        <v>323701652</v>
      </c>
      <c r="AF77" s="47">
        <v>570750</v>
      </c>
      <c r="AG77" s="47">
        <v>43437322</v>
      </c>
      <c r="AH77" s="47">
        <v>7784148</v>
      </c>
      <c r="AI77" s="47">
        <v>12698852</v>
      </c>
      <c r="AJ77" s="47">
        <v>73904811</v>
      </c>
      <c r="AK77" s="47">
        <v>579532194</v>
      </c>
      <c r="AL77" s="47">
        <v>84083813</v>
      </c>
      <c r="AM77" s="47">
        <v>32932043</v>
      </c>
      <c r="AN77" s="47">
        <v>5027523</v>
      </c>
      <c r="AO77" s="47">
        <v>61674687</v>
      </c>
      <c r="AP77" s="47">
        <v>150560776</v>
      </c>
      <c r="AQ77" s="47">
        <v>80867297</v>
      </c>
      <c r="AR77" s="47">
        <v>39525793</v>
      </c>
      <c r="AS77" s="47">
        <v>28574506</v>
      </c>
      <c r="AT77" s="47">
        <v>1370241821</v>
      </c>
      <c r="AU77" s="47">
        <v>511276214</v>
      </c>
      <c r="AV77" s="47">
        <v>748956184</v>
      </c>
      <c r="AW77" s="47">
        <v>378097879</v>
      </c>
      <c r="AX77" s="47">
        <v>704676011</v>
      </c>
      <c r="AY77" s="47">
        <v>9060643</v>
      </c>
      <c r="AZ77" s="47">
        <v>96650018</v>
      </c>
      <c r="BA77" s="47">
        <v>202483452</v>
      </c>
      <c r="BB77" s="47">
        <v>11980537</v>
      </c>
      <c r="BC77" s="47">
        <v>72646010</v>
      </c>
      <c r="BD77" s="47">
        <v>143156473</v>
      </c>
      <c r="BE77" s="47">
        <v>175004786</v>
      </c>
      <c r="BF77" s="47">
        <v>174234288</v>
      </c>
      <c r="BG77" s="47">
        <v>245942170</v>
      </c>
      <c r="BH77" s="47">
        <v>62687183</v>
      </c>
      <c r="BI77" s="47">
        <v>41172338</v>
      </c>
      <c r="BJ77" s="47">
        <v>319794864</v>
      </c>
      <c r="BK77" s="47">
        <v>437797916</v>
      </c>
      <c r="BL77" s="47">
        <v>248940098</v>
      </c>
      <c r="BM77" s="47">
        <v>632625599</v>
      </c>
      <c r="BN77" s="47">
        <v>365452940</v>
      </c>
      <c r="BO77" s="47">
        <v>774377549</v>
      </c>
      <c r="BP77" s="47">
        <v>12062107</v>
      </c>
      <c r="BQ77" s="47">
        <v>165583967</v>
      </c>
      <c r="BR77" s="47">
        <v>93934746</v>
      </c>
      <c r="BS77" s="44">
        <v>0</v>
      </c>
      <c r="BT77" s="47">
        <v>13175357451</v>
      </c>
      <c r="BU77" s="47">
        <v>11519827379</v>
      </c>
      <c r="BV77" s="44">
        <v>0</v>
      </c>
      <c r="BW77" s="44">
        <v>0</v>
      </c>
      <c r="BX77" s="47">
        <v>11519827379</v>
      </c>
      <c r="BY77" s="47">
        <v>8111812498</v>
      </c>
      <c r="BZ77" s="47">
        <v>2382321761</v>
      </c>
      <c r="CA77" s="44">
        <v>0</v>
      </c>
      <c r="CB77" s="47">
        <v>10494134259</v>
      </c>
      <c r="CC77" s="44">
        <v>0</v>
      </c>
      <c r="CD77" s="47">
        <v>22013961638</v>
      </c>
      <c r="CE77" s="47">
        <v>35189319089</v>
      </c>
      <c r="CF77" s="41"/>
      <c r="CG77" s="41"/>
      <c r="CH77" s="42"/>
    </row>
    <row r="78" spans="1:86"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</row>
  </sheetData>
  <mergeCells count="1">
    <mergeCell ref="A2:K2"/>
  </mergeCells>
  <pageMargins left="0.78740157480314965" right="0.39370078740157483" top="0.39370078740157483" bottom="0.39370078740157483" header="0.11811023622047245" footer="0.11811023622047245"/>
  <pageSetup paperSize="9" firstPageNumber="403" orientation="landscape" useFirstPageNumber="1" r:id="rId1"/>
  <headerFooter>
    <oddFooter>&amp;R&amp;P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H77"/>
  <sheetViews>
    <sheetView workbookViewId="0">
      <pane xSplit="4" ySplit="7" topLeftCell="E8" activePane="bottomRight" state="frozen"/>
      <selection pane="topRight" activeCell="E1" sqref="E1"/>
      <selection pane="bottomLeft" activeCell="A9" sqref="A9"/>
      <selection pane="bottomRight" activeCell="H27" sqref="H27"/>
    </sheetView>
  </sheetViews>
  <sheetFormatPr defaultColWidth="8" defaultRowHeight="11.25"/>
  <cols>
    <col min="1" max="1" width="3.28515625" style="24" customWidth="1"/>
    <col min="2" max="2" width="8.28515625" style="62" customWidth="1"/>
    <col min="3" max="3" width="33.85546875" style="27" customWidth="1"/>
    <col min="4" max="4" width="13.85546875" style="24" customWidth="1"/>
    <col min="5" max="5" width="12" style="24" bestFit="1" customWidth="1"/>
    <col min="6" max="6" width="11.28515625" style="24" bestFit="1" customWidth="1"/>
    <col min="7" max="7" width="11" style="24" bestFit="1" customWidth="1"/>
    <col min="8" max="8" width="12.5703125" style="24" bestFit="1" customWidth="1"/>
    <col min="9" max="9" width="11.7109375" style="24" bestFit="1" customWidth="1"/>
    <col min="10" max="11" width="14.140625" style="24" bestFit="1" customWidth="1"/>
    <col min="12" max="12" width="11.85546875" style="24" bestFit="1" customWidth="1"/>
    <col min="13" max="13" width="11" style="24" bestFit="1" customWidth="1"/>
    <col min="14" max="15" width="10.85546875" style="24" bestFit="1" customWidth="1"/>
    <col min="16" max="16" width="12.140625" style="24" customWidth="1"/>
    <col min="17" max="17" width="12.85546875" style="24" customWidth="1"/>
    <col min="18" max="18" width="16.42578125" style="24" customWidth="1"/>
    <col min="19" max="19" width="14.140625" style="24" customWidth="1"/>
    <col min="20" max="24" width="14.28515625" style="24" customWidth="1"/>
    <col min="25" max="25" width="13.7109375" style="24" customWidth="1"/>
    <col min="26" max="26" width="14.28515625" style="24" customWidth="1"/>
    <col min="27" max="27" width="14" style="24" customWidth="1"/>
    <col min="28" max="28" width="12.5703125" style="24" bestFit="1" customWidth="1"/>
    <col min="29" max="29" width="11.28515625" style="24" bestFit="1" customWidth="1"/>
    <col min="30" max="30" width="12.5703125" style="24" customWidth="1"/>
    <col min="31" max="31" width="12.5703125" style="24" bestFit="1" customWidth="1"/>
    <col min="32" max="32" width="14.5703125" style="24" bestFit="1" customWidth="1"/>
    <col min="33" max="33" width="10.85546875" style="24" bestFit="1" customWidth="1"/>
    <col min="34" max="34" width="11.7109375" style="24" customWidth="1"/>
    <col min="35" max="35" width="14" style="24" customWidth="1"/>
    <col min="36" max="36" width="13.5703125" style="24" customWidth="1"/>
    <col min="37" max="37" width="15.5703125" style="24" bestFit="1" customWidth="1"/>
    <col min="38" max="38" width="14.28515625" style="24" customWidth="1"/>
    <col min="39" max="39" width="13.5703125" style="24" customWidth="1"/>
    <col min="40" max="40" width="14.28515625" style="24" customWidth="1"/>
    <col min="41" max="41" width="13.7109375" style="24" customWidth="1"/>
    <col min="42" max="42" width="12.5703125" style="24" bestFit="1" customWidth="1"/>
    <col min="43" max="43" width="15.28515625" style="24" bestFit="1" customWidth="1"/>
    <col min="44" max="44" width="10" style="24" bestFit="1" customWidth="1"/>
    <col min="45" max="45" width="11" style="24" bestFit="1" customWidth="1"/>
    <col min="46" max="46" width="14.28515625" style="24" bestFit="1" customWidth="1"/>
    <col min="47" max="47" width="11.42578125" style="24" customWidth="1"/>
    <col min="48" max="48" width="11" style="24" bestFit="1" customWidth="1"/>
    <col min="49" max="49" width="13.5703125" style="24" customWidth="1"/>
    <col min="50" max="50" width="12.42578125" style="24" customWidth="1"/>
    <col min="51" max="51" width="11.28515625" style="24" customWidth="1"/>
    <col min="52" max="52" width="11.5703125" style="24" customWidth="1"/>
    <col min="53" max="53" width="15.140625" style="24" customWidth="1"/>
    <col min="54" max="54" width="13.42578125" style="24" customWidth="1"/>
    <col min="55" max="55" width="11.28515625" style="24" bestFit="1" customWidth="1"/>
    <col min="56" max="56" width="12.5703125" style="24" bestFit="1" customWidth="1"/>
    <col min="57" max="57" width="13.5703125" style="24" customWidth="1"/>
    <col min="58" max="58" width="17" style="24" bestFit="1" customWidth="1"/>
    <col min="59" max="64" width="13.7109375" style="24" customWidth="1"/>
    <col min="65" max="65" width="16.42578125" style="24" bestFit="1" customWidth="1"/>
    <col min="66" max="66" width="12.5703125" style="24" customWidth="1"/>
    <col min="67" max="67" width="12.7109375" style="24" customWidth="1"/>
    <col min="68" max="68" width="16.28515625" style="24" customWidth="1"/>
    <col min="69" max="69" width="14" style="24" customWidth="1"/>
    <col min="70" max="70" width="11.85546875" style="24" customWidth="1"/>
    <col min="71" max="72" width="15.28515625" style="24" customWidth="1"/>
    <col min="73" max="73" width="16.42578125" style="24" customWidth="1"/>
    <col min="74" max="74" width="16.28515625" style="24" customWidth="1"/>
    <col min="75" max="75" width="15.140625" style="24" customWidth="1"/>
    <col min="76" max="76" width="15.28515625" style="25" customWidth="1"/>
    <col min="77" max="77" width="15.28515625" style="24" customWidth="1"/>
    <col min="78" max="78" width="14.42578125" style="25" customWidth="1"/>
    <col min="79" max="79" width="13.5703125" style="24" customWidth="1"/>
    <col min="80" max="82" width="14.28515625" style="24" customWidth="1"/>
    <col min="83" max="83" width="13.140625" style="24" customWidth="1"/>
    <col min="84" max="84" width="8" style="24"/>
    <col min="85" max="85" width="9.5703125" style="24" bestFit="1" customWidth="1"/>
    <col min="86" max="16384" width="8" style="24"/>
  </cols>
  <sheetData>
    <row r="2" spans="1:86" ht="12.75">
      <c r="A2" s="122" t="s">
        <v>127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</row>
    <row r="3" spans="1:86">
      <c r="A3" s="26" t="s">
        <v>112</v>
      </c>
      <c r="D3" s="28"/>
      <c r="E3" s="28"/>
      <c r="F3" s="28"/>
      <c r="G3" s="28"/>
      <c r="H3" s="28"/>
      <c r="I3" s="28"/>
      <c r="J3" s="28"/>
      <c r="L3" s="28"/>
      <c r="M3" s="28"/>
      <c r="N3" s="28"/>
      <c r="O3" s="28"/>
      <c r="P3" s="28"/>
      <c r="Q3" s="28"/>
      <c r="R3" s="28"/>
      <c r="S3" s="29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9"/>
      <c r="BN3" s="28"/>
      <c r="BO3" s="28"/>
      <c r="BP3" s="28"/>
      <c r="BQ3" s="28"/>
      <c r="BR3" s="28"/>
      <c r="BS3" s="28"/>
      <c r="BT3" s="28"/>
      <c r="BU3" s="29"/>
      <c r="BV3" s="28"/>
      <c r="BW3" s="28"/>
      <c r="BX3" s="28"/>
      <c r="BY3" s="29"/>
      <c r="BZ3" s="28"/>
      <c r="CA3" s="28"/>
      <c r="CB3" s="28"/>
      <c r="CC3" s="28"/>
      <c r="CD3" s="28"/>
      <c r="CE3" s="28"/>
      <c r="CG3" s="25"/>
    </row>
    <row r="4" spans="1:86" ht="93" customHeight="1">
      <c r="A4" s="30"/>
      <c r="B4" s="63"/>
      <c r="C4" s="31"/>
      <c r="D4" s="32" t="s">
        <v>189</v>
      </c>
      <c r="E4" s="33" t="s">
        <v>134</v>
      </c>
      <c r="F4" s="33" t="s">
        <v>89</v>
      </c>
      <c r="G4" s="33" t="s">
        <v>87</v>
      </c>
      <c r="H4" s="33" t="s">
        <v>187</v>
      </c>
      <c r="I4" s="33" t="s">
        <v>185</v>
      </c>
      <c r="J4" s="33" t="s">
        <v>183</v>
      </c>
      <c r="K4" s="33" t="s">
        <v>181</v>
      </c>
      <c r="L4" s="33" t="s">
        <v>180</v>
      </c>
      <c r="M4" s="33" t="s">
        <v>85</v>
      </c>
      <c r="N4" s="33" t="s">
        <v>178</v>
      </c>
      <c r="O4" s="33" t="s">
        <v>83</v>
      </c>
      <c r="P4" s="33" t="s">
        <v>177</v>
      </c>
      <c r="Q4" s="33" t="s">
        <v>82</v>
      </c>
      <c r="R4" s="33" t="s">
        <v>80</v>
      </c>
      <c r="S4" s="33" t="s">
        <v>78</v>
      </c>
      <c r="T4" s="33" t="s">
        <v>76</v>
      </c>
      <c r="U4" s="33" t="s">
        <v>74</v>
      </c>
      <c r="V4" s="33" t="s">
        <v>72</v>
      </c>
      <c r="W4" s="33" t="s">
        <v>70</v>
      </c>
      <c r="X4" s="33" t="s">
        <v>176</v>
      </c>
      <c r="Y4" s="33" t="s">
        <v>68</v>
      </c>
      <c r="Z4" s="33" t="s">
        <v>175</v>
      </c>
      <c r="AA4" s="33" t="s">
        <v>67</v>
      </c>
      <c r="AB4" s="33" t="s">
        <v>173</v>
      </c>
      <c r="AC4" s="33" t="s">
        <v>171</v>
      </c>
      <c r="AD4" s="33" t="s">
        <v>169</v>
      </c>
      <c r="AE4" s="33" t="s">
        <v>167</v>
      </c>
      <c r="AF4" s="33" t="s">
        <v>165</v>
      </c>
      <c r="AG4" s="33" t="s">
        <v>65</v>
      </c>
      <c r="AH4" s="33" t="s">
        <v>135</v>
      </c>
      <c r="AI4" s="33" t="s">
        <v>164</v>
      </c>
      <c r="AJ4" s="33" t="s">
        <v>163</v>
      </c>
      <c r="AK4" s="33" t="s">
        <v>62</v>
      </c>
      <c r="AL4" s="33" t="s">
        <v>60</v>
      </c>
      <c r="AM4" s="33" t="s">
        <v>58</v>
      </c>
      <c r="AN4" s="33" t="s">
        <v>56</v>
      </c>
      <c r="AO4" s="33" t="s">
        <v>136</v>
      </c>
      <c r="AP4" s="33" t="s">
        <v>53</v>
      </c>
      <c r="AQ4" s="33" t="s">
        <v>51</v>
      </c>
      <c r="AR4" s="33" t="s">
        <v>49</v>
      </c>
      <c r="AS4" s="33" t="s">
        <v>162</v>
      </c>
      <c r="AT4" s="33" t="s">
        <v>47</v>
      </c>
      <c r="AU4" s="33" t="s">
        <v>137</v>
      </c>
      <c r="AV4" s="33" t="s">
        <v>44</v>
      </c>
      <c r="AW4" s="33" t="s">
        <v>42</v>
      </c>
      <c r="AX4" s="33" t="s">
        <v>40</v>
      </c>
      <c r="AY4" s="33" t="s">
        <v>38</v>
      </c>
      <c r="AZ4" s="33" t="s">
        <v>36</v>
      </c>
      <c r="BA4" s="33" t="s">
        <v>34</v>
      </c>
      <c r="BB4" s="33" t="s">
        <v>32</v>
      </c>
      <c r="BC4" s="33" t="s">
        <v>30</v>
      </c>
      <c r="BD4" s="33" t="s">
        <v>28</v>
      </c>
      <c r="BE4" s="33" t="s">
        <v>161</v>
      </c>
      <c r="BF4" s="33" t="s">
        <v>26</v>
      </c>
      <c r="BG4" s="33" t="s">
        <v>24</v>
      </c>
      <c r="BH4" s="33" t="s">
        <v>138</v>
      </c>
      <c r="BI4" s="33" t="s">
        <v>139</v>
      </c>
      <c r="BJ4" s="33" t="s">
        <v>20</v>
      </c>
      <c r="BK4" s="33" t="s">
        <v>159</v>
      </c>
      <c r="BL4" s="33" t="s">
        <v>157</v>
      </c>
      <c r="BM4" s="33" t="s">
        <v>18</v>
      </c>
      <c r="BN4" s="33" t="s">
        <v>16</v>
      </c>
      <c r="BO4" s="33" t="s">
        <v>14</v>
      </c>
      <c r="BP4" s="33" t="s">
        <v>12</v>
      </c>
      <c r="BQ4" s="33" t="s">
        <v>156</v>
      </c>
      <c r="BR4" s="33" t="s">
        <v>155</v>
      </c>
      <c r="BS4" s="33" t="s">
        <v>10</v>
      </c>
      <c r="BT4" s="33" t="s">
        <v>123</v>
      </c>
      <c r="BU4" s="33" t="s">
        <v>122</v>
      </c>
      <c r="BV4" s="33" t="s">
        <v>193</v>
      </c>
      <c r="BW4" s="33" t="s">
        <v>121</v>
      </c>
      <c r="BX4" s="34" t="s">
        <v>120</v>
      </c>
      <c r="BY4" s="33" t="s">
        <v>119</v>
      </c>
      <c r="BZ4" s="35" t="s">
        <v>118</v>
      </c>
      <c r="CA4" s="35" t="s">
        <v>117</v>
      </c>
      <c r="CB4" s="35" t="s">
        <v>116</v>
      </c>
      <c r="CC4" s="35" t="s">
        <v>115</v>
      </c>
      <c r="CD4" s="35" t="s">
        <v>114</v>
      </c>
      <c r="CE4" s="35" t="s">
        <v>113</v>
      </c>
    </row>
    <row r="5" spans="1:86" s="25" customFormat="1" ht="14.25" customHeight="1">
      <c r="A5" s="36"/>
      <c r="B5" s="64" t="s">
        <v>148</v>
      </c>
      <c r="C5" s="37"/>
      <c r="D5" s="32" t="s">
        <v>103</v>
      </c>
      <c r="E5" s="33" t="s">
        <v>91</v>
      </c>
      <c r="F5" s="33" t="s">
        <v>90</v>
      </c>
      <c r="G5" s="33" t="s">
        <v>88</v>
      </c>
      <c r="H5" s="33" t="s">
        <v>188</v>
      </c>
      <c r="I5" s="33" t="s">
        <v>186</v>
      </c>
      <c r="J5" s="33" t="s">
        <v>184</v>
      </c>
      <c r="K5" s="33" t="s">
        <v>182</v>
      </c>
      <c r="L5" s="33" t="s">
        <v>102</v>
      </c>
      <c r="M5" s="33" t="s">
        <v>86</v>
      </c>
      <c r="N5" s="33" t="s">
        <v>179</v>
      </c>
      <c r="O5" s="33" t="s">
        <v>84</v>
      </c>
      <c r="P5" s="33" t="s">
        <v>101</v>
      </c>
      <c r="Q5" s="33" t="s">
        <v>100</v>
      </c>
      <c r="R5" s="33" t="s">
        <v>81</v>
      </c>
      <c r="S5" s="33" t="s">
        <v>79</v>
      </c>
      <c r="T5" s="33" t="s">
        <v>77</v>
      </c>
      <c r="U5" s="33" t="s">
        <v>75</v>
      </c>
      <c r="V5" s="33" t="s">
        <v>73</v>
      </c>
      <c r="W5" s="33" t="s">
        <v>71</v>
      </c>
      <c r="X5" s="33" t="s">
        <v>99</v>
      </c>
      <c r="Y5" s="33" t="s">
        <v>69</v>
      </c>
      <c r="Z5" s="33" t="s">
        <v>98</v>
      </c>
      <c r="AA5" s="33" t="s">
        <v>97</v>
      </c>
      <c r="AB5" s="33">
        <v>241</v>
      </c>
      <c r="AC5" s="33">
        <v>242</v>
      </c>
      <c r="AD5" s="33">
        <v>243</v>
      </c>
      <c r="AE5" s="33">
        <v>244</v>
      </c>
      <c r="AF5" s="33">
        <v>245</v>
      </c>
      <c r="AG5" s="33" t="s">
        <v>66</v>
      </c>
      <c r="AH5" s="33" t="s">
        <v>64</v>
      </c>
      <c r="AI5" s="33" t="s">
        <v>96</v>
      </c>
      <c r="AJ5" s="33" t="s">
        <v>95</v>
      </c>
      <c r="AK5" s="33" t="s">
        <v>63</v>
      </c>
      <c r="AL5" s="33" t="s">
        <v>61</v>
      </c>
      <c r="AM5" s="33" t="s">
        <v>59</v>
      </c>
      <c r="AN5" s="33" t="s">
        <v>57</v>
      </c>
      <c r="AO5" s="33" t="s">
        <v>55</v>
      </c>
      <c r="AP5" s="33">
        <v>351</v>
      </c>
      <c r="AQ5" s="33">
        <v>352</v>
      </c>
      <c r="AR5" s="33">
        <v>353</v>
      </c>
      <c r="AS5" s="33" t="s">
        <v>94</v>
      </c>
      <c r="AT5" s="33" t="s">
        <v>48</v>
      </c>
      <c r="AU5" s="33" t="s">
        <v>46</v>
      </c>
      <c r="AV5" s="33" t="s">
        <v>45</v>
      </c>
      <c r="AW5" s="33" t="s">
        <v>43</v>
      </c>
      <c r="AX5" s="33" t="s">
        <v>41</v>
      </c>
      <c r="AY5" s="33" t="s">
        <v>39</v>
      </c>
      <c r="AZ5" s="33" t="s">
        <v>37</v>
      </c>
      <c r="BA5" s="33" t="s">
        <v>35</v>
      </c>
      <c r="BB5" s="33" t="s">
        <v>33</v>
      </c>
      <c r="BC5" s="33" t="s">
        <v>31</v>
      </c>
      <c r="BD5" s="33" t="s">
        <v>29</v>
      </c>
      <c r="BE5" s="33" t="s">
        <v>198</v>
      </c>
      <c r="BF5" s="33" t="s">
        <v>27</v>
      </c>
      <c r="BG5" s="33" t="s">
        <v>25</v>
      </c>
      <c r="BH5" s="33" t="s">
        <v>23</v>
      </c>
      <c r="BI5" s="33" t="s">
        <v>22</v>
      </c>
      <c r="BJ5" s="33" t="s">
        <v>21</v>
      </c>
      <c r="BK5" s="33" t="s">
        <v>160</v>
      </c>
      <c r="BL5" s="33" t="s">
        <v>158</v>
      </c>
      <c r="BM5" s="33" t="s">
        <v>19</v>
      </c>
      <c r="BN5" s="33" t="s">
        <v>17</v>
      </c>
      <c r="BO5" s="33" t="s">
        <v>15</v>
      </c>
      <c r="BP5" s="33" t="s">
        <v>13</v>
      </c>
      <c r="BQ5" s="33" t="s">
        <v>93</v>
      </c>
      <c r="BR5" s="33" t="s">
        <v>92</v>
      </c>
      <c r="BS5" s="33" t="s">
        <v>11</v>
      </c>
      <c r="BT5" s="33"/>
      <c r="BU5" s="33"/>
      <c r="BV5" s="33"/>
      <c r="BW5" s="33"/>
      <c r="BX5" s="34"/>
      <c r="BY5" s="33"/>
      <c r="BZ5" s="35"/>
      <c r="CA5" s="35"/>
      <c r="CB5" s="35"/>
      <c r="CC5" s="35"/>
      <c r="CD5" s="35"/>
      <c r="CE5" s="35"/>
    </row>
    <row r="6" spans="1:86" ht="11.25" customHeight="1">
      <c r="A6" s="30" t="s">
        <v>147</v>
      </c>
      <c r="B6" s="63"/>
      <c r="C6" s="30"/>
      <c r="D6" s="35">
        <v>1</v>
      </c>
      <c r="E6" s="35">
        <v>2</v>
      </c>
      <c r="F6" s="35">
        <v>3</v>
      </c>
      <c r="G6" s="35">
        <v>4</v>
      </c>
      <c r="H6" s="35">
        <v>5</v>
      </c>
      <c r="I6" s="35">
        <v>6</v>
      </c>
      <c r="J6" s="35">
        <v>7</v>
      </c>
      <c r="K6" s="35">
        <v>8</v>
      </c>
      <c r="L6" s="35">
        <v>9</v>
      </c>
      <c r="M6" s="35">
        <v>10</v>
      </c>
      <c r="N6" s="35">
        <v>11</v>
      </c>
      <c r="O6" s="35">
        <v>12</v>
      </c>
      <c r="P6" s="35">
        <v>13</v>
      </c>
      <c r="Q6" s="35">
        <v>14</v>
      </c>
      <c r="R6" s="35">
        <v>15</v>
      </c>
      <c r="S6" s="35">
        <v>16</v>
      </c>
      <c r="T6" s="35">
        <v>17</v>
      </c>
      <c r="U6" s="35">
        <v>18</v>
      </c>
      <c r="V6" s="35">
        <v>19</v>
      </c>
      <c r="W6" s="35">
        <v>20</v>
      </c>
      <c r="X6" s="35">
        <v>21</v>
      </c>
      <c r="Y6" s="35">
        <v>22</v>
      </c>
      <c r="Z6" s="35">
        <v>23</v>
      </c>
      <c r="AA6" s="35">
        <v>24</v>
      </c>
      <c r="AB6" s="35">
        <v>25</v>
      </c>
      <c r="AC6" s="35">
        <v>26</v>
      </c>
      <c r="AD6" s="35">
        <v>27</v>
      </c>
      <c r="AE6" s="35">
        <v>28</v>
      </c>
      <c r="AF6" s="35">
        <v>29</v>
      </c>
      <c r="AG6" s="35">
        <v>30</v>
      </c>
      <c r="AH6" s="35">
        <v>31</v>
      </c>
      <c r="AI6" s="35">
        <v>32</v>
      </c>
      <c r="AJ6" s="35">
        <v>33</v>
      </c>
      <c r="AK6" s="35">
        <v>34</v>
      </c>
      <c r="AL6" s="35">
        <v>35</v>
      </c>
      <c r="AM6" s="35">
        <v>36</v>
      </c>
      <c r="AN6" s="35">
        <v>37</v>
      </c>
      <c r="AO6" s="35">
        <v>38</v>
      </c>
      <c r="AP6" s="35">
        <v>39</v>
      </c>
      <c r="AQ6" s="35">
        <v>40</v>
      </c>
      <c r="AR6" s="35">
        <v>41</v>
      </c>
      <c r="AS6" s="35">
        <v>42</v>
      </c>
      <c r="AT6" s="35">
        <v>43</v>
      </c>
      <c r="AU6" s="35">
        <v>44</v>
      </c>
      <c r="AV6" s="35">
        <v>45</v>
      </c>
      <c r="AW6" s="35">
        <v>46</v>
      </c>
      <c r="AX6" s="35">
        <v>47</v>
      </c>
      <c r="AY6" s="35">
        <v>48</v>
      </c>
      <c r="AZ6" s="35">
        <v>49</v>
      </c>
      <c r="BA6" s="35">
        <v>50</v>
      </c>
      <c r="BB6" s="35">
        <v>51</v>
      </c>
      <c r="BC6" s="35">
        <v>52</v>
      </c>
      <c r="BD6" s="35">
        <v>53</v>
      </c>
      <c r="BE6" s="35">
        <v>54</v>
      </c>
      <c r="BF6" s="35">
        <v>55</v>
      </c>
      <c r="BG6" s="35">
        <v>56</v>
      </c>
      <c r="BH6" s="35">
        <v>57</v>
      </c>
      <c r="BI6" s="35">
        <v>58</v>
      </c>
      <c r="BJ6" s="35">
        <v>59</v>
      </c>
      <c r="BK6" s="35">
        <v>60</v>
      </c>
      <c r="BL6" s="35">
        <v>61</v>
      </c>
      <c r="BM6" s="35">
        <v>62</v>
      </c>
      <c r="BN6" s="35">
        <v>63</v>
      </c>
      <c r="BO6" s="35">
        <v>64</v>
      </c>
      <c r="BP6" s="35">
        <v>65</v>
      </c>
      <c r="BQ6" s="35">
        <v>66</v>
      </c>
      <c r="BR6" s="35">
        <v>67</v>
      </c>
      <c r="BS6" s="35">
        <v>68</v>
      </c>
      <c r="BT6" s="35">
        <v>69</v>
      </c>
      <c r="BU6" s="35">
        <v>70</v>
      </c>
      <c r="BV6" s="35">
        <v>71</v>
      </c>
      <c r="BW6" s="35">
        <v>72</v>
      </c>
      <c r="BX6" s="35">
        <v>73</v>
      </c>
      <c r="BY6" s="35">
        <v>74</v>
      </c>
      <c r="BZ6" s="35">
        <v>75</v>
      </c>
      <c r="CA6" s="35">
        <v>76</v>
      </c>
      <c r="CB6" s="35">
        <v>77</v>
      </c>
      <c r="CC6" s="35">
        <v>78</v>
      </c>
      <c r="CD6" s="35">
        <v>79</v>
      </c>
      <c r="CE6" s="35">
        <v>80</v>
      </c>
    </row>
    <row r="7" spans="1:86" ht="11.25" customHeight="1">
      <c r="A7" s="38">
        <v>1</v>
      </c>
      <c r="B7" s="65" t="s">
        <v>103</v>
      </c>
      <c r="C7" s="39" t="s">
        <v>189</v>
      </c>
      <c r="D7" s="40">
        <v>1016677474</v>
      </c>
      <c r="E7" s="40">
        <v>224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1120829106</v>
      </c>
      <c r="O7" s="40">
        <v>12411493</v>
      </c>
      <c r="P7" s="40">
        <v>5673777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4235345</v>
      </c>
      <c r="Y7" s="40">
        <v>263</v>
      </c>
      <c r="Z7" s="40">
        <v>21768</v>
      </c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0</v>
      </c>
      <c r="AP7" s="40">
        <v>249</v>
      </c>
      <c r="AQ7" s="40">
        <v>0</v>
      </c>
      <c r="AR7" s="40">
        <v>0</v>
      </c>
      <c r="AS7" s="40">
        <v>101324</v>
      </c>
      <c r="AT7" s="40">
        <v>0</v>
      </c>
      <c r="AU7" s="40">
        <v>0</v>
      </c>
      <c r="AV7" s="40">
        <v>2134490</v>
      </c>
      <c r="AW7" s="40">
        <v>0</v>
      </c>
      <c r="AX7" s="40">
        <v>0</v>
      </c>
      <c r="AY7" s="40">
        <v>0</v>
      </c>
      <c r="AZ7" s="40">
        <v>0</v>
      </c>
      <c r="BA7" s="40">
        <v>0</v>
      </c>
      <c r="BB7" s="40">
        <v>0</v>
      </c>
      <c r="BC7" s="40">
        <v>4813014</v>
      </c>
      <c r="BD7" s="40">
        <v>306689052</v>
      </c>
      <c r="BE7" s="40">
        <v>0</v>
      </c>
      <c r="BF7" s="40">
        <v>0</v>
      </c>
      <c r="BG7" s="40">
        <v>0</v>
      </c>
      <c r="BH7" s="40">
        <v>0</v>
      </c>
      <c r="BI7" s="40">
        <v>0</v>
      </c>
      <c r="BJ7" s="40">
        <v>0</v>
      </c>
      <c r="BK7" s="40">
        <v>7341927</v>
      </c>
      <c r="BL7" s="40">
        <v>55396</v>
      </c>
      <c r="BM7" s="40">
        <v>6963605</v>
      </c>
      <c r="BN7" s="40">
        <v>42044718</v>
      </c>
      <c r="BO7" s="40">
        <v>25936481</v>
      </c>
      <c r="BP7" s="40">
        <v>651486</v>
      </c>
      <c r="BQ7" s="40">
        <v>1326683</v>
      </c>
      <c r="BR7" s="40">
        <v>0</v>
      </c>
      <c r="BS7" s="40">
        <v>0</v>
      </c>
      <c r="BT7" s="40">
        <v>2557907875</v>
      </c>
      <c r="BU7" s="40">
        <v>4071408698</v>
      </c>
      <c r="BV7" s="40">
        <v>0</v>
      </c>
      <c r="BW7" s="40">
        <v>0</v>
      </c>
      <c r="BX7" s="40">
        <v>4071408698</v>
      </c>
      <c r="BY7" s="40">
        <v>320586559</v>
      </c>
      <c r="BZ7" s="40">
        <v>1011521436</v>
      </c>
      <c r="CA7" s="40">
        <v>0</v>
      </c>
      <c r="CB7" s="40">
        <v>1332107995</v>
      </c>
      <c r="CC7" s="40">
        <v>851181816</v>
      </c>
      <c r="CD7" s="40">
        <v>6254698509</v>
      </c>
      <c r="CE7" s="40">
        <v>8812606384</v>
      </c>
      <c r="CF7" s="41"/>
      <c r="CG7" s="41"/>
      <c r="CH7" s="42"/>
    </row>
    <row r="8" spans="1:86" ht="22.5">
      <c r="A8" s="38">
        <v>2</v>
      </c>
      <c r="B8" s="65" t="s">
        <v>91</v>
      </c>
      <c r="C8" s="39" t="s">
        <v>134</v>
      </c>
      <c r="D8" s="40">
        <v>18771</v>
      </c>
      <c r="E8" s="40">
        <v>9143129</v>
      </c>
      <c r="F8" s="40">
        <v>0</v>
      </c>
      <c r="G8" s="40">
        <v>0</v>
      </c>
      <c r="H8" s="40">
        <v>8155</v>
      </c>
      <c r="I8" s="40">
        <v>385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11155836</v>
      </c>
      <c r="T8" s="40">
        <v>0</v>
      </c>
      <c r="U8" s="40">
        <v>0</v>
      </c>
      <c r="V8" s="40">
        <v>0</v>
      </c>
      <c r="W8" s="40">
        <v>0</v>
      </c>
      <c r="X8" s="40">
        <v>4347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0</v>
      </c>
      <c r="AP8" s="40">
        <v>0</v>
      </c>
      <c r="AQ8" s="40">
        <v>0</v>
      </c>
      <c r="AR8" s="40">
        <v>0</v>
      </c>
      <c r="AS8" s="40">
        <v>0</v>
      </c>
      <c r="AT8" s="40">
        <v>62243</v>
      </c>
      <c r="AU8" s="40">
        <v>0</v>
      </c>
      <c r="AV8" s="40">
        <v>0</v>
      </c>
      <c r="AW8" s="40">
        <v>0</v>
      </c>
      <c r="AX8" s="40">
        <v>0</v>
      </c>
      <c r="AY8" s="40">
        <v>0</v>
      </c>
      <c r="AZ8" s="40">
        <v>0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40">
        <v>0</v>
      </c>
      <c r="BG8" s="40">
        <v>0</v>
      </c>
      <c r="BH8" s="40">
        <v>0</v>
      </c>
      <c r="BI8" s="40">
        <v>0</v>
      </c>
      <c r="BJ8" s="40">
        <v>0</v>
      </c>
      <c r="BK8" s="40">
        <v>1066</v>
      </c>
      <c r="BL8" s="40">
        <v>669754</v>
      </c>
      <c r="BM8" s="40">
        <v>3420158</v>
      </c>
      <c r="BN8" s="40">
        <v>65911</v>
      </c>
      <c r="BO8" s="40">
        <v>0</v>
      </c>
      <c r="BP8" s="40">
        <v>35</v>
      </c>
      <c r="BQ8" s="40">
        <v>0</v>
      </c>
      <c r="BR8" s="40">
        <v>0</v>
      </c>
      <c r="BS8" s="40">
        <v>0</v>
      </c>
      <c r="BT8" s="40">
        <v>24549790</v>
      </c>
      <c r="BU8" s="40">
        <v>1524142</v>
      </c>
      <c r="BV8" s="40">
        <v>0</v>
      </c>
      <c r="BW8" s="40">
        <v>0</v>
      </c>
      <c r="BX8" s="40">
        <v>1524142</v>
      </c>
      <c r="BY8" s="40">
        <v>0</v>
      </c>
      <c r="BZ8" s="40">
        <v>-1909730</v>
      </c>
      <c r="CA8" s="40">
        <v>0</v>
      </c>
      <c r="CB8" s="40">
        <v>-1909730</v>
      </c>
      <c r="CC8" s="40">
        <v>2542999</v>
      </c>
      <c r="CD8" s="40">
        <v>2157411</v>
      </c>
      <c r="CE8" s="40">
        <v>26707201</v>
      </c>
      <c r="CF8" s="41"/>
      <c r="CG8" s="41"/>
      <c r="CH8" s="42"/>
    </row>
    <row r="9" spans="1:86" ht="33.75">
      <c r="A9" s="38">
        <v>3</v>
      </c>
      <c r="B9" s="65" t="s">
        <v>90</v>
      </c>
      <c r="C9" s="39" t="s">
        <v>89</v>
      </c>
      <c r="D9" s="40">
        <v>0</v>
      </c>
      <c r="E9" s="40">
        <v>0</v>
      </c>
      <c r="F9" s="40">
        <v>56662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6982198</v>
      </c>
      <c r="O9" s="40">
        <v>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0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0</v>
      </c>
      <c r="AV9" s="40">
        <v>0</v>
      </c>
      <c r="AW9" s="40">
        <v>0</v>
      </c>
      <c r="AX9" s="40">
        <v>0</v>
      </c>
      <c r="AY9" s="40">
        <v>0</v>
      </c>
      <c r="AZ9" s="40">
        <v>0</v>
      </c>
      <c r="BA9" s="40">
        <v>0</v>
      </c>
      <c r="BB9" s="40">
        <v>0</v>
      </c>
      <c r="BC9" s="40">
        <v>78142</v>
      </c>
      <c r="BD9" s="40">
        <v>9460693</v>
      </c>
      <c r="BE9" s="40">
        <v>0</v>
      </c>
      <c r="BF9" s="40">
        <v>0</v>
      </c>
      <c r="BG9" s="40">
        <v>0</v>
      </c>
      <c r="BH9" s="40">
        <v>0</v>
      </c>
      <c r="BI9" s="40">
        <v>0</v>
      </c>
      <c r="BJ9" s="40">
        <v>0</v>
      </c>
      <c r="BK9" s="40">
        <v>0</v>
      </c>
      <c r="BL9" s="40">
        <v>0</v>
      </c>
      <c r="BM9" s="40">
        <v>4296777</v>
      </c>
      <c r="BN9" s="40">
        <v>5792528</v>
      </c>
      <c r="BO9" s="40">
        <v>2546183</v>
      </c>
      <c r="BP9" s="40">
        <v>142856</v>
      </c>
      <c r="BQ9" s="40">
        <v>0</v>
      </c>
      <c r="BR9" s="40">
        <v>0</v>
      </c>
      <c r="BS9" s="40">
        <v>0</v>
      </c>
      <c r="BT9" s="40">
        <v>29356039</v>
      </c>
      <c r="BU9" s="40">
        <v>197210585</v>
      </c>
      <c r="BV9" s="40">
        <v>0</v>
      </c>
      <c r="BW9" s="40">
        <v>0</v>
      </c>
      <c r="BX9" s="40">
        <v>197210585</v>
      </c>
      <c r="BY9" s="40">
        <v>0</v>
      </c>
      <c r="BZ9" s="40">
        <v>0</v>
      </c>
      <c r="CA9" s="40">
        <v>0</v>
      </c>
      <c r="CB9" s="40">
        <v>0</v>
      </c>
      <c r="CC9" s="40">
        <v>1558776</v>
      </c>
      <c r="CD9" s="40">
        <v>198769361</v>
      </c>
      <c r="CE9" s="40">
        <v>228125400</v>
      </c>
      <c r="CF9" s="41"/>
      <c r="CG9" s="41"/>
      <c r="CH9" s="42"/>
    </row>
    <row r="10" spans="1:86">
      <c r="A10" s="38">
        <v>4</v>
      </c>
      <c r="B10" s="65" t="s">
        <v>88</v>
      </c>
      <c r="C10" s="39" t="s">
        <v>87</v>
      </c>
      <c r="D10" s="40">
        <v>955167</v>
      </c>
      <c r="E10" s="40">
        <v>0</v>
      </c>
      <c r="F10" s="40">
        <v>0</v>
      </c>
      <c r="G10" s="40">
        <v>10963239</v>
      </c>
      <c r="H10" s="40">
        <v>4385</v>
      </c>
      <c r="I10" s="40">
        <v>210</v>
      </c>
      <c r="J10" s="40">
        <v>1299301</v>
      </c>
      <c r="K10" s="40">
        <v>887044</v>
      </c>
      <c r="L10" s="40">
        <v>2249</v>
      </c>
      <c r="M10" s="40">
        <v>6852</v>
      </c>
      <c r="N10" s="40">
        <v>39436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1241</v>
      </c>
      <c r="U10" s="40">
        <v>0</v>
      </c>
      <c r="V10" s="40">
        <v>45945390</v>
      </c>
      <c r="W10" s="40">
        <v>0</v>
      </c>
      <c r="X10" s="40">
        <v>5750</v>
      </c>
      <c r="Y10" s="40">
        <v>0</v>
      </c>
      <c r="Z10" s="40">
        <v>0</v>
      </c>
      <c r="AA10" s="40">
        <v>10494255</v>
      </c>
      <c r="AB10" s="40">
        <v>3979758</v>
      </c>
      <c r="AC10" s="40">
        <v>0</v>
      </c>
      <c r="AD10" s="40">
        <v>0</v>
      </c>
      <c r="AE10" s="40">
        <v>389240</v>
      </c>
      <c r="AF10" s="40">
        <v>0</v>
      </c>
      <c r="AG10" s="40">
        <v>845</v>
      </c>
      <c r="AH10" s="40">
        <v>0</v>
      </c>
      <c r="AI10" s="40">
        <v>0</v>
      </c>
      <c r="AJ10" s="40">
        <v>11495</v>
      </c>
      <c r="AK10" s="40">
        <v>0</v>
      </c>
      <c r="AL10" s="40">
        <v>4960</v>
      </c>
      <c r="AM10" s="40">
        <v>0</v>
      </c>
      <c r="AN10" s="40">
        <v>222</v>
      </c>
      <c r="AO10" s="40">
        <v>16639</v>
      </c>
      <c r="AP10" s="40">
        <v>104648646</v>
      </c>
      <c r="AQ10" s="40">
        <v>0</v>
      </c>
      <c r="AR10" s="40">
        <v>20509169</v>
      </c>
      <c r="AS10" s="40">
        <v>2701548</v>
      </c>
      <c r="AT10" s="40">
        <v>97195</v>
      </c>
      <c r="AU10" s="40">
        <v>0</v>
      </c>
      <c r="AV10" s="40">
        <v>39156</v>
      </c>
      <c r="AW10" s="40">
        <v>19327</v>
      </c>
      <c r="AX10" s="40">
        <v>75352521</v>
      </c>
      <c r="AY10" s="40">
        <v>0</v>
      </c>
      <c r="AZ10" s="40">
        <v>0</v>
      </c>
      <c r="BA10" s="40">
        <v>107343</v>
      </c>
      <c r="BB10" s="40">
        <v>0</v>
      </c>
      <c r="BC10" s="40">
        <v>0</v>
      </c>
      <c r="BD10" s="40">
        <v>0</v>
      </c>
      <c r="BE10" s="40">
        <v>0</v>
      </c>
      <c r="BF10" s="40">
        <v>0</v>
      </c>
      <c r="BG10" s="40">
        <v>0</v>
      </c>
      <c r="BH10" s="40">
        <v>0</v>
      </c>
      <c r="BI10" s="40">
        <v>0</v>
      </c>
      <c r="BJ10" s="40">
        <v>1024</v>
      </c>
      <c r="BK10" s="40">
        <v>162527</v>
      </c>
      <c r="BL10" s="40">
        <v>100333</v>
      </c>
      <c r="BM10" s="40">
        <v>18949727</v>
      </c>
      <c r="BN10" s="40">
        <v>63064575</v>
      </c>
      <c r="BO10" s="40">
        <v>47006859</v>
      </c>
      <c r="BP10" s="40">
        <v>313872</v>
      </c>
      <c r="BQ10" s="40">
        <v>244218</v>
      </c>
      <c r="BR10" s="40">
        <v>0</v>
      </c>
      <c r="BS10" s="40">
        <v>0</v>
      </c>
      <c r="BT10" s="40">
        <v>408325718</v>
      </c>
      <c r="BU10" s="40">
        <v>170938170</v>
      </c>
      <c r="BV10" s="40">
        <v>0</v>
      </c>
      <c r="BW10" s="40">
        <v>0</v>
      </c>
      <c r="BX10" s="40">
        <v>170938170</v>
      </c>
      <c r="BY10" s="40">
        <v>0</v>
      </c>
      <c r="BZ10" s="40">
        <v>38745804</v>
      </c>
      <c r="CA10" s="40">
        <v>0</v>
      </c>
      <c r="CB10" s="40">
        <v>38745804</v>
      </c>
      <c r="CC10" s="40">
        <v>225712908</v>
      </c>
      <c r="CD10" s="40">
        <v>435396882</v>
      </c>
      <c r="CE10" s="40">
        <v>843722600</v>
      </c>
      <c r="CF10" s="41"/>
      <c r="CG10" s="41"/>
      <c r="CH10" s="42"/>
    </row>
    <row r="11" spans="1:86">
      <c r="A11" s="38">
        <v>5</v>
      </c>
      <c r="B11" s="65" t="s">
        <v>188</v>
      </c>
      <c r="C11" s="39" t="s">
        <v>187</v>
      </c>
      <c r="D11" s="40">
        <v>0</v>
      </c>
      <c r="E11" s="40">
        <v>0</v>
      </c>
      <c r="F11" s="40">
        <v>0</v>
      </c>
      <c r="G11" s="40">
        <v>0</v>
      </c>
      <c r="H11" s="40">
        <v>53608953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213108537</v>
      </c>
      <c r="X11" s="40">
        <v>60578</v>
      </c>
      <c r="Y11" s="40">
        <v>0</v>
      </c>
      <c r="Z11" s="40">
        <v>75181</v>
      </c>
      <c r="AA11" s="40">
        <v>0</v>
      </c>
      <c r="AB11" s="40">
        <v>0</v>
      </c>
      <c r="AC11" s="40">
        <v>0</v>
      </c>
      <c r="AD11" s="40">
        <v>0</v>
      </c>
      <c r="AE11" s="40">
        <v>0</v>
      </c>
      <c r="AF11" s="40">
        <v>0</v>
      </c>
      <c r="AG11" s="40">
        <v>0</v>
      </c>
      <c r="AH11" s="40">
        <v>0</v>
      </c>
      <c r="AI11" s="40">
        <v>0</v>
      </c>
      <c r="AJ11" s="40">
        <v>0</v>
      </c>
      <c r="AK11" s="40">
        <v>0</v>
      </c>
      <c r="AL11" s="40">
        <v>0</v>
      </c>
      <c r="AM11" s="40">
        <v>0</v>
      </c>
      <c r="AN11" s="40">
        <v>0</v>
      </c>
      <c r="AO11" s="40">
        <v>0</v>
      </c>
      <c r="AP11" s="40">
        <v>0</v>
      </c>
      <c r="AQ11" s="40">
        <v>0</v>
      </c>
      <c r="AR11" s="40">
        <v>0</v>
      </c>
      <c r="AS11" s="40">
        <v>0</v>
      </c>
      <c r="AT11" s="40">
        <v>0</v>
      </c>
      <c r="AU11" s="40">
        <v>0</v>
      </c>
      <c r="AV11" s="40">
        <v>0</v>
      </c>
      <c r="AW11" s="40">
        <v>0</v>
      </c>
      <c r="AX11" s="40">
        <v>0</v>
      </c>
      <c r="AY11" s="40">
        <v>0</v>
      </c>
      <c r="AZ11" s="40">
        <v>0</v>
      </c>
      <c r="BA11" s="40">
        <v>0</v>
      </c>
      <c r="BB11" s="40">
        <v>0</v>
      </c>
      <c r="BC11" s="40">
        <v>0</v>
      </c>
      <c r="BD11" s="40">
        <v>0</v>
      </c>
      <c r="BE11" s="40">
        <v>0</v>
      </c>
      <c r="BF11" s="40">
        <v>0</v>
      </c>
      <c r="BG11" s="40">
        <v>0</v>
      </c>
      <c r="BH11" s="40">
        <v>0</v>
      </c>
      <c r="BI11" s="40">
        <v>0</v>
      </c>
      <c r="BJ11" s="40">
        <v>0</v>
      </c>
      <c r="BK11" s="40">
        <v>0</v>
      </c>
      <c r="BL11" s="40">
        <v>0</v>
      </c>
      <c r="BM11" s="40">
        <v>0</v>
      </c>
      <c r="BN11" s="40">
        <v>0</v>
      </c>
      <c r="BO11" s="40">
        <v>0</v>
      </c>
      <c r="BP11" s="40">
        <v>0</v>
      </c>
      <c r="BQ11" s="40">
        <v>0</v>
      </c>
      <c r="BR11" s="40">
        <v>0</v>
      </c>
      <c r="BS11" s="40">
        <v>0</v>
      </c>
      <c r="BT11" s="40">
        <v>266853249</v>
      </c>
      <c r="BU11" s="40">
        <v>0</v>
      </c>
      <c r="BV11" s="40">
        <v>0</v>
      </c>
      <c r="BW11" s="40">
        <v>0</v>
      </c>
      <c r="BX11" s="40">
        <v>0</v>
      </c>
      <c r="BY11" s="40">
        <v>0</v>
      </c>
      <c r="BZ11" s="40">
        <v>-52577805</v>
      </c>
      <c r="CA11" s="40">
        <v>0</v>
      </c>
      <c r="CB11" s="40">
        <v>-52577805</v>
      </c>
      <c r="CC11" s="40">
        <v>16168491756</v>
      </c>
      <c r="CD11" s="40">
        <v>16115913951</v>
      </c>
      <c r="CE11" s="40">
        <v>16382767200</v>
      </c>
      <c r="CF11" s="41"/>
      <c r="CG11" s="41"/>
      <c r="CH11" s="42"/>
    </row>
    <row r="12" spans="1:86" ht="22.5">
      <c r="A12" s="38">
        <v>6</v>
      </c>
      <c r="B12" s="65" t="s">
        <v>186</v>
      </c>
      <c r="C12" s="39" t="s">
        <v>185</v>
      </c>
      <c r="D12" s="40">
        <v>16637</v>
      </c>
      <c r="E12" s="40">
        <v>0</v>
      </c>
      <c r="F12" s="40">
        <v>0</v>
      </c>
      <c r="G12" s="40">
        <v>0</v>
      </c>
      <c r="H12" s="40">
        <v>119864</v>
      </c>
      <c r="I12" s="40">
        <v>828</v>
      </c>
      <c r="J12" s="40">
        <v>17</v>
      </c>
      <c r="K12" s="40">
        <v>60</v>
      </c>
      <c r="L12" s="40">
        <v>162</v>
      </c>
      <c r="M12" s="40">
        <v>1573</v>
      </c>
      <c r="N12" s="40">
        <v>4421</v>
      </c>
      <c r="O12" s="40">
        <v>0</v>
      </c>
      <c r="P12" s="40">
        <v>26</v>
      </c>
      <c r="Q12" s="40">
        <v>193</v>
      </c>
      <c r="R12" s="40">
        <v>4</v>
      </c>
      <c r="S12" s="40">
        <v>0</v>
      </c>
      <c r="T12" s="40">
        <v>94</v>
      </c>
      <c r="U12" s="40">
        <v>0</v>
      </c>
      <c r="V12" s="40">
        <v>0</v>
      </c>
      <c r="W12" s="40">
        <v>7384</v>
      </c>
      <c r="X12" s="40">
        <v>107</v>
      </c>
      <c r="Y12" s="40">
        <v>71</v>
      </c>
      <c r="Z12" s="40">
        <v>43</v>
      </c>
      <c r="AA12" s="40">
        <v>187</v>
      </c>
      <c r="AB12" s="40">
        <v>6</v>
      </c>
      <c r="AC12" s="40">
        <v>0</v>
      </c>
      <c r="AD12" s="40">
        <v>0</v>
      </c>
      <c r="AE12" s="40">
        <v>105</v>
      </c>
      <c r="AF12" s="40">
        <v>0</v>
      </c>
      <c r="AG12" s="40">
        <v>296</v>
      </c>
      <c r="AH12" s="40">
        <v>0</v>
      </c>
      <c r="AI12" s="40">
        <v>0</v>
      </c>
      <c r="AJ12" s="40">
        <v>220</v>
      </c>
      <c r="AK12" s="40">
        <v>19</v>
      </c>
      <c r="AL12" s="40">
        <v>0</v>
      </c>
      <c r="AM12" s="40">
        <v>0</v>
      </c>
      <c r="AN12" s="40">
        <v>0</v>
      </c>
      <c r="AO12" s="40">
        <v>76</v>
      </c>
      <c r="AP12" s="40">
        <v>10147</v>
      </c>
      <c r="AQ12" s="40">
        <v>972</v>
      </c>
      <c r="AR12" s="40">
        <v>2835</v>
      </c>
      <c r="AS12" s="40">
        <v>91</v>
      </c>
      <c r="AT12" s="40">
        <v>5</v>
      </c>
      <c r="AU12" s="40">
        <v>0</v>
      </c>
      <c r="AV12" s="40">
        <v>19904</v>
      </c>
      <c r="AW12" s="40">
        <v>6909</v>
      </c>
      <c r="AX12" s="40">
        <v>23151</v>
      </c>
      <c r="AY12" s="40">
        <v>0</v>
      </c>
      <c r="AZ12" s="40">
        <v>0</v>
      </c>
      <c r="BA12" s="40">
        <v>30032</v>
      </c>
      <c r="BB12" s="40">
        <v>0</v>
      </c>
      <c r="BC12" s="40">
        <v>26</v>
      </c>
      <c r="BD12" s="40">
        <v>821</v>
      </c>
      <c r="BE12" s="40">
        <v>0</v>
      </c>
      <c r="BF12" s="40">
        <v>0</v>
      </c>
      <c r="BG12" s="40">
        <v>0</v>
      </c>
      <c r="BH12" s="40">
        <v>0</v>
      </c>
      <c r="BI12" s="40">
        <v>0</v>
      </c>
      <c r="BJ12" s="40">
        <v>178398</v>
      </c>
      <c r="BK12" s="40">
        <v>1704</v>
      </c>
      <c r="BL12" s="40">
        <v>1195</v>
      </c>
      <c r="BM12" s="40">
        <v>0</v>
      </c>
      <c r="BN12" s="40">
        <v>0</v>
      </c>
      <c r="BO12" s="40">
        <v>0</v>
      </c>
      <c r="BP12" s="40">
        <v>0</v>
      </c>
      <c r="BQ12" s="40">
        <v>0</v>
      </c>
      <c r="BR12" s="40">
        <v>0</v>
      </c>
      <c r="BS12" s="40">
        <v>0</v>
      </c>
      <c r="BT12" s="40">
        <v>428583</v>
      </c>
      <c r="BU12" s="40">
        <v>0</v>
      </c>
      <c r="BV12" s="40">
        <v>0</v>
      </c>
      <c r="BW12" s="40">
        <v>0</v>
      </c>
      <c r="BX12" s="40">
        <v>0</v>
      </c>
      <c r="BY12" s="40">
        <v>0</v>
      </c>
      <c r="BZ12" s="40">
        <v>-207449528</v>
      </c>
      <c r="CA12" s="40">
        <v>0</v>
      </c>
      <c r="CB12" s="40">
        <v>-207449528</v>
      </c>
      <c r="CC12" s="40">
        <v>662476345</v>
      </c>
      <c r="CD12" s="40">
        <v>455026817</v>
      </c>
      <c r="CE12" s="40">
        <v>455455400</v>
      </c>
      <c r="CF12" s="41"/>
      <c r="CG12" s="41"/>
      <c r="CH12" s="42"/>
    </row>
    <row r="13" spans="1:86">
      <c r="A13" s="38">
        <v>7</v>
      </c>
      <c r="B13" s="65" t="s">
        <v>184</v>
      </c>
      <c r="C13" s="39" t="s">
        <v>183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0">
        <v>0</v>
      </c>
      <c r="AB13" s="40">
        <v>556278781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>
        <v>0</v>
      </c>
      <c r="AL13" s="40">
        <v>0</v>
      </c>
      <c r="AM13" s="40">
        <v>0</v>
      </c>
      <c r="AN13" s="40">
        <v>0</v>
      </c>
      <c r="AO13" s="40">
        <v>0</v>
      </c>
      <c r="AP13" s="40">
        <v>0</v>
      </c>
      <c r="AQ13" s="40">
        <v>0</v>
      </c>
      <c r="AR13" s="40">
        <v>0</v>
      </c>
      <c r="AS13" s="40">
        <v>0</v>
      </c>
      <c r="AT13" s="40">
        <v>0</v>
      </c>
      <c r="AU13" s="40">
        <v>0</v>
      </c>
      <c r="AV13" s="40">
        <v>0</v>
      </c>
      <c r="AW13" s="40">
        <v>0</v>
      </c>
      <c r="AX13" s="40">
        <v>0</v>
      </c>
      <c r="AY13" s="40">
        <v>0</v>
      </c>
      <c r="AZ13" s="40">
        <v>0</v>
      </c>
      <c r="BA13" s="40">
        <v>0</v>
      </c>
      <c r="BB13" s="40">
        <v>0</v>
      </c>
      <c r="BC13" s="40">
        <v>0</v>
      </c>
      <c r="BD13" s="40">
        <v>0</v>
      </c>
      <c r="BE13" s="40">
        <v>0</v>
      </c>
      <c r="BF13" s="40">
        <v>0</v>
      </c>
      <c r="BG13" s="40">
        <v>0</v>
      </c>
      <c r="BH13" s="40">
        <v>0</v>
      </c>
      <c r="BI13" s="40">
        <v>0</v>
      </c>
      <c r="BJ13" s="40">
        <v>0</v>
      </c>
      <c r="BK13" s="40">
        <v>0</v>
      </c>
      <c r="BL13" s="40">
        <v>0</v>
      </c>
      <c r="BM13" s="40">
        <v>0</v>
      </c>
      <c r="BN13" s="40">
        <v>0</v>
      </c>
      <c r="BO13" s="40">
        <v>0</v>
      </c>
      <c r="BP13" s="40">
        <v>0</v>
      </c>
      <c r="BQ13" s="40">
        <v>0</v>
      </c>
      <c r="BR13" s="40">
        <v>0</v>
      </c>
      <c r="BS13" s="40">
        <v>0</v>
      </c>
      <c r="BT13" s="40">
        <v>556278781</v>
      </c>
      <c r="BU13" s="40">
        <v>0</v>
      </c>
      <c r="BV13" s="40">
        <v>0</v>
      </c>
      <c r="BW13" s="40">
        <v>0</v>
      </c>
      <c r="BX13" s="40">
        <v>0</v>
      </c>
      <c r="BY13" s="40">
        <v>0</v>
      </c>
      <c r="BZ13" s="40">
        <v>30461135</v>
      </c>
      <c r="CA13" s="40">
        <v>0</v>
      </c>
      <c r="CB13" s="40">
        <v>30461135</v>
      </c>
      <c r="CC13" s="40">
        <v>346926884</v>
      </c>
      <c r="CD13" s="40">
        <v>377388019</v>
      </c>
      <c r="CE13" s="40">
        <v>933666800</v>
      </c>
      <c r="CF13" s="41"/>
      <c r="CG13" s="41"/>
      <c r="CH13" s="42"/>
    </row>
    <row r="14" spans="1:86">
      <c r="A14" s="38">
        <v>8</v>
      </c>
      <c r="B14" s="65" t="s">
        <v>182</v>
      </c>
      <c r="C14" s="39" t="s">
        <v>181</v>
      </c>
      <c r="D14" s="40">
        <v>0</v>
      </c>
      <c r="E14" s="40">
        <v>0</v>
      </c>
      <c r="F14" s="40">
        <v>0</v>
      </c>
      <c r="G14" s="40">
        <v>0</v>
      </c>
      <c r="H14" s="40">
        <v>0</v>
      </c>
      <c r="I14" s="40">
        <v>0</v>
      </c>
      <c r="J14" s="40">
        <v>0</v>
      </c>
      <c r="K14" s="40">
        <v>230442910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435940186</v>
      </c>
      <c r="Y14" s="40">
        <v>0</v>
      </c>
      <c r="Z14" s="40">
        <v>0</v>
      </c>
      <c r="AA14" s="40">
        <v>0</v>
      </c>
      <c r="AB14" s="40">
        <v>200184444</v>
      </c>
      <c r="AC14" s="40">
        <v>0</v>
      </c>
      <c r="AD14" s="40">
        <v>0</v>
      </c>
      <c r="AE14" s="40">
        <v>4623331544</v>
      </c>
      <c r="AF14" s="40">
        <v>0</v>
      </c>
      <c r="AG14" s="40">
        <v>0</v>
      </c>
      <c r="AH14" s="40">
        <v>0</v>
      </c>
      <c r="AI14" s="40">
        <v>0</v>
      </c>
      <c r="AJ14" s="40">
        <v>0</v>
      </c>
      <c r="AK14" s="40">
        <v>0</v>
      </c>
      <c r="AL14" s="40">
        <v>0</v>
      </c>
      <c r="AM14" s="40">
        <v>0</v>
      </c>
      <c r="AN14" s="40">
        <v>0</v>
      </c>
      <c r="AO14" s="40">
        <v>0</v>
      </c>
      <c r="AP14" s="40">
        <v>0</v>
      </c>
      <c r="AQ14" s="40">
        <v>0</v>
      </c>
      <c r="AR14" s="40">
        <v>0</v>
      </c>
      <c r="AS14" s="40">
        <v>0</v>
      </c>
      <c r="AT14" s="40">
        <v>0</v>
      </c>
      <c r="AU14" s="40">
        <v>0</v>
      </c>
      <c r="AV14" s="40">
        <v>0</v>
      </c>
      <c r="AW14" s="40">
        <v>0</v>
      </c>
      <c r="AX14" s="40">
        <v>0</v>
      </c>
      <c r="AY14" s="40">
        <v>0</v>
      </c>
      <c r="AZ14" s="40">
        <v>0</v>
      </c>
      <c r="BA14" s="40">
        <v>0</v>
      </c>
      <c r="BB14" s="40">
        <v>0</v>
      </c>
      <c r="BC14" s="40">
        <v>0</v>
      </c>
      <c r="BD14" s="40">
        <v>0</v>
      </c>
      <c r="BE14" s="40">
        <v>0</v>
      </c>
      <c r="BF14" s="40">
        <v>0</v>
      </c>
      <c r="BG14" s="40">
        <v>0</v>
      </c>
      <c r="BH14" s="40">
        <v>0</v>
      </c>
      <c r="BI14" s="40">
        <v>0</v>
      </c>
      <c r="BJ14" s="40">
        <v>0</v>
      </c>
      <c r="BK14" s="40">
        <v>0</v>
      </c>
      <c r="BL14" s="40">
        <v>0</v>
      </c>
      <c r="BM14" s="40">
        <v>0</v>
      </c>
      <c r="BN14" s="40">
        <v>0</v>
      </c>
      <c r="BO14" s="40">
        <v>0</v>
      </c>
      <c r="BP14" s="40">
        <v>0</v>
      </c>
      <c r="BQ14" s="40">
        <v>0</v>
      </c>
      <c r="BR14" s="40">
        <v>0</v>
      </c>
      <c r="BS14" s="40">
        <v>0</v>
      </c>
      <c r="BT14" s="40">
        <v>5489899084</v>
      </c>
      <c r="BU14" s="40">
        <v>0</v>
      </c>
      <c r="BV14" s="40">
        <v>0</v>
      </c>
      <c r="BW14" s="40">
        <v>0</v>
      </c>
      <c r="BX14" s="40">
        <v>0</v>
      </c>
      <c r="BY14" s="40">
        <v>0</v>
      </c>
      <c r="BZ14" s="40">
        <v>750423169</v>
      </c>
      <c r="CA14" s="40">
        <v>0</v>
      </c>
      <c r="CB14" s="40">
        <v>750423169</v>
      </c>
      <c r="CC14" s="40">
        <v>1842296047</v>
      </c>
      <c r="CD14" s="40">
        <v>2592719216</v>
      </c>
      <c r="CE14" s="40">
        <v>8082618300</v>
      </c>
      <c r="CF14" s="41"/>
      <c r="CG14" s="41"/>
      <c r="CH14" s="42"/>
    </row>
    <row r="15" spans="1:86" ht="22.5">
      <c r="A15" s="38">
        <v>9</v>
      </c>
      <c r="B15" s="65" t="s">
        <v>102</v>
      </c>
      <c r="C15" s="39" t="s">
        <v>180</v>
      </c>
      <c r="D15" s="40">
        <v>96671</v>
      </c>
      <c r="E15" s="40">
        <v>66</v>
      </c>
      <c r="F15" s="40">
        <v>9200</v>
      </c>
      <c r="G15" s="40">
        <v>0</v>
      </c>
      <c r="H15" s="40">
        <v>59202593</v>
      </c>
      <c r="I15" s="40">
        <v>2816809</v>
      </c>
      <c r="J15" s="40">
        <v>0</v>
      </c>
      <c r="K15" s="40">
        <v>1205</v>
      </c>
      <c r="L15" s="40">
        <v>9677145</v>
      </c>
      <c r="M15" s="40">
        <v>481155</v>
      </c>
      <c r="N15" s="40">
        <v>5315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836135</v>
      </c>
      <c r="U15" s="40">
        <v>0</v>
      </c>
      <c r="V15" s="40">
        <v>0</v>
      </c>
      <c r="W15" s="40">
        <v>1</v>
      </c>
      <c r="X15" s="40">
        <v>23499314</v>
      </c>
      <c r="Y15" s="40">
        <v>40992</v>
      </c>
      <c r="Z15" s="40">
        <v>260225</v>
      </c>
      <c r="AA15" s="40">
        <v>92372082</v>
      </c>
      <c r="AB15" s="40">
        <v>3096710</v>
      </c>
      <c r="AC15" s="40">
        <v>16</v>
      </c>
      <c r="AD15" s="40">
        <v>40</v>
      </c>
      <c r="AE15" s="40">
        <v>781</v>
      </c>
      <c r="AF15" s="40">
        <v>0</v>
      </c>
      <c r="AG15" s="40">
        <v>0</v>
      </c>
      <c r="AH15" s="40">
        <v>0</v>
      </c>
      <c r="AI15" s="40">
        <v>62</v>
      </c>
      <c r="AJ15" s="40">
        <v>111</v>
      </c>
      <c r="AK15" s="40">
        <v>364</v>
      </c>
      <c r="AL15" s="40">
        <v>125</v>
      </c>
      <c r="AM15" s="40">
        <v>0</v>
      </c>
      <c r="AN15" s="40">
        <v>621819</v>
      </c>
      <c r="AO15" s="40">
        <v>0</v>
      </c>
      <c r="AP15" s="40">
        <v>218120</v>
      </c>
      <c r="AQ15" s="40">
        <v>0</v>
      </c>
      <c r="AR15" s="40">
        <v>97904</v>
      </c>
      <c r="AS15" s="40">
        <v>348873</v>
      </c>
      <c r="AT15" s="40">
        <v>68502727</v>
      </c>
      <c r="AU15" s="40">
        <v>0</v>
      </c>
      <c r="AV15" s="40">
        <v>0</v>
      </c>
      <c r="AW15" s="40">
        <v>0</v>
      </c>
      <c r="AX15" s="40">
        <v>0</v>
      </c>
      <c r="AY15" s="40">
        <v>0</v>
      </c>
      <c r="AZ15" s="40">
        <v>0</v>
      </c>
      <c r="BA15" s="40">
        <v>0</v>
      </c>
      <c r="BB15" s="40">
        <v>0</v>
      </c>
      <c r="BC15" s="40">
        <v>0</v>
      </c>
      <c r="BD15" s="40">
        <v>0</v>
      </c>
      <c r="BE15" s="40">
        <v>0</v>
      </c>
      <c r="BF15" s="40">
        <v>0</v>
      </c>
      <c r="BG15" s="40">
        <v>0</v>
      </c>
      <c r="BH15" s="40">
        <v>0</v>
      </c>
      <c r="BI15" s="40">
        <v>0</v>
      </c>
      <c r="BJ15" s="40">
        <v>0</v>
      </c>
      <c r="BK15" s="40">
        <v>3769635</v>
      </c>
      <c r="BL15" s="40">
        <v>700743</v>
      </c>
      <c r="BM15" s="40">
        <v>70225</v>
      </c>
      <c r="BN15" s="40">
        <v>2065888</v>
      </c>
      <c r="BO15" s="40">
        <v>4772014</v>
      </c>
      <c r="BP15" s="40">
        <v>3686</v>
      </c>
      <c r="BQ15" s="40">
        <v>3661805</v>
      </c>
      <c r="BR15" s="40">
        <v>0</v>
      </c>
      <c r="BS15" s="40">
        <v>0</v>
      </c>
      <c r="BT15" s="40">
        <v>277230556</v>
      </c>
      <c r="BU15" s="40">
        <v>10098993</v>
      </c>
      <c r="BV15" s="40">
        <v>0</v>
      </c>
      <c r="BW15" s="40">
        <v>0</v>
      </c>
      <c r="BX15" s="40">
        <v>10098993</v>
      </c>
      <c r="BY15" s="40">
        <v>0</v>
      </c>
      <c r="BZ15" s="40">
        <v>9591642</v>
      </c>
      <c r="CA15" s="40">
        <v>0</v>
      </c>
      <c r="CB15" s="40">
        <v>9591642</v>
      </c>
      <c r="CC15" s="40">
        <v>184784011</v>
      </c>
      <c r="CD15" s="40">
        <v>204474646</v>
      </c>
      <c r="CE15" s="40">
        <v>481705202</v>
      </c>
      <c r="CF15" s="41"/>
      <c r="CG15" s="41"/>
      <c r="CH15" s="42"/>
    </row>
    <row r="16" spans="1:86" ht="22.5">
      <c r="A16" s="38">
        <v>10</v>
      </c>
      <c r="B16" s="65" t="s">
        <v>86</v>
      </c>
      <c r="C16" s="39" t="s">
        <v>85</v>
      </c>
      <c r="D16" s="40">
        <v>0</v>
      </c>
      <c r="E16" s="40">
        <v>0</v>
      </c>
      <c r="F16" s="40">
        <v>0</v>
      </c>
      <c r="G16" s="40">
        <v>113441591</v>
      </c>
      <c r="H16" s="40">
        <v>715875216</v>
      </c>
      <c r="I16" s="40">
        <v>33935065</v>
      </c>
      <c r="J16" s="40">
        <v>24679972</v>
      </c>
      <c r="K16" s="40">
        <v>87656426</v>
      </c>
      <c r="L16" s="40">
        <v>70397043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40">
        <v>0</v>
      </c>
      <c r="AR16" s="40">
        <v>0</v>
      </c>
      <c r="AS16" s="40">
        <v>0</v>
      </c>
      <c r="AT16" s="40">
        <v>0</v>
      </c>
      <c r="AU16" s="40">
        <v>0</v>
      </c>
      <c r="AV16" s="40">
        <v>0</v>
      </c>
      <c r="AW16" s="40">
        <v>0</v>
      </c>
      <c r="AX16" s="40">
        <v>0</v>
      </c>
      <c r="AY16" s="40">
        <v>0</v>
      </c>
      <c r="AZ16" s="40">
        <v>0</v>
      </c>
      <c r="BA16" s="40">
        <v>0</v>
      </c>
      <c r="BB16" s="40">
        <v>0</v>
      </c>
      <c r="BC16" s="40">
        <v>0</v>
      </c>
      <c r="BD16" s="40">
        <v>0</v>
      </c>
      <c r="BE16" s="40">
        <v>0</v>
      </c>
      <c r="BF16" s="40">
        <v>0</v>
      </c>
      <c r="BG16" s="40">
        <v>0</v>
      </c>
      <c r="BH16" s="40">
        <v>0</v>
      </c>
      <c r="BI16" s="40">
        <v>0</v>
      </c>
      <c r="BJ16" s="40">
        <v>0</v>
      </c>
      <c r="BK16" s="40">
        <v>0</v>
      </c>
      <c r="BL16" s="40">
        <v>0</v>
      </c>
      <c r="BM16" s="40">
        <v>0</v>
      </c>
      <c r="BN16" s="40">
        <v>0</v>
      </c>
      <c r="BO16" s="40">
        <v>0</v>
      </c>
      <c r="BP16" s="40">
        <v>0</v>
      </c>
      <c r="BQ16" s="40">
        <v>0</v>
      </c>
      <c r="BR16" s="40">
        <v>0</v>
      </c>
      <c r="BS16" s="40">
        <v>0</v>
      </c>
      <c r="BT16" s="40">
        <v>1045985313</v>
      </c>
      <c r="BU16" s="40">
        <v>0</v>
      </c>
      <c r="BV16" s="40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0</v>
      </c>
      <c r="CC16" s="40">
        <v>5685087</v>
      </c>
      <c r="CD16" s="40">
        <v>5685087</v>
      </c>
      <c r="CE16" s="40">
        <v>1051670400</v>
      </c>
      <c r="CF16" s="41"/>
      <c r="CG16" s="41"/>
      <c r="CH16" s="42"/>
    </row>
    <row r="17" spans="1:86">
      <c r="A17" s="38">
        <v>11</v>
      </c>
      <c r="B17" s="65" t="s">
        <v>179</v>
      </c>
      <c r="C17" s="39" t="s">
        <v>178</v>
      </c>
      <c r="D17" s="40">
        <v>170589694</v>
      </c>
      <c r="E17" s="40">
        <v>0</v>
      </c>
      <c r="F17" s="40">
        <v>2207397</v>
      </c>
      <c r="G17" s="40">
        <v>96412</v>
      </c>
      <c r="H17" s="40">
        <v>989270</v>
      </c>
      <c r="I17" s="40">
        <v>33557</v>
      </c>
      <c r="J17" s="40">
        <v>22205</v>
      </c>
      <c r="K17" s="40">
        <v>42211</v>
      </c>
      <c r="L17" s="40">
        <v>970</v>
      </c>
      <c r="M17" s="40">
        <v>895</v>
      </c>
      <c r="N17" s="40">
        <v>200479778</v>
      </c>
      <c r="O17" s="40">
        <v>0</v>
      </c>
      <c r="P17" s="40">
        <v>1312442</v>
      </c>
      <c r="Q17" s="40">
        <v>0</v>
      </c>
      <c r="R17" s="40">
        <v>460123</v>
      </c>
      <c r="S17" s="40">
        <v>0</v>
      </c>
      <c r="T17" s="40">
        <v>127503</v>
      </c>
      <c r="U17" s="40">
        <v>0</v>
      </c>
      <c r="V17" s="40">
        <v>0</v>
      </c>
      <c r="W17" s="40">
        <v>3246</v>
      </c>
      <c r="X17" s="40">
        <v>9372215</v>
      </c>
      <c r="Y17" s="40">
        <v>682200</v>
      </c>
      <c r="Z17" s="40">
        <v>5</v>
      </c>
      <c r="AA17" s="40">
        <v>818</v>
      </c>
      <c r="AB17" s="40">
        <v>8470</v>
      </c>
      <c r="AC17" s="40">
        <v>11841</v>
      </c>
      <c r="AD17" s="40">
        <v>2086</v>
      </c>
      <c r="AE17" s="40">
        <v>24007</v>
      </c>
      <c r="AF17" s="40">
        <v>573</v>
      </c>
      <c r="AG17" s="40">
        <v>9674</v>
      </c>
      <c r="AH17" s="40">
        <v>0</v>
      </c>
      <c r="AI17" s="40">
        <v>20</v>
      </c>
      <c r="AJ17" s="40">
        <v>0</v>
      </c>
      <c r="AK17" s="40">
        <v>0</v>
      </c>
      <c r="AL17" s="40">
        <v>1552</v>
      </c>
      <c r="AM17" s="40">
        <v>1035</v>
      </c>
      <c r="AN17" s="40">
        <v>0</v>
      </c>
      <c r="AO17" s="40">
        <v>2566</v>
      </c>
      <c r="AP17" s="40">
        <v>4244</v>
      </c>
      <c r="AQ17" s="40">
        <v>89</v>
      </c>
      <c r="AR17" s="40">
        <v>693</v>
      </c>
      <c r="AS17" s="40">
        <v>95670</v>
      </c>
      <c r="AT17" s="40">
        <v>46764</v>
      </c>
      <c r="AU17" s="40">
        <v>43417</v>
      </c>
      <c r="AV17" s="40">
        <v>281894</v>
      </c>
      <c r="AW17" s="40">
        <v>501014</v>
      </c>
      <c r="AX17" s="40">
        <v>12415</v>
      </c>
      <c r="AY17" s="40">
        <v>46241</v>
      </c>
      <c r="AZ17" s="40">
        <v>601</v>
      </c>
      <c r="BA17" s="40">
        <v>137923</v>
      </c>
      <c r="BB17" s="40">
        <v>0</v>
      </c>
      <c r="BC17" s="40">
        <v>10058593</v>
      </c>
      <c r="BD17" s="40">
        <v>290995688</v>
      </c>
      <c r="BE17" s="40">
        <v>360895</v>
      </c>
      <c r="BF17" s="40">
        <v>0</v>
      </c>
      <c r="BG17" s="40">
        <v>22409479</v>
      </c>
      <c r="BH17" s="40">
        <v>0</v>
      </c>
      <c r="BI17" s="40">
        <v>135</v>
      </c>
      <c r="BJ17" s="40">
        <v>2564517</v>
      </c>
      <c r="BK17" s="40">
        <v>52189246</v>
      </c>
      <c r="BL17" s="40">
        <v>3110266</v>
      </c>
      <c r="BM17" s="40">
        <v>3032014</v>
      </c>
      <c r="BN17" s="40">
        <v>111552905</v>
      </c>
      <c r="BO17" s="40">
        <v>59434060</v>
      </c>
      <c r="BP17" s="40">
        <v>2143630</v>
      </c>
      <c r="BQ17" s="40">
        <v>22169275</v>
      </c>
      <c r="BR17" s="40">
        <v>187031</v>
      </c>
      <c r="BS17" s="40">
        <v>0</v>
      </c>
      <c r="BT17" s="40">
        <v>967861464</v>
      </c>
      <c r="BU17" s="40">
        <v>3289595903</v>
      </c>
      <c r="BV17" s="40">
        <v>0</v>
      </c>
      <c r="BW17" s="40">
        <v>0</v>
      </c>
      <c r="BX17" s="40">
        <v>3289595903</v>
      </c>
      <c r="BY17" s="40">
        <v>0</v>
      </c>
      <c r="BZ17" s="40">
        <v>35076305</v>
      </c>
      <c r="CA17" s="40">
        <v>0</v>
      </c>
      <c r="CB17" s="40">
        <v>35076305</v>
      </c>
      <c r="CC17" s="40">
        <v>1143345317</v>
      </c>
      <c r="CD17" s="40">
        <v>4468017525</v>
      </c>
      <c r="CE17" s="40">
        <v>5435878989</v>
      </c>
      <c r="CF17" s="41"/>
      <c r="CG17" s="41"/>
      <c r="CH17" s="42"/>
    </row>
    <row r="18" spans="1:86">
      <c r="A18" s="38">
        <v>12</v>
      </c>
      <c r="B18" s="65" t="s">
        <v>84</v>
      </c>
      <c r="C18" s="39" t="s">
        <v>83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2065102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0</v>
      </c>
      <c r="AP18" s="40">
        <v>0</v>
      </c>
      <c r="AQ18" s="40">
        <v>0</v>
      </c>
      <c r="AR18" s="40">
        <v>0</v>
      </c>
      <c r="AS18" s="40">
        <v>0</v>
      </c>
      <c r="AT18" s="40">
        <v>0</v>
      </c>
      <c r="AU18" s="40">
        <v>0</v>
      </c>
      <c r="AV18" s="40">
        <v>0</v>
      </c>
      <c r="AW18" s="40">
        <v>0</v>
      </c>
      <c r="AX18" s="40">
        <v>0</v>
      </c>
      <c r="AY18" s="40">
        <v>0</v>
      </c>
      <c r="AZ18" s="40">
        <v>0</v>
      </c>
      <c r="BA18" s="40">
        <v>0</v>
      </c>
      <c r="BB18" s="40">
        <v>0</v>
      </c>
      <c r="BC18" s="40">
        <v>0</v>
      </c>
      <c r="BD18" s="40">
        <v>0</v>
      </c>
      <c r="BE18" s="40">
        <v>0</v>
      </c>
      <c r="BF18" s="40">
        <v>0</v>
      </c>
      <c r="BG18" s="40">
        <v>0</v>
      </c>
      <c r="BH18" s="40">
        <v>0</v>
      </c>
      <c r="BI18" s="40">
        <v>0</v>
      </c>
      <c r="BJ18" s="40">
        <v>0</v>
      </c>
      <c r="BK18" s="40">
        <v>0</v>
      </c>
      <c r="BL18" s="40">
        <v>0</v>
      </c>
      <c r="BM18" s="40">
        <v>0</v>
      </c>
      <c r="BN18" s="40">
        <v>0</v>
      </c>
      <c r="BO18" s="40">
        <v>0</v>
      </c>
      <c r="BP18" s="40">
        <v>0</v>
      </c>
      <c r="BQ18" s="40">
        <v>0</v>
      </c>
      <c r="BR18" s="40">
        <v>0</v>
      </c>
      <c r="BS18" s="40">
        <v>0</v>
      </c>
      <c r="BT18" s="40">
        <v>2065102</v>
      </c>
      <c r="BU18" s="40">
        <v>213558503</v>
      </c>
      <c r="BV18" s="40">
        <v>0</v>
      </c>
      <c r="BW18" s="40">
        <v>0</v>
      </c>
      <c r="BX18" s="40">
        <v>213558503</v>
      </c>
      <c r="BY18" s="40">
        <v>0</v>
      </c>
      <c r="BZ18" s="40">
        <v>-24005315</v>
      </c>
      <c r="CA18" s="40">
        <v>0</v>
      </c>
      <c r="CB18" s="40">
        <v>-24005315</v>
      </c>
      <c r="CC18" s="40">
        <v>112145210</v>
      </c>
      <c r="CD18" s="40">
        <v>301698398</v>
      </c>
      <c r="CE18" s="40">
        <v>303763500</v>
      </c>
      <c r="CF18" s="41"/>
      <c r="CG18" s="41"/>
      <c r="CH18" s="42"/>
    </row>
    <row r="19" spans="1:86">
      <c r="A19" s="38">
        <v>13</v>
      </c>
      <c r="B19" s="65" t="s">
        <v>101</v>
      </c>
      <c r="C19" s="39" t="s">
        <v>177</v>
      </c>
      <c r="D19" s="40">
        <v>385660</v>
      </c>
      <c r="E19" s="40">
        <v>1072</v>
      </c>
      <c r="F19" s="40">
        <v>141303</v>
      </c>
      <c r="G19" s="40">
        <v>11879</v>
      </c>
      <c r="H19" s="40">
        <v>163940</v>
      </c>
      <c r="I19" s="40">
        <v>7862</v>
      </c>
      <c r="J19" s="40">
        <v>1281</v>
      </c>
      <c r="K19" s="40">
        <v>28614</v>
      </c>
      <c r="L19" s="40">
        <v>5459</v>
      </c>
      <c r="M19" s="40">
        <v>342</v>
      </c>
      <c r="N19" s="40">
        <v>684086</v>
      </c>
      <c r="O19" s="40">
        <v>0</v>
      </c>
      <c r="P19" s="40">
        <v>43919893</v>
      </c>
      <c r="Q19" s="40">
        <v>3901606</v>
      </c>
      <c r="R19" s="40">
        <v>270570</v>
      </c>
      <c r="S19" s="40">
        <v>0</v>
      </c>
      <c r="T19" s="40">
        <v>0</v>
      </c>
      <c r="U19" s="40">
        <v>0</v>
      </c>
      <c r="V19" s="40">
        <v>0</v>
      </c>
      <c r="W19" s="40">
        <v>236671</v>
      </c>
      <c r="X19" s="40">
        <v>1669921</v>
      </c>
      <c r="Y19" s="40">
        <v>14475</v>
      </c>
      <c r="Z19" s="40">
        <v>195953</v>
      </c>
      <c r="AA19" s="40">
        <v>135591</v>
      </c>
      <c r="AB19" s="40">
        <v>1237</v>
      </c>
      <c r="AC19" s="40">
        <v>0</v>
      </c>
      <c r="AD19" s="40">
        <v>0</v>
      </c>
      <c r="AE19" s="40">
        <v>3016</v>
      </c>
      <c r="AF19" s="40">
        <v>0</v>
      </c>
      <c r="AG19" s="40">
        <v>103</v>
      </c>
      <c r="AH19" s="40">
        <v>0</v>
      </c>
      <c r="AI19" s="40">
        <v>8</v>
      </c>
      <c r="AJ19" s="40">
        <v>4254</v>
      </c>
      <c r="AK19" s="40">
        <v>4728051</v>
      </c>
      <c r="AL19" s="40">
        <v>1305</v>
      </c>
      <c r="AM19" s="40">
        <v>1299160</v>
      </c>
      <c r="AN19" s="40">
        <v>928</v>
      </c>
      <c r="AO19" s="40">
        <v>13593</v>
      </c>
      <c r="AP19" s="40">
        <v>9526</v>
      </c>
      <c r="AQ19" s="40">
        <v>0</v>
      </c>
      <c r="AR19" s="40">
        <v>145</v>
      </c>
      <c r="AS19" s="40">
        <v>165</v>
      </c>
      <c r="AT19" s="40">
        <v>459349</v>
      </c>
      <c r="AU19" s="40">
        <v>0</v>
      </c>
      <c r="AV19" s="40">
        <v>2060636</v>
      </c>
      <c r="AW19" s="40">
        <v>1196817</v>
      </c>
      <c r="AX19" s="40">
        <v>39297</v>
      </c>
      <c r="AY19" s="40">
        <v>85208</v>
      </c>
      <c r="AZ19" s="40">
        <v>0</v>
      </c>
      <c r="BA19" s="40">
        <v>225493</v>
      </c>
      <c r="BB19" s="40">
        <v>31451</v>
      </c>
      <c r="BC19" s="40">
        <v>3564327</v>
      </c>
      <c r="BD19" s="40">
        <v>139227</v>
      </c>
      <c r="BE19" s="40">
        <v>6</v>
      </c>
      <c r="BF19" s="40">
        <v>0</v>
      </c>
      <c r="BG19" s="40">
        <v>4832</v>
      </c>
      <c r="BH19" s="40">
        <v>0</v>
      </c>
      <c r="BI19" s="40">
        <v>0</v>
      </c>
      <c r="BJ19" s="40">
        <v>540263</v>
      </c>
      <c r="BK19" s="40">
        <v>72197</v>
      </c>
      <c r="BL19" s="40">
        <v>134845</v>
      </c>
      <c r="BM19" s="40">
        <v>596970</v>
      </c>
      <c r="BN19" s="40">
        <v>4688483</v>
      </c>
      <c r="BO19" s="40">
        <v>6263090</v>
      </c>
      <c r="BP19" s="40">
        <v>147140</v>
      </c>
      <c r="BQ19" s="40">
        <v>5555330</v>
      </c>
      <c r="BR19" s="40">
        <v>377329</v>
      </c>
      <c r="BS19" s="40">
        <v>0</v>
      </c>
      <c r="BT19" s="40">
        <v>84019959</v>
      </c>
      <c r="BU19" s="40">
        <v>23511973</v>
      </c>
      <c r="BV19" s="40">
        <v>0</v>
      </c>
      <c r="BW19" s="40">
        <v>0</v>
      </c>
      <c r="BX19" s="40">
        <v>23511973</v>
      </c>
      <c r="BY19" s="40">
        <v>14443005</v>
      </c>
      <c r="BZ19" s="40">
        <v>-29344243</v>
      </c>
      <c r="CA19" s="40">
        <v>0</v>
      </c>
      <c r="CB19" s="40">
        <v>-14901238</v>
      </c>
      <c r="CC19" s="40">
        <v>36868804</v>
      </c>
      <c r="CD19" s="40">
        <v>45479539</v>
      </c>
      <c r="CE19" s="40">
        <v>129499498</v>
      </c>
      <c r="CF19" s="41"/>
      <c r="CG19" s="41"/>
      <c r="CH19" s="42"/>
    </row>
    <row r="20" spans="1:86">
      <c r="A20" s="38">
        <v>14</v>
      </c>
      <c r="B20" s="65" t="s">
        <v>100</v>
      </c>
      <c r="C20" s="39" t="s">
        <v>82</v>
      </c>
      <c r="D20" s="40">
        <v>117198</v>
      </c>
      <c r="E20" s="40">
        <v>2379</v>
      </c>
      <c r="F20" s="40">
        <v>0</v>
      </c>
      <c r="G20" s="40">
        <v>73027</v>
      </c>
      <c r="H20" s="40">
        <v>2513063</v>
      </c>
      <c r="I20" s="40">
        <v>119185</v>
      </c>
      <c r="J20" s="40">
        <v>22754</v>
      </c>
      <c r="K20" s="40">
        <v>73414</v>
      </c>
      <c r="L20" s="40">
        <v>4948</v>
      </c>
      <c r="M20" s="40">
        <v>26264</v>
      </c>
      <c r="N20" s="40">
        <v>37139</v>
      </c>
      <c r="O20" s="40">
        <v>0</v>
      </c>
      <c r="P20" s="40">
        <v>5</v>
      </c>
      <c r="Q20" s="40">
        <v>0</v>
      </c>
      <c r="R20" s="40">
        <v>0</v>
      </c>
      <c r="S20" s="40">
        <v>0</v>
      </c>
      <c r="T20" s="40">
        <v>260</v>
      </c>
      <c r="U20" s="40">
        <v>0</v>
      </c>
      <c r="V20" s="40">
        <v>861</v>
      </c>
      <c r="W20" s="40">
        <v>155347</v>
      </c>
      <c r="X20" s="40">
        <v>63604</v>
      </c>
      <c r="Y20" s="40">
        <v>139297</v>
      </c>
      <c r="Z20" s="40">
        <v>7762</v>
      </c>
      <c r="AA20" s="40">
        <v>26484</v>
      </c>
      <c r="AB20" s="40">
        <v>2978</v>
      </c>
      <c r="AC20" s="40">
        <v>235</v>
      </c>
      <c r="AD20" s="40">
        <v>0</v>
      </c>
      <c r="AE20" s="40">
        <v>4729</v>
      </c>
      <c r="AF20" s="40">
        <v>0</v>
      </c>
      <c r="AG20" s="40">
        <v>4286</v>
      </c>
      <c r="AH20" s="40">
        <v>0</v>
      </c>
      <c r="AI20" s="40">
        <v>397</v>
      </c>
      <c r="AJ20" s="40">
        <v>2014</v>
      </c>
      <c r="AK20" s="40">
        <v>0</v>
      </c>
      <c r="AL20" s="40">
        <v>20041</v>
      </c>
      <c r="AM20" s="40">
        <v>0</v>
      </c>
      <c r="AN20" s="40">
        <v>0</v>
      </c>
      <c r="AO20" s="40">
        <v>148954</v>
      </c>
      <c r="AP20" s="40">
        <v>122867</v>
      </c>
      <c r="AQ20" s="40">
        <v>2800</v>
      </c>
      <c r="AR20" s="40">
        <v>15091</v>
      </c>
      <c r="AS20" s="40">
        <v>54999</v>
      </c>
      <c r="AT20" s="40">
        <v>1611610</v>
      </c>
      <c r="AU20" s="40">
        <v>8011</v>
      </c>
      <c r="AV20" s="40">
        <v>35302</v>
      </c>
      <c r="AW20" s="40">
        <v>126399</v>
      </c>
      <c r="AX20" s="40">
        <v>514616</v>
      </c>
      <c r="AY20" s="40">
        <v>3955</v>
      </c>
      <c r="AZ20" s="40">
        <v>714282</v>
      </c>
      <c r="BA20" s="40">
        <v>418278</v>
      </c>
      <c r="BB20" s="40">
        <v>9466</v>
      </c>
      <c r="BC20" s="40">
        <v>164446</v>
      </c>
      <c r="BD20" s="40">
        <v>23388</v>
      </c>
      <c r="BE20" s="40">
        <v>44888</v>
      </c>
      <c r="BF20" s="40">
        <v>33259</v>
      </c>
      <c r="BG20" s="40">
        <v>98171</v>
      </c>
      <c r="BH20" s="40">
        <v>103159</v>
      </c>
      <c r="BI20" s="40">
        <v>141135</v>
      </c>
      <c r="BJ20" s="40">
        <v>109124</v>
      </c>
      <c r="BK20" s="40">
        <v>328302</v>
      </c>
      <c r="BL20" s="40">
        <v>3955980</v>
      </c>
      <c r="BM20" s="40">
        <v>3710362</v>
      </c>
      <c r="BN20" s="40">
        <v>7704444</v>
      </c>
      <c r="BO20" s="40">
        <v>4062730</v>
      </c>
      <c r="BP20" s="40">
        <v>72901</v>
      </c>
      <c r="BQ20" s="40">
        <v>10442361</v>
      </c>
      <c r="BR20" s="40">
        <v>785</v>
      </c>
      <c r="BS20" s="40">
        <v>0</v>
      </c>
      <c r="BT20" s="40">
        <v>38199736</v>
      </c>
      <c r="BU20" s="40">
        <v>115931925</v>
      </c>
      <c r="BV20" s="40">
        <v>0</v>
      </c>
      <c r="BW20" s="40">
        <v>0</v>
      </c>
      <c r="BX20" s="40">
        <v>115931925</v>
      </c>
      <c r="BY20" s="40">
        <v>0</v>
      </c>
      <c r="BZ20" s="40">
        <v>-216797499</v>
      </c>
      <c r="CA20" s="40">
        <v>0</v>
      </c>
      <c r="CB20" s="40">
        <v>-216797499</v>
      </c>
      <c r="CC20" s="40">
        <v>152951638</v>
      </c>
      <c r="CD20" s="40">
        <v>52086064</v>
      </c>
      <c r="CE20" s="40">
        <v>90285800</v>
      </c>
      <c r="CF20" s="41"/>
      <c r="CG20" s="41"/>
      <c r="CH20" s="42"/>
    </row>
    <row r="21" spans="1:86">
      <c r="A21" s="38">
        <v>15</v>
      </c>
      <c r="B21" s="65" t="s">
        <v>81</v>
      </c>
      <c r="C21" s="39" t="s">
        <v>80</v>
      </c>
      <c r="D21" s="40">
        <v>493</v>
      </c>
      <c r="E21" s="40">
        <v>13</v>
      </c>
      <c r="F21" s="40">
        <v>0</v>
      </c>
      <c r="G21" s="40">
        <v>0</v>
      </c>
      <c r="H21" s="40">
        <v>1554</v>
      </c>
      <c r="I21" s="40">
        <v>68</v>
      </c>
      <c r="J21" s="40">
        <v>0</v>
      </c>
      <c r="K21" s="40">
        <v>470</v>
      </c>
      <c r="L21" s="40">
        <v>32</v>
      </c>
      <c r="M21" s="40">
        <v>240</v>
      </c>
      <c r="N21" s="40">
        <v>0</v>
      </c>
      <c r="O21" s="40">
        <v>0</v>
      </c>
      <c r="P21" s="40">
        <v>0</v>
      </c>
      <c r="Q21" s="40">
        <v>0</v>
      </c>
      <c r="R21" s="40">
        <v>35482</v>
      </c>
      <c r="S21" s="40">
        <v>0</v>
      </c>
      <c r="T21" s="40">
        <v>0</v>
      </c>
      <c r="U21" s="40">
        <v>0</v>
      </c>
      <c r="V21" s="40">
        <v>0</v>
      </c>
      <c r="W21" s="40">
        <v>92</v>
      </c>
      <c r="X21" s="40">
        <v>857</v>
      </c>
      <c r="Y21" s="40">
        <v>0</v>
      </c>
      <c r="Z21" s="40">
        <v>32</v>
      </c>
      <c r="AA21" s="40">
        <v>231</v>
      </c>
      <c r="AB21" s="40">
        <v>14</v>
      </c>
      <c r="AC21" s="40">
        <v>0</v>
      </c>
      <c r="AD21" s="40">
        <v>0</v>
      </c>
      <c r="AE21" s="40">
        <v>519</v>
      </c>
      <c r="AF21" s="40">
        <v>0</v>
      </c>
      <c r="AG21" s="40">
        <v>86</v>
      </c>
      <c r="AH21" s="40">
        <v>0</v>
      </c>
      <c r="AI21" s="40">
        <v>34</v>
      </c>
      <c r="AJ21" s="40">
        <v>20</v>
      </c>
      <c r="AK21" s="40">
        <v>0</v>
      </c>
      <c r="AL21" s="40">
        <v>0</v>
      </c>
      <c r="AM21" s="40">
        <v>0</v>
      </c>
      <c r="AN21" s="40">
        <v>0</v>
      </c>
      <c r="AO21" s="40">
        <v>735</v>
      </c>
      <c r="AP21" s="40">
        <v>1270</v>
      </c>
      <c r="AQ21" s="40">
        <v>0</v>
      </c>
      <c r="AR21" s="40">
        <v>169</v>
      </c>
      <c r="AS21" s="40">
        <v>204</v>
      </c>
      <c r="AT21" s="40">
        <v>64242</v>
      </c>
      <c r="AU21" s="40">
        <v>0</v>
      </c>
      <c r="AV21" s="40">
        <v>0</v>
      </c>
      <c r="AW21" s="40">
        <v>0</v>
      </c>
      <c r="AX21" s="40">
        <v>1901</v>
      </c>
      <c r="AY21" s="40">
        <v>0</v>
      </c>
      <c r="AZ21" s="40">
        <v>0</v>
      </c>
      <c r="BA21" s="40">
        <v>0</v>
      </c>
      <c r="BB21" s="40">
        <v>0</v>
      </c>
      <c r="BC21" s="40">
        <v>2205</v>
      </c>
      <c r="BD21" s="40">
        <v>0</v>
      </c>
      <c r="BE21" s="40">
        <v>40100</v>
      </c>
      <c r="BF21" s="40">
        <v>0</v>
      </c>
      <c r="BG21" s="40">
        <v>0</v>
      </c>
      <c r="BH21" s="40">
        <v>0</v>
      </c>
      <c r="BI21" s="40">
        <v>0</v>
      </c>
      <c r="BJ21" s="40">
        <v>0</v>
      </c>
      <c r="BK21" s="40">
        <v>32389</v>
      </c>
      <c r="BL21" s="40">
        <v>19012</v>
      </c>
      <c r="BM21" s="40">
        <v>276290</v>
      </c>
      <c r="BN21" s="40">
        <v>488298</v>
      </c>
      <c r="BO21" s="40">
        <v>31649</v>
      </c>
      <c r="BP21" s="40">
        <v>7996</v>
      </c>
      <c r="BQ21" s="40">
        <v>2925</v>
      </c>
      <c r="BR21" s="40">
        <v>0</v>
      </c>
      <c r="BS21" s="40">
        <v>0</v>
      </c>
      <c r="BT21" s="40">
        <v>1009622</v>
      </c>
      <c r="BU21" s="40">
        <v>100180</v>
      </c>
      <c r="BV21" s="40">
        <v>0</v>
      </c>
      <c r="BW21" s="40">
        <v>0</v>
      </c>
      <c r="BX21" s="40">
        <v>100180</v>
      </c>
      <c r="BY21" s="40">
        <v>0</v>
      </c>
      <c r="BZ21" s="40">
        <v>-38289499</v>
      </c>
      <c r="CA21" s="40">
        <v>0</v>
      </c>
      <c r="CB21" s="40">
        <v>-38289499</v>
      </c>
      <c r="CC21" s="40">
        <v>52786797</v>
      </c>
      <c r="CD21" s="40">
        <v>14597478</v>
      </c>
      <c r="CE21" s="40">
        <v>15607100</v>
      </c>
      <c r="CF21" s="41"/>
      <c r="CG21" s="41"/>
      <c r="CH21" s="42"/>
    </row>
    <row r="22" spans="1:86" ht="33.75">
      <c r="A22" s="38">
        <v>16</v>
      </c>
      <c r="B22" s="65" t="s">
        <v>79</v>
      </c>
      <c r="C22" s="39" t="s">
        <v>78</v>
      </c>
      <c r="D22" s="40">
        <v>314392</v>
      </c>
      <c r="E22" s="40">
        <v>0</v>
      </c>
      <c r="F22" s="40">
        <v>526</v>
      </c>
      <c r="G22" s="40">
        <v>205030</v>
      </c>
      <c r="H22" s="40">
        <v>82990</v>
      </c>
      <c r="I22" s="40">
        <v>3952</v>
      </c>
      <c r="J22" s="40">
        <v>122177</v>
      </c>
      <c r="K22" s="40">
        <v>94952</v>
      </c>
      <c r="L22" s="40">
        <v>33436</v>
      </c>
      <c r="M22" s="40">
        <v>240604</v>
      </c>
      <c r="N22" s="40">
        <v>5402</v>
      </c>
      <c r="O22" s="40">
        <v>0</v>
      </c>
      <c r="P22" s="40">
        <v>0</v>
      </c>
      <c r="Q22" s="40">
        <v>0</v>
      </c>
      <c r="R22" s="40">
        <v>0</v>
      </c>
      <c r="S22" s="40">
        <v>44388</v>
      </c>
      <c r="T22" s="40">
        <v>1524414</v>
      </c>
      <c r="U22" s="40">
        <v>123</v>
      </c>
      <c r="V22" s="40">
        <v>0</v>
      </c>
      <c r="W22" s="40">
        <v>0</v>
      </c>
      <c r="X22" s="40">
        <v>557</v>
      </c>
      <c r="Y22" s="40">
        <v>0</v>
      </c>
      <c r="Z22" s="40">
        <v>0</v>
      </c>
      <c r="AA22" s="40">
        <v>271418</v>
      </c>
      <c r="AB22" s="40">
        <v>8068</v>
      </c>
      <c r="AC22" s="40">
        <v>3</v>
      </c>
      <c r="AD22" s="40">
        <v>383</v>
      </c>
      <c r="AE22" s="40">
        <v>433</v>
      </c>
      <c r="AF22" s="40">
        <v>0</v>
      </c>
      <c r="AG22" s="40">
        <v>59119</v>
      </c>
      <c r="AH22" s="40">
        <v>0</v>
      </c>
      <c r="AI22" s="40">
        <v>5842</v>
      </c>
      <c r="AJ22" s="40">
        <v>42</v>
      </c>
      <c r="AK22" s="40">
        <v>1753</v>
      </c>
      <c r="AL22" s="40">
        <v>38</v>
      </c>
      <c r="AM22" s="40">
        <v>2980354</v>
      </c>
      <c r="AN22" s="40">
        <v>7121</v>
      </c>
      <c r="AO22" s="40">
        <v>15970</v>
      </c>
      <c r="AP22" s="40">
        <v>160806</v>
      </c>
      <c r="AQ22" s="40">
        <v>0</v>
      </c>
      <c r="AR22" s="40">
        <v>15418</v>
      </c>
      <c r="AS22" s="40">
        <v>28287</v>
      </c>
      <c r="AT22" s="40">
        <v>19684057</v>
      </c>
      <c r="AU22" s="40">
        <v>0</v>
      </c>
      <c r="AV22" s="40">
        <v>258222</v>
      </c>
      <c r="AW22" s="40">
        <v>102117</v>
      </c>
      <c r="AX22" s="40">
        <v>78976</v>
      </c>
      <c r="AY22" s="40">
        <v>0</v>
      </c>
      <c r="AZ22" s="40">
        <v>0</v>
      </c>
      <c r="BA22" s="40">
        <v>246538</v>
      </c>
      <c r="BB22" s="40">
        <v>8457</v>
      </c>
      <c r="BC22" s="40">
        <v>0</v>
      </c>
      <c r="BD22" s="40">
        <v>5267</v>
      </c>
      <c r="BE22" s="40">
        <v>9</v>
      </c>
      <c r="BF22" s="40">
        <v>0</v>
      </c>
      <c r="BG22" s="40">
        <v>3448</v>
      </c>
      <c r="BH22" s="40">
        <v>0</v>
      </c>
      <c r="BI22" s="40">
        <v>0</v>
      </c>
      <c r="BJ22" s="40">
        <v>120924</v>
      </c>
      <c r="BK22" s="40">
        <v>23997</v>
      </c>
      <c r="BL22" s="40">
        <v>23293</v>
      </c>
      <c r="BM22" s="40">
        <v>4578</v>
      </c>
      <c r="BN22" s="40">
        <v>16422</v>
      </c>
      <c r="BO22" s="40">
        <v>2959</v>
      </c>
      <c r="BP22" s="40">
        <v>17643</v>
      </c>
      <c r="BQ22" s="40">
        <v>25986</v>
      </c>
      <c r="BR22" s="40">
        <v>0</v>
      </c>
      <c r="BS22" s="40">
        <v>0</v>
      </c>
      <c r="BT22" s="40">
        <v>26850891</v>
      </c>
      <c r="BU22" s="40">
        <v>357331</v>
      </c>
      <c r="BV22" s="40">
        <v>0</v>
      </c>
      <c r="BW22" s="40">
        <v>0</v>
      </c>
      <c r="BX22" s="40">
        <v>357331</v>
      </c>
      <c r="BY22" s="40">
        <v>6172346</v>
      </c>
      <c r="BZ22" s="40">
        <v>7621592</v>
      </c>
      <c r="CA22" s="40">
        <v>0</v>
      </c>
      <c r="CB22" s="40">
        <v>13793938</v>
      </c>
      <c r="CC22" s="40">
        <v>27759740</v>
      </c>
      <c r="CD22" s="40">
        <v>41911009</v>
      </c>
      <c r="CE22" s="40">
        <v>68761900</v>
      </c>
      <c r="CF22" s="41"/>
      <c r="CG22" s="41"/>
      <c r="CH22" s="42"/>
    </row>
    <row r="23" spans="1:86">
      <c r="A23" s="38">
        <v>17</v>
      </c>
      <c r="B23" s="65" t="s">
        <v>77</v>
      </c>
      <c r="C23" s="39" t="s">
        <v>76</v>
      </c>
      <c r="D23" s="40">
        <v>1973261</v>
      </c>
      <c r="E23" s="40">
        <v>291</v>
      </c>
      <c r="F23" s="40">
        <v>1738</v>
      </c>
      <c r="G23" s="40">
        <v>0</v>
      </c>
      <c r="H23" s="40">
        <v>5875</v>
      </c>
      <c r="I23" s="40">
        <v>279</v>
      </c>
      <c r="J23" s="40">
        <v>103</v>
      </c>
      <c r="K23" s="40">
        <v>1075</v>
      </c>
      <c r="L23" s="40">
        <v>167</v>
      </c>
      <c r="M23" s="40">
        <v>326</v>
      </c>
      <c r="N23" s="40">
        <v>4907697</v>
      </c>
      <c r="O23" s="40">
        <v>3772713</v>
      </c>
      <c r="P23" s="40">
        <v>52</v>
      </c>
      <c r="Q23" s="40">
        <v>1744</v>
      </c>
      <c r="R23" s="40">
        <v>65877</v>
      </c>
      <c r="S23" s="40">
        <v>0</v>
      </c>
      <c r="T23" s="40">
        <v>3602838</v>
      </c>
      <c r="U23" s="40">
        <v>8511</v>
      </c>
      <c r="V23" s="40">
        <v>0</v>
      </c>
      <c r="W23" s="40">
        <v>68505</v>
      </c>
      <c r="X23" s="40">
        <v>53892</v>
      </c>
      <c r="Y23" s="40">
        <v>312747</v>
      </c>
      <c r="Z23" s="40">
        <v>64127</v>
      </c>
      <c r="AA23" s="40">
        <v>104891</v>
      </c>
      <c r="AB23" s="40">
        <v>54830</v>
      </c>
      <c r="AC23" s="40">
        <v>37</v>
      </c>
      <c r="AD23" s="40">
        <v>2</v>
      </c>
      <c r="AE23" s="40">
        <v>32</v>
      </c>
      <c r="AF23" s="40">
        <v>0</v>
      </c>
      <c r="AG23" s="40">
        <v>2407</v>
      </c>
      <c r="AH23" s="40">
        <v>182816</v>
      </c>
      <c r="AI23" s="40">
        <v>27756</v>
      </c>
      <c r="AJ23" s="40">
        <v>2473</v>
      </c>
      <c r="AK23" s="40">
        <v>0</v>
      </c>
      <c r="AL23" s="40">
        <v>41</v>
      </c>
      <c r="AM23" s="40">
        <v>36</v>
      </c>
      <c r="AN23" s="40">
        <v>621</v>
      </c>
      <c r="AO23" s="40">
        <v>30318</v>
      </c>
      <c r="AP23" s="40">
        <v>64753</v>
      </c>
      <c r="AQ23" s="40">
        <v>5</v>
      </c>
      <c r="AR23" s="40">
        <v>1024</v>
      </c>
      <c r="AS23" s="40">
        <v>16657</v>
      </c>
      <c r="AT23" s="40">
        <v>1252046</v>
      </c>
      <c r="AU23" s="40">
        <v>20450</v>
      </c>
      <c r="AV23" s="40">
        <v>42750702</v>
      </c>
      <c r="AW23" s="40">
        <v>12568251</v>
      </c>
      <c r="AX23" s="40">
        <v>71752</v>
      </c>
      <c r="AY23" s="40">
        <v>0</v>
      </c>
      <c r="AZ23" s="40">
        <v>53115</v>
      </c>
      <c r="BA23" s="40">
        <v>2510922</v>
      </c>
      <c r="BB23" s="40">
        <v>2295914</v>
      </c>
      <c r="BC23" s="40">
        <v>4785716</v>
      </c>
      <c r="BD23" s="40">
        <v>1140849</v>
      </c>
      <c r="BE23" s="40">
        <v>737825</v>
      </c>
      <c r="BF23" s="40">
        <v>183482</v>
      </c>
      <c r="BG23" s="40">
        <v>4743003</v>
      </c>
      <c r="BH23" s="40">
        <v>1036346</v>
      </c>
      <c r="BI23" s="40">
        <v>430602</v>
      </c>
      <c r="BJ23" s="40">
        <v>193076</v>
      </c>
      <c r="BK23" s="40">
        <v>1188865</v>
      </c>
      <c r="BL23" s="40">
        <v>1883115</v>
      </c>
      <c r="BM23" s="40">
        <v>3821545</v>
      </c>
      <c r="BN23" s="40">
        <v>7926041</v>
      </c>
      <c r="BO23" s="40">
        <v>9379501</v>
      </c>
      <c r="BP23" s="40">
        <v>4906422</v>
      </c>
      <c r="BQ23" s="40">
        <v>1979413</v>
      </c>
      <c r="BR23" s="40">
        <v>5340671</v>
      </c>
      <c r="BS23" s="40">
        <v>0</v>
      </c>
      <c r="BT23" s="40">
        <v>126530141</v>
      </c>
      <c r="BU23" s="40">
        <v>9335018</v>
      </c>
      <c r="BV23" s="40">
        <v>0</v>
      </c>
      <c r="BW23" s="40">
        <v>0</v>
      </c>
      <c r="BX23" s="40">
        <v>9335018</v>
      </c>
      <c r="BY23" s="40">
        <v>0</v>
      </c>
      <c r="BZ23" s="40">
        <v>-11443750</v>
      </c>
      <c r="CA23" s="40">
        <v>0</v>
      </c>
      <c r="CB23" s="40">
        <v>-11443750</v>
      </c>
      <c r="CC23" s="40">
        <v>42532592</v>
      </c>
      <c r="CD23" s="40">
        <v>40423860</v>
      </c>
      <c r="CE23" s="40">
        <v>166954001</v>
      </c>
      <c r="CF23" s="41"/>
      <c r="CG23" s="41"/>
      <c r="CH23" s="42"/>
    </row>
    <row r="24" spans="1:86">
      <c r="A24" s="38">
        <v>18</v>
      </c>
      <c r="B24" s="65" t="s">
        <v>75</v>
      </c>
      <c r="C24" s="39" t="s">
        <v>74</v>
      </c>
      <c r="D24" s="40">
        <v>192</v>
      </c>
      <c r="E24" s="40">
        <v>181</v>
      </c>
      <c r="F24" s="40">
        <v>0</v>
      </c>
      <c r="G24" s="40">
        <v>0</v>
      </c>
      <c r="H24" s="40">
        <v>4759</v>
      </c>
      <c r="I24" s="40">
        <v>226</v>
      </c>
      <c r="J24" s="40">
        <v>0</v>
      </c>
      <c r="K24" s="40">
        <v>29</v>
      </c>
      <c r="L24" s="40">
        <v>0</v>
      </c>
      <c r="M24" s="40">
        <v>1304</v>
      </c>
      <c r="N24" s="40">
        <v>118729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3853238</v>
      </c>
      <c r="V24" s="40">
        <v>0</v>
      </c>
      <c r="W24" s="40">
        <v>0</v>
      </c>
      <c r="X24" s="40">
        <v>435</v>
      </c>
      <c r="Y24" s="40">
        <v>0</v>
      </c>
      <c r="Z24" s="40">
        <v>0</v>
      </c>
      <c r="AA24" s="40">
        <v>4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94</v>
      </c>
      <c r="AP24" s="40">
        <v>7792</v>
      </c>
      <c r="AQ24" s="40">
        <v>0</v>
      </c>
      <c r="AR24" s="40">
        <v>0</v>
      </c>
      <c r="AS24" s="40">
        <v>0</v>
      </c>
      <c r="AT24" s="40">
        <v>557507</v>
      </c>
      <c r="AU24" s="40">
        <v>24548</v>
      </c>
      <c r="AV24" s="40">
        <v>507939</v>
      </c>
      <c r="AW24" s="40">
        <v>344235</v>
      </c>
      <c r="AX24" s="40">
        <v>0</v>
      </c>
      <c r="AY24" s="40">
        <v>0</v>
      </c>
      <c r="AZ24" s="40">
        <v>0</v>
      </c>
      <c r="BA24" s="40">
        <v>84013</v>
      </c>
      <c r="BB24" s="40">
        <v>0</v>
      </c>
      <c r="BC24" s="40">
        <v>35817</v>
      </c>
      <c r="BD24" s="40">
        <v>1868</v>
      </c>
      <c r="BE24" s="40">
        <v>1975963</v>
      </c>
      <c r="BF24" s="40">
        <v>259177</v>
      </c>
      <c r="BG24" s="40">
        <v>723252</v>
      </c>
      <c r="BH24" s="40">
        <v>623541</v>
      </c>
      <c r="BI24" s="40">
        <v>1792958</v>
      </c>
      <c r="BJ24" s="40">
        <v>882700</v>
      </c>
      <c r="BK24" s="40">
        <v>348613</v>
      </c>
      <c r="BL24" s="40">
        <v>350973</v>
      </c>
      <c r="BM24" s="40">
        <v>33623510</v>
      </c>
      <c r="BN24" s="40">
        <v>26406804</v>
      </c>
      <c r="BO24" s="40">
        <v>7869720</v>
      </c>
      <c r="BP24" s="40">
        <v>116596</v>
      </c>
      <c r="BQ24" s="40">
        <v>53242</v>
      </c>
      <c r="BR24" s="40">
        <v>2973646</v>
      </c>
      <c r="BS24" s="40">
        <v>0</v>
      </c>
      <c r="BT24" s="40">
        <v>83543605</v>
      </c>
      <c r="BU24" s="40">
        <v>0</v>
      </c>
      <c r="BV24" s="40">
        <v>0</v>
      </c>
      <c r="BW24" s="40">
        <v>0</v>
      </c>
      <c r="BX24" s="40">
        <v>0</v>
      </c>
      <c r="BY24" s="40">
        <v>0</v>
      </c>
      <c r="BZ24" s="40">
        <v>0</v>
      </c>
      <c r="CA24" s="40">
        <v>0</v>
      </c>
      <c r="CB24" s="40">
        <v>0</v>
      </c>
      <c r="CC24" s="40">
        <v>50652</v>
      </c>
      <c r="CD24" s="40">
        <v>50652</v>
      </c>
      <c r="CE24" s="40">
        <v>83594257</v>
      </c>
      <c r="CF24" s="41"/>
      <c r="CG24" s="41"/>
      <c r="CH24" s="42"/>
    </row>
    <row r="25" spans="1:86">
      <c r="A25" s="38">
        <v>19</v>
      </c>
      <c r="B25" s="65" t="s">
        <v>73</v>
      </c>
      <c r="C25" s="39" t="s">
        <v>72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252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2283825</v>
      </c>
      <c r="Y25" s="40">
        <v>0</v>
      </c>
      <c r="Z25" s="40">
        <v>0</v>
      </c>
      <c r="AA25" s="40">
        <v>111738509</v>
      </c>
      <c r="AB25" s="40">
        <v>72131221</v>
      </c>
      <c r="AC25" s="40">
        <v>0</v>
      </c>
      <c r="AD25" s="40">
        <v>0</v>
      </c>
      <c r="AE25" s="40">
        <v>3678830</v>
      </c>
      <c r="AF25" s="40">
        <v>0</v>
      </c>
      <c r="AG25" s="40">
        <v>4380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0</v>
      </c>
      <c r="AP25" s="40">
        <v>9777138</v>
      </c>
      <c r="AQ25" s="40">
        <v>0</v>
      </c>
      <c r="AR25" s="40">
        <v>5223856</v>
      </c>
      <c r="AS25" s="40">
        <v>0</v>
      </c>
      <c r="AT25" s="40">
        <v>0</v>
      </c>
      <c r="AU25" s="40">
        <v>0</v>
      </c>
      <c r="AV25" s="40">
        <v>0</v>
      </c>
      <c r="AW25" s="40">
        <v>0</v>
      </c>
      <c r="AX25" s="40">
        <v>0</v>
      </c>
      <c r="AY25" s="40">
        <v>0</v>
      </c>
      <c r="AZ25" s="40">
        <v>0</v>
      </c>
      <c r="BA25" s="40">
        <v>0</v>
      </c>
      <c r="BB25" s="40">
        <v>0</v>
      </c>
      <c r="BC25" s="40">
        <v>0</v>
      </c>
      <c r="BD25" s="40">
        <v>0</v>
      </c>
      <c r="BE25" s="40">
        <v>0</v>
      </c>
      <c r="BF25" s="40">
        <v>0</v>
      </c>
      <c r="BG25" s="40">
        <v>0</v>
      </c>
      <c r="BH25" s="40">
        <v>0</v>
      </c>
      <c r="BI25" s="40">
        <v>0</v>
      </c>
      <c r="BJ25" s="40">
        <v>0</v>
      </c>
      <c r="BK25" s="40">
        <v>0</v>
      </c>
      <c r="BL25" s="40">
        <v>0</v>
      </c>
      <c r="BM25" s="40">
        <v>319</v>
      </c>
      <c r="BN25" s="40">
        <v>45461</v>
      </c>
      <c r="BO25" s="40">
        <v>1</v>
      </c>
      <c r="BP25" s="40">
        <v>0</v>
      </c>
      <c r="BQ25" s="40">
        <v>0</v>
      </c>
      <c r="BR25" s="40">
        <v>0</v>
      </c>
      <c r="BS25" s="40">
        <v>0</v>
      </c>
      <c r="BT25" s="40">
        <v>204883792</v>
      </c>
      <c r="BU25" s="40">
        <v>0</v>
      </c>
      <c r="BV25" s="40">
        <v>0</v>
      </c>
      <c r="BW25" s="40">
        <v>0</v>
      </c>
      <c r="BX25" s="40">
        <v>0</v>
      </c>
      <c r="BY25" s="40">
        <v>0</v>
      </c>
      <c r="BZ25" s="40">
        <v>19264578</v>
      </c>
      <c r="CA25" s="40">
        <v>0</v>
      </c>
      <c r="CB25" s="40">
        <v>19264578</v>
      </c>
      <c r="CC25" s="40">
        <v>9493930</v>
      </c>
      <c r="CD25" s="40">
        <v>28758508</v>
      </c>
      <c r="CE25" s="40">
        <v>233642300</v>
      </c>
      <c r="CF25" s="41"/>
      <c r="CG25" s="41"/>
      <c r="CH25" s="42"/>
    </row>
    <row r="26" spans="1:86">
      <c r="A26" s="38">
        <v>20</v>
      </c>
      <c r="B26" s="65" t="s">
        <v>71</v>
      </c>
      <c r="C26" s="39" t="s">
        <v>70</v>
      </c>
      <c r="D26" s="40">
        <v>41178817</v>
      </c>
      <c r="E26" s="40">
        <v>47931</v>
      </c>
      <c r="F26" s="40">
        <v>28472</v>
      </c>
      <c r="G26" s="40">
        <v>5769212</v>
      </c>
      <c r="H26" s="40">
        <v>57622722</v>
      </c>
      <c r="I26" s="40">
        <v>2865624</v>
      </c>
      <c r="J26" s="40">
        <v>821221</v>
      </c>
      <c r="K26" s="40">
        <v>617566</v>
      </c>
      <c r="L26" s="40">
        <v>1668264</v>
      </c>
      <c r="M26" s="40">
        <v>1279464</v>
      </c>
      <c r="N26" s="40">
        <v>1387328</v>
      </c>
      <c r="O26" s="40">
        <v>0</v>
      </c>
      <c r="P26" s="40">
        <v>6243</v>
      </c>
      <c r="Q26" s="40">
        <v>6547</v>
      </c>
      <c r="R26" s="40">
        <v>670</v>
      </c>
      <c r="S26" s="40">
        <v>5792</v>
      </c>
      <c r="T26" s="40">
        <v>146754</v>
      </c>
      <c r="U26" s="40">
        <v>742</v>
      </c>
      <c r="V26" s="40">
        <v>246326</v>
      </c>
      <c r="W26" s="40">
        <v>4685251</v>
      </c>
      <c r="X26" s="40">
        <v>414217</v>
      </c>
      <c r="Y26" s="40">
        <v>4018</v>
      </c>
      <c r="Z26" s="40">
        <v>20936</v>
      </c>
      <c r="AA26" s="40">
        <v>679694</v>
      </c>
      <c r="AB26" s="40">
        <v>339914</v>
      </c>
      <c r="AC26" s="40">
        <v>492</v>
      </c>
      <c r="AD26" s="40">
        <v>489</v>
      </c>
      <c r="AE26" s="40">
        <v>82174</v>
      </c>
      <c r="AF26" s="40">
        <v>332</v>
      </c>
      <c r="AG26" s="40">
        <v>14718</v>
      </c>
      <c r="AH26" s="40">
        <v>549</v>
      </c>
      <c r="AI26" s="40">
        <v>3592</v>
      </c>
      <c r="AJ26" s="40">
        <v>7868</v>
      </c>
      <c r="AK26" s="40">
        <v>44892</v>
      </c>
      <c r="AL26" s="40">
        <v>73579</v>
      </c>
      <c r="AM26" s="40">
        <v>13000</v>
      </c>
      <c r="AN26" s="40">
        <v>4287</v>
      </c>
      <c r="AO26" s="40">
        <v>494922</v>
      </c>
      <c r="AP26" s="40">
        <v>3817168</v>
      </c>
      <c r="AQ26" s="40">
        <v>39161230</v>
      </c>
      <c r="AR26" s="40">
        <v>1612581</v>
      </c>
      <c r="AS26" s="40">
        <v>3942426</v>
      </c>
      <c r="AT26" s="40">
        <v>7339045</v>
      </c>
      <c r="AU26" s="40">
        <v>2654860</v>
      </c>
      <c r="AV26" s="40">
        <v>50715520</v>
      </c>
      <c r="AW26" s="40">
        <v>25679215</v>
      </c>
      <c r="AX26" s="40">
        <v>152909751</v>
      </c>
      <c r="AY26" s="40">
        <v>285599</v>
      </c>
      <c r="AZ26" s="40">
        <v>81620785</v>
      </c>
      <c r="BA26" s="40">
        <v>101685046</v>
      </c>
      <c r="BB26" s="40">
        <v>573063</v>
      </c>
      <c r="BC26" s="40">
        <v>776764</v>
      </c>
      <c r="BD26" s="40">
        <v>145176</v>
      </c>
      <c r="BE26" s="40">
        <v>1870906</v>
      </c>
      <c r="BF26" s="40">
        <v>3548692</v>
      </c>
      <c r="BG26" s="40">
        <v>533209</v>
      </c>
      <c r="BH26" s="40">
        <v>237672</v>
      </c>
      <c r="BI26" s="40">
        <v>91660</v>
      </c>
      <c r="BJ26" s="40">
        <v>1689708</v>
      </c>
      <c r="BK26" s="40">
        <v>6815298</v>
      </c>
      <c r="BL26" s="40">
        <v>10287190</v>
      </c>
      <c r="BM26" s="40">
        <v>55795761</v>
      </c>
      <c r="BN26" s="40">
        <v>11511981</v>
      </c>
      <c r="BO26" s="40">
        <v>17904844</v>
      </c>
      <c r="BP26" s="40">
        <v>462329</v>
      </c>
      <c r="BQ26" s="40">
        <v>1962790</v>
      </c>
      <c r="BR26" s="40">
        <v>2316485</v>
      </c>
      <c r="BS26" s="40">
        <v>0</v>
      </c>
      <c r="BT26" s="40">
        <v>708531373</v>
      </c>
      <c r="BU26" s="40">
        <v>236920761</v>
      </c>
      <c r="BV26" s="40">
        <v>0</v>
      </c>
      <c r="BW26" s="40">
        <v>0</v>
      </c>
      <c r="BX26" s="40">
        <v>236920761</v>
      </c>
      <c r="BY26" s="40">
        <v>0</v>
      </c>
      <c r="BZ26" s="40">
        <v>-63274595</v>
      </c>
      <c r="CA26" s="40">
        <v>0</v>
      </c>
      <c r="CB26" s="40">
        <v>-63274595</v>
      </c>
      <c r="CC26" s="40">
        <v>438639560</v>
      </c>
      <c r="CD26" s="40">
        <v>612285726</v>
      </c>
      <c r="CE26" s="40">
        <v>1320817099</v>
      </c>
      <c r="CF26" s="41"/>
      <c r="CG26" s="41"/>
      <c r="CH26" s="42"/>
    </row>
    <row r="27" spans="1:86" ht="22.5">
      <c r="A27" s="38">
        <v>21</v>
      </c>
      <c r="B27" s="65" t="s">
        <v>99</v>
      </c>
      <c r="C27" s="39" t="s">
        <v>176</v>
      </c>
      <c r="D27" s="40">
        <v>123071904</v>
      </c>
      <c r="E27" s="40">
        <v>27</v>
      </c>
      <c r="F27" s="40">
        <v>1603</v>
      </c>
      <c r="G27" s="40">
        <v>1927886</v>
      </c>
      <c r="H27" s="40">
        <v>118670458</v>
      </c>
      <c r="I27" s="40">
        <v>5666552</v>
      </c>
      <c r="J27" s="40">
        <v>36011994</v>
      </c>
      <c r="K27" s="40">
        <v>120911579</v>
      </c>
      <c r="L27" s="40">
        <v>127213</v>
      </c>
      <c r="M27" s="40">
        <v>2485534</v>
      </c>
      <c r="N27" s="40">
        <v>1264366</v>
      </c>
      <c r="O27" s="40">
        <v>0</v>
      </c>
      <c r="P27" s="40">
        <v>54987</v>
      </c>
      <c r="Q27" s="40">
        <v>74029</v>
      </c>
      <c r="R27" s="40">
        <v>878332</v>
      </c>
      <c r="S27" s="40">
        <v>175905</v>
      </c>
      <c r="T27" s="40">
        <v>4307372</v>
      </c>
      <c r="U27" s="40">
        <v>37488</v>
      </c>
      <c r="V27" s="40">
        <v>17</v>
      </c>
      <c r="W27" s="40">
        <v>18802751</v>
      </c>
      <c r="X27" s="40">
        <v>31636057</v>
      </c>
      <c r="Y27" s="40">
        <v>5274723</v>
      </c>
      <c r="Z27" s="40">
        <v>4655102</v>
      </c>
      <c r="AA27" s="40">
        <v>5033054</v>
      </c>
      <c r="AB27" s="40">
        <v>460091</v>
      </c>
      <c r="AC27" s="40">
        <v>76</v>
      </c>
      <c r="AD27" s="40">
        <v>102554</v>
      </c>
      <c r="AE27" s="40">
        <v>232562</v>
      </c>
      <c r="AF27" s="40">
        <v>0</v>
      </c>
      <c r="AG27" s="40">
        <v>34687</v>
      </c>
      <c r="AH27" s="40">
        <v>8961</v>
      </c>
      <c r="AI27" s="40">
        <v>71972</v>
      </c>
      <c r="AJ27" s="40">
        <v>182654</v>
      </c>
      <c r="AK27" s="40">
        <v>8594925</v>
      </c>
      <c r="AL27" s="40">
        <v>4378121</v>
      </c>
      <c r="AM27" s="40">
        <v>4032</v>
      </c>
      <c r="AN27" s="40">
        <v>3835</v>
      </c>
      <c r="AO27" s="40">
        <v>102254</v>
      </c>
      <c r="AP27" s="40">
        <v>6088774</v>
      </c>
      <c r="AQ27" s="40">
        <v>3139160</v>
      </c>
      <c r="AR27" s="40">
        <v>2795919</v>
      </c>
      <c r="AS27" s="40">
        <v>340269</v>
      </c>
      <c r="AT27" s="40">
        <v>10519603</v>
      </c>
      <c r="AU27" s="40">
        <v>16085</v>
      </c>
      <c r="AV27" s="40">
        <v>6742554</v>
      </c>
      <c r="AW27" s="40">
        <v>315198</v>
      </c>
      <c r="AX27" s="40">
        <v>12717714</v>
      </c>
      <c r="AY27" s="40">
        <v>0</v>
      </c>
      <c r="AZ27" s="40">
        <v>148576</v>
      </c>
      <c r="BA27" s="40">
        <v>505351</v>
      </c>
      <c r="BB27" s="40">
        <v>1444</v>
      </c>
      <c r="BC27" s="40">
        <v>62144</v>
      </c>
      <c r="BD27" s="40">
        <v>24299</v>
      </c>
      <c r="BE27" s="40">
        <v>154351</v>
      </c>
      <c r="BF27" s="40">
        <v>0</v>
      </c>
      <c r="BG27" s="40">
        <v>5392</v>
      </c>
      <c r="BH27" s="40">
        <v>165</v>
      </c>
      <c r="BI27" s="40">
        <v>93</v>
      </c>
      <c r="BJ27" s="40">
        <v>461704</v>
      </c>
      <c r="BK27" s="40">
        <v>20799381</v>
      </c>
      <c r="BL27" s="40">
        <v>2725523</v>
      </c>
      <c r="BM27" s="40">
        <v>1853897</v>
      </c>
      <c r="BN27" s="40">
        <v>9534479</v>
      </c>
      <c r="BO27" s="40">
        <v>62719461</v>
      </c>
      <c r="BP27" s="40">
        <v>64098</v>
      </c>
      <c r="BQ27" s="40">
        <v>215111</v>
      </c>
      <c r="BR27" s="40">
        <v>334112</v>
      </c>
      <c r="BS27" s="40">
        <v>0</v>
      </c>
      <c r="BT27" s="40">
        <v>637530514</v>
      </c>
      <c r="BU27" s="40">
        <v>8961931</v>
      </c>
      <c r="BV27" s="40">
        <v>0</v>
      </c>
      <c r="BW27" s="40">
        <v>0</v>
      </c>
      <c r="BX27" s="40">
        <v>8961931</v>
      </c>
      <c r="BY27" s="40">
        <v>0</v>
      </c>
      <c r="BZ27" s="40">
        <v>170287147</v>
      </c>
      <c r="CA27" s="40">
        <v>0</v>
      </c>
      <c r="CB27" s="40">
        <v>170287147</v>
      </c>
      <c r="CC27" s="40">
        <v>839263810</v>
      </c>
      <c r="CD27" s="40">
        <v>1018512888</v>
      </c>
      <c r="CE27" s="40">
        <v>1656043402</v>
      </c>
      <c r="CF27" s="41"/>
      <c r="CG27" s="41"/>
      <c r="CH27" s="42"/>
    </row>
    <row r="28" spans="1:86" ht="22.5">
      <c r="A28" s="38">
        <v>22</v>
      </c>
      <c r="B28" s="65" t="s">
        <v>69</v>
      </c>
      <c r="C28" s="39" t="s">
        <v>68</v>
      </c>
      <c r="D28" s="40">
        <v>789060</v>
      </c>
      <c r="E28" s="40">
        <v>22</v>
      </c>
      <c r="F28" s="40">
        <v>0</v>
      </c>
      <c r="G28" s="40">
        <v>0</v>
      </c>
      <c r="H28" s="40">
        <v>34887</v>
      </c>
      <c r="I28" s="40">
        <v>1661</v>
      </c>
      <c r="J28" s="40">
        <v>0</v>
      </c>
      <c r="K28" s="40">
        <v>23224</v>
      </c>
      <c r="L28" s="40">
        <v>0</v>
      </c>
      <c r="M28" s="40">
        <v>3140</v>
      </c>
      <c r="N28" s="40">
        <v>379363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54250</v>
      </c>
      <c r="X28" s="40">
        <v>4</v>
      </c>
      <c r="Y28" s="40">
        <v>0</v>
      </c>
      <c r="Z28" s="40">
        <v>0</v>
      </c>
      <c r="AA28" s="40">
        <v>271</v>
      </c>
      <c r="AB28" s="40">
        <v>11</v>
      </c>
      <c r="AC28" s="40">
        <v>0</v>
      </c>
      <c r="AD28" s="40">
        <v>0</v>
      </c>
      <c r="AE28" s="40">
        <v>237</v>
      </c>
      <c r="AF28" s="40">
        <v>0</v>
      </c>
      <c r="AG28" s="40">
        <v>1</v>
      </c>
      <c r="AH28" s="40">
        <v>0</v>
      </c>
      <c r="AI28" s="40">
        <v>9</v>
      </c>
      <c r="AJ28" s="40">
        <v>13</v>
      </c>
      <c r="AK28" s="40">
        <v>0</v>
      </c>
      <c r="AL28" s="40">
        <v>0</v>
      </c>
      <c r="AM28" s="40">
        <v>0</v>
      </c>
      <c r="AN28" s="40">
        <v>0</v>
      </c>
      <c r="AO28" s="40">
        <v>40544</v>
      </c>
      <c r="AP28" s="40">
        <v>6898</v>
      </c>
      <c r="AQ28" s="40">
        <v>50</v>
      </c>
      <c r="AR28" s="40">
        <v>814</v>
      </c>
      <c r="AS28" s="40">
        <v>31804</v>
      </c>
      <c r="AT28" s="40">
        <v>2975</v>
      </c>
      <c r="AU28" s="40">
        <v>35</v>
      </c>
      <c r="AV28" s="40">
        <v>219958</v>
      </c>
      <c r="AW28" s="40">
        <v>807673</v>
      </c>
      <c r="AX28" s="40">
        <v>696</v>
      </c>
      <c r="AY28" s="40">
        <v>0</v>
      </c>
      <c r="AZ28" s="40">
        <v>3908</v>
      </c>
      <c r="BA28" s="40">
        <v>6027</v>
      </c>
      <c r="BB28" s="40">
        <v>0</v>
      </c>
      <c r="BC28" s="40">
        <v>94</v>
      </c>
      <c r="BD28" s="40">
        <v>81</v>
      </c>
      <c r="BE28" s="40">
        <v>20</v>
      </c>
      <c r="BF28" s="40">
        <v>0</v>
      </c>
      <c r="BG28" s="40">
        <v>489</v>
      </c>
      <c r="BH28" s="40">
        <v>0</v>
      </c>
      <c r="BI28" s="40">
        <v>0</v>
      </c>
      <c r="BJ28" s="40">
        <v>0</v>
      </c>
      <c r="BK28" s="40">
        <v>12422811</v>
      </c>
      <c r="BL28" s="40">
        <v>8096</v>
      </c>
      <c r="BM28" s="40">
        <v>4077183</v>
      </c>
      <c r="BN28" s="40">
        <v>1638845</v>
      </c>
      <c r="BO28" s="40">
        <v>237135376</v>
      </c>
      <c r="BP28" s="40">
        <v>284298</v>
      </c>
      <c r="BQ28" s="40">
        <v>102104</v>
      </c>
      <c r="BR28" s="40">
        <v>52850</v>
      </c>
      <c r="BS28" s="40">
        <v>0</v>
      </c>
      <c r="BT28" s="40">
        <v>258129782</v>
      </c>
      <c r="BU28" s="40">
        <v>30900634</v>
      </c>
      <c r="BV28" s="40">
        <v>0</v>
      </c>
      <c r="BW28" s="40">
        <v>0</v>
      </c>
      <c r="BX28" s="40">
        <v>30900634</v>
      </c>
      <c r="BY28" s="40">
        <v>0</v>
      </c>
      <c r="BZ28" s="40">
        <v>154489756</v>
      </c>
      <c r="CA28" s="40">
        <v>0</v>
      </c>
      <c r="CB28" s="40">
        <v>154489756</v>
      </c>
      <c r="CC28" s="40">
        <v>23659928</v>
      </c>
      <c r="CD28" s="40">
        <v>209050318</v>
      </c>
      <c r="CE28" s="40">
        <v>467180100</v>
      </c>
      <c r="CF28" s="41"/>
      <c r="CG28" s="41"/>
      <c r="CH28" s="42"/>
    </row>
    <row r="29" spans="1:86">
      <c r="A29" s="38">
        <v>23</v>
      </c>
      <c r="B29" s="65" t="s">
        <v>98</v>
      </c>
      <c r="C29" s="39" t="s">
        <v>175</v>
      </c>
      <c r="D29" s="40">
        <v>437021</v>
      </c>
      <c r="E29" s="40">
        <v>187</v>
      </c>
      <c r="F29" s="40">
        <v>31</v>
      </c>
      <c r="G29" s="40">
        <v>8462</v>
      </c>
      <c r="H29" s="40">
        <v>6745407</v>
      </c>
      <c r="I29" s="40">
        <v>474356</v>
      </c>
      <c r="J29" s="40">
        <v>86787</v>
      </c>
      <c r="K29" s="40">
        <v>1717080</v>
      </c>
      <c r="L29" s="40">
        <v>234113</v>
      </c>
      <c r="M29" s="40">
        <v>554142</v>
      </c>
      <c r="N29" s="40">
        <v>4754986</v>
      </c>
      <c r="O29" s="40">
        <v>0</v>
      </c>
      <c r="P29" s="40">
        <v>25</v>
      </c>
      <c r="Q29" s="40">
        <v>1773</v>
      </c>
      <c r="R29" s="40">
        <v>95400</v>
      </c>
      <c r="S29" s="40">
        <v>90</v>
      </c>
      <c r="T29" s="40">
        <v>583636</v>
      </c>
      <c r="U29" s="40">
        <v>1617</v>
      </c>
      <c r="V29" s="40">
        <v>371</v>
      </c>
      <c r="W29" s="40">
        <v>228189</v>
      </c>
      <c r="X29" s="40">
        <v>61625</v>
      </c>
      <c r="Y29" s="40">
        <v>61577</v>
      </c>
      <c r="Z29" s="40">
        <v>14962597</v>
      </c>
      <c r="AA29" s="40">
        <v>1367132</v>
      </c>
      <c r="AB29" s="40">
        <v>2356</v>
      </c>
      <c r="AC29" s="40">
        <v>435</v>
      </c>
      <c r="AD29" s="40">
        <v>2</v>
      </c>
      <c r="AE29" s="40">
        <v>71151</v>
      </c>
      <c r="AF29" s="40">
        <v>131</v>
      </c>
      <c r="AG29" s="40">
        <v>813026</v>
      </c>
      <c r="AH29" s="40">
        <v>33366</v>
      </c>
      <c r="AI29" s="40">
        <v>5863</v>
      </c>
      <c r="AJ29" s="40">
        <v>2603869</v>
      </c>
      <c r="AK29" s="40">
        <v>2787908</v>
      </c>
      <c r="AL29" s="40">
        <v>1600093</v>
      </c>
      <c r="AM29" s="40">
        <v>41062</v>
      </c>
      <c r="AN29" s="40">
        <v>127002</v>
      </c>
      <c r="AO29" s="40">
        <v>181349</v>
      </c>
      <c r="AP29" s="40">
        <v>126495</v>
      </c>
      <c r="AQ29" s="40">
        <v>63</v>
      </c>
      <c r="AR29" s="40">
        <v>498574</v>
      </c>
      <c r="AS29" s="40">
        <v>5173633</v>
      </c>
      <c r="AT29" s="40">
        <v>168950079</v>
      </c>
      <c r="AU29" s="40">
        <v>49338</v>
      </c>
      <c r="AV29" s="40">
        <v>62790998</v>
      </c>
      <c r="AW29" s="40">
        <v>6880676</v>
      </c>
      <c r="AX29" s="40">
        <v>271890</v>
      </c>
      <c r="AY29" s="40">
        <v>6603236</v>
      </c>
      <c r="AZ29" s="40">
        <v>89924</v>
      </c>
      <c r="BA29" s="40">
        <v>642943</v>
      </c>
      <c r="BB29" s="40">
        <v>14474</v>
      </c>
      <c r="BC29" s="40">
        <v>19245</v>
      </c>
      <c r="BD29" s="40">
        <v>1109118</v>
      </c>
      <c r="BE29" s="40">
        <v>267063</v>
      </c>
      <c r="BF29" s="40">
        <v>2198035</v>
      </c>
      <c r="BG29" s="40">
        <v>118571</v>
      </c>
      <c r="BH29" s="40">
        <v>111094</v>
      </c>
      <c r="BI29" s="40">
        <v>105966</v>
      </c>
      <c r="BJ29" s="40">
        <v>1209040</v>
      </c>
      <c r="BK29" s="40">
        <v>1610602</v>
      </c>
      <c r="BL29" s="40">
        <v>3163104</v>
      </c>
      <c r="BM29" s="40">
        <v>2763175</v>
      </c>
      <c r="BN29" s="40">
        <v>6048513</v>
      </c>
      <c r="BO29" s="40">
        <v>11094074</v>
      </c>
      <c r="BP29" s="40">
        <v>71363</v>
      </c>
      <c r="BQ29" s="40">
        <v>209390</v>
      </c>
      <c r="BR29" s="40">
        <v>744153</v>
      </c>
      <c r="BS29" s="40">
        <v>0</v>
      </c>
      <c r="BT29" s="40">
        <v>323579046</v>
      </c>
      <c r="BU29" s="40">
        <v>37843048</v>
      </c>
      <c r="BV29" s="40">
        <v>0</v>
      </c>
      <c r="BW29" s="40">
        <v>0</v>
      </c>
      <c r="BX29" s="40">
        <v>37843048</v>
      </c>
      <c r="BY29" s="40">
        <v>0</v>
      </c>
      <c r="BZ29" s="40">
        <v>32847129</v>
      </c>
      <c r="CA29" s="40">
        <v>0</v>
      </c>
      <c r="CB29" s="40">
        <v>32847129</v>
      </c>
      <c r="CC29" s="40">
        <v>89788677</v>
      </c>
      <c r="CD29" s="40">
        <v>160478854</v>
      </c>
      <c r="CE29" s="40">
        <v>484057900</v>
      </c>
      <c r="CF29" s="41"/>
      <c r="CG29" s="41"/>
      <c r="CH29" s="42"/>
    </row>
    <row r="30" spans="1:86" ht="22.5">
      <c r="A30" s="38">
        <v>24</v>
      </c>
      <c r="B30" s="65" t="s">
        <v>97</v>
      </c>
      <c r="C30" s="39" t="s">
        <v>67</v>
      </c>
      <c r="D30" s="40">
        <v>1799375</v>
      </c>
      <c r="E30" s="40">
        <v>1</v>
      </c>
      <c r="F30" s="40">
        <v>7254</v>
      </c>
      <c r="G30" s="40">
        <v>23593</v>
      </c>
      <c r="H30" s="40">
        <v>2271473</v>
      </c>
      <c r="I30" s="40">
        <v>108141</v>
      </c>
      <c r="J30" s="40">
        <v>151407</v>
      </c>
      <c r="K30" s="40">
        <v>12637276</v>
      </c>
      <c r="L30" s="40">
        <v>5180387</v>
      </c>
      <c r="M30" s="40">
        <v>6072604</v>
      </c>
      <c r="N30" s="40">
        <v>2755645</v>
      </c>
      <c r="O30" s="40">
        <v>0</v>
      </c>
      <c r="P30" s="40">
        <v>0</v>
      </c>
      <c r="Q30" s="40">
        <v>0</v>
      </c>
      <c r="R30" s="40">
        <v>1</v>
      </c>
      <c r="S30" s="40">
        <v>0</v>
      </c>
      <c r="T30" s="40">
        <v>0</v>
      </c>
      <c r="U30" s="40">
        <v>0</v>
      </c>
      <c r="V30" s="40">
        <v>29598</v>
      </c>
      <c r="W30" s="40">
        <v>417890</v>
      </c>
      <c r="X30" s="40">
        <v>24338</v>
      </c>
      <c r="Y30" s="40">
        <v>605064</v>
      </c>
      <c r="Z30" s="40">
        <v>18472</v>
      </c>
      <c r="AA30" s="40">
        <v>151572253</v>
      </c>
      <c r="AB30" s="40">
        <v>7385818</v>
      </c>
      <c r="AC30" s="40">
        <v>0</v>
      </c>
      <c r="AD30" s="40">
        <v>247067</v>
      </c>
      <c r="AE30" s="40">
        <v>245859</v>
      </c>
      <c r="AF30" s="40">
        <v>8398</v>
      </c>
      <c r="AG30" s="40">
        <v>44943</v>
      </c>
      <c r="AH30" s="40">
        <v>350</v>
      </c>
      <c r="AI30" s="40">
        <v>47504</v>
      </c>
      <c r="AJ30" s="40">
        <v>108606</v>
      </c>
      <c r="AK30" s="40">
        <v>11068272</v>
      </c>
      <c r="AL30" s="40">
        <v>751336</v>
      </c>
      <c r="AM30" s="40">
        <v>16331</v>
      </c>
      <c r="AN30" s="40">
        <v>8352</v>
      </c>
      <c r="AO30" s="40">
        <v>1240556</v>
      </c>
      <c r="AP30" s="40">
        <v>4187759</v>
      </c>
      <c r="AQ30" s="40">
        <v>0</v>
      </c>
      <c r="AR30" s="40">
        <v>311756</v>
      </c>
      <c r="AS30" s="40">
        <v>399874</v>
      </c>
      <c r="AT30" s="40">
        <v>1317943007</v>
      </c>
      <c r="AU30" s="40">
        <v>0</v>
      </c>
      <c r="AV30" s="40">
        <v>35519796</v>
      </c>
      <c r="AW30" s="40">
        <v>1434545</v>
      </c>
      <c r="AX30" s="40">
        <v>2499855</v>
      </c>
      <c r="AY30" s="40">
        <v>0</v>
      </c>
      <c r="AZ30" s="40">
        <v>956797</v>
      </c>
      <c r="BA30" s="40">
        <v>6567029</v>
      </c>
      <c r="BB30" s="40">
        <v>0</v>
      </c>
      <c r="BC30" s="40">
        <v>2329077</v>
      </c>
      <c r="BD30" s="40">
        <v>3311312</v>
      </c>
      <c r="BE30" s="40">
        <v>538</v>
      </c>
      <c r="BF30" s="40">
        <v>32373</v>
      </c>
      <c r="BG30" s="40">
        <v>4</v>
      </c>
      <c r="BH30" s="40">
        <v>0</v>
      </c>
      <c r="BI30" s="40">
        <v>0</v>
      </c>
      <c r="BJ30" s="40">
        <v>1396485</v>
      </c>
      <c r="BK30" s="40">
        <v>3128984</v>
      </c>
      <c r="BL30" s="40">
        <v>13960570</v>
      </c>
      <c r="BM30" s="40">
        <v>625287</v>
      </c>
      <c r="BN30" s="40">
        <v>3607099</v>
      </c>
      <c r="BO30" s="40">
        <v>9909465</v>
      </c>
      <c r="BP30" s="40">
        <v>27612</v>
      </c>
      <c r="BQ30" s="40">
        <v>15403518</v>
      </c>
      <c r="BR30" s="40">
        <v>5990188</v>
      </c>
      <c r="BS30" s="40">
        <v>0</v>
      </c>
      <c r="BT30" s="40">
        <v>1634391094</v>
      </c>
      <c r="BU30" s="40">
        <v>25212364</v>
      </c>
      <c r="BV30" s="40">
        <v>0</v>
      </c>
      <c r="BW30" s="40">
        <v>0</v>
      </c>
      <c r="BX30" s="40">
        <v>25212364</v>
      </c>
      <c r="BY30" s="40">
        <v>20539</v>
      </c>
      <c r="BZ30" s="40">
        <v>87586881</v>
      </c>
      <c r="CA30" s="40">
        <v>0</v>
      </c>
      <c r="CB30" s="40">
        <v>87607420</v>
      </c>
      <c r="CC30" s="40">
        <v>87535223</v>
      </c>
      <c r="CD30" s="40">
        <v>200355007</v>
      </c>
      <c r="CE30" s="40">
        <v>1834746101</v>
      </c>
      <c r="CF30" s="41"/>
      <c r="CG30" s="41"/>
      <c r="CH30" s="42"/>
    </row>
    <row r="31" spans="1:86" ht="22.5">
      <c r="A31" s="38">
        <v>25</v>
      </c>
      <c r="B31" s="65" t="s">
        <v>174</v>
      </c>
      <c r="C31" s="39" t="s">
        <v>173</v>
      </c>
      <c r="D31" s="40">
        <v>2195</v>
      </c>
      <c r="E31" s="40">
        <v>0</v>
      </c>
      <c r="F31" s="40">
        <v>0</v>
      </c>
      <c r="G31" s="40">
        <v>2400152</v>
      </c>
      <c r="H31" s="40">
        <v>1697592</v>
      </c>
      <c r="I31" s="40">
        <v>0</v>
      </c>
      <c r="J31" s="40">
        <v>76098657</v>
      </c>
      <c r="K31" s="40">
        <v>43775605</v>
      </c>
      <c r="L31" s="40">
        <v>9692386</v>
      </c>
      <c r="M31" s="40">
        <v>127598406</v>
      </c>
      <c r="N31" s="40">
        <v>20069814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25250357</v>
      </c>
      <c r="W31" s="40">
        <v>53051117</v>
      </c>
      <c r="X31" s="40">
        <v>18500567</v>
      </c>
      <c r="Y31" s="40">
        <v>0</v>
      </c>
      <c r="Z31" s="40">
        <v>829753</v>
      </c>
      <c r="AA31" s="40">
        <v>54331517</v>
      </c>
      <c r="AB31" s="40">
        <v>488379112</v>
      </c>
      <c r="AC31" s="40">
        <v>50634607</v>
      </c>
      <c r="AD31" s="40">
        <v>55201701</v>
      </c>
      <c r="AE31" s="40">
        <v>1667514</v>
      </c>
      <c r="AF31" s="40">
        <v>1944874</v>
      </c>
      <c r="AG31" s="40">
        <v>102339158</v>
      </c>
      <c r="AH31" s="40">
        <v>48149</v>
      </c>
      <c r="AI31" s="40">
        <v>12763957</v>
      </c>
      <c r="AJ31" s="40">
        <v>81946522</v>
      </c>
      <c r="AK31" s="40">
        <v>68598114</v>
      </c>
      <c r="AL31" s="40">
        <v>101467406</v>
      </c>
      <c r="AM31" s="40">
        <v>0</v>
      </c>
      <c r="AN31" s="40">
        <v>1229424</v>
      </c>
      <c r="AO31" s="40">
        <v>252042368</v>
      </c>
      <c r="AP31" s="40">
        <v>166997661</v>
      </c>
      <c r="AQ31" s="40">
        <v>0</v>
      </c>
      <c r="AR31" s="40">
        <v>50492277</v>
      </c>
      <c r="AS31" s="40">
        <v>35118434</v>
      </c>
      <c r="AT31" s="40">
        <v>362796827</v>
      </c>
      <c r="AU31" s="40">
        <v>0</v>
      </c>
      <c r="AV31" s="40">
        <v>101739806</v>
      </c>
      <c r="AW31" s="40">
        <v>24328551</v>
      </c>
      <c r="AX31" s="40">
        <v>55683793</v>
      </c>
      <c r="AY31" s="40">
        <v>0</v>
      </c>
      <c r="AZ31" s="40">
        <v>0</v>
      </c>
      <c r="BA31" s="40">
        <v>18307082</v>
      </c>
      <c r="BB31" s="40">
        <v>0</v>
      </c>
      <c r="BC31" s="40">
        <v>0</v>
      </c>
      <c r="BD31" s="40">
        <v>0</v>
      </c>
      <c r="BE31" s="40">
        <v>7</v>
      </c>
      <c r="BF31" s="40">
        <v>0</v>
      </c>
      <c r="BG31" s="40">
        <v>0</v>
      </c>
      <c r="BH31" s="40">
        <v>0</v>
      </c>
      <c r="BI31" s="40">
        <v>0</v>
      </c>
      <c r="BJ31" s="40">
        <v>54149</v>
      </c>
      <c r="BK31" s="40">
        <v>60335120</v>
      </c>
      <c r="BL31" s="40">
        <v>923546</v>
      </c>
      <c r="BM31" s="40">
        <v>0</v>
      </c>
      <c r="BN31" s="40">
        <v>0</v>
      </c>
      <c r="BO31" s="40">
        <v>0</v>
      </c>
      <c r="BP31" s="40">
        <v>0</v>
      </c>
      <c r="BQ31" s="40">
        <v>0</v>
      </c>
      <c r="BR31" s="40">
        <v>0</v>
      </c>
      <c r="BS31" s="40">
        <v>0</v>
      </c>
      <c r="BT31" s="40">
        <v>2528338277</v>
      </c>
      <c r="BU31" s="40">
        <v>0</v>
      </c>
      <c r="BV31" s="40">
        <v>0</v>
      </c>
      <c r="BW31" s="40">
        <v>0</v>
      </c>
      <c r="BX31" s="40">
        <v>0</v>
      </c>
      <c r="BY31" s="40">
        <v>0</v>
      </c>
      <c r="BZ31" s="40">
        <v>157489359</v>
      </c>
      <c r="CA31" s="40">
        <v>0</v>
      </c>
      <c r="CB31" s="40">
        <v>157489359</v>
      </c>
      <c r="CC31" s="40">
        <v>1316832966</v>
      </c>
      <c r="CD31" s="40">
        <v>1474322325</v>
      </c>
      <c r="CE31" s="40">
        <v>4002660602</v>
      </c>
      <c r="CF31" s="41"/>
      <c r="CG31" s="41"/>
      <c r="CH31" s="42"/>
    </row>
    <row r="32" spans="1:86" ht="33.75">
      <c r="A32" s="38">
        <v>26</v>
      </c>
      <c r="B32" s="65" t="s">
        <v>172</v>
      </c>
      <c r="C32" s="39" t="s">
        <v>171</v>
      </c>
      <c r="D32" s="40">
        <v>155812</v>
      </c>
      <c r="E32" s="40">
        <v>0</v>
      </c>
      <c r="F32" s="40">
        <v>0</v>
      </c>
      <c r="G32" s="40">
        <v>81234</v>
      </c>
      <c r="H32" s="40">
        <v>67050458</v>
      </c>
      <c r="I32" s="40">
        <v>0</v>
      </c>
      <c r="J32" s="40">
        <v>1185713</v>
      </c>
      <c r="K32" s="40">
        <v>48269</v>
      </c>
      <c r="L32" s="40">
        <v>169620</v>
      </c>
      <c r="M32" s="40">
        <v>8082631</v>
      </c>
      <c r="N32" s="40">
        <v>11647</v>
      </c>
      <c r="O32" s="40">
        <v>0</v>
      </c>
      <c r="P32" s="40">
        <v>0</v>
      </c>
      <c r="Q32" s="40">
        <v>0</v>
      </c>
      <c r="R32" s="40">
        <v>3374</v>
      </c>
      <c r="S32" s="40">
        <v>0</v>
      </c>
      <c r="T32" s="40">
        <v>0</v>
      </c>
      <c r="U32" s="40">
        <v>0</v>
      </c>
      <c r="V32" s="40">
        <v>751248</v>
      </c>
      <c r="W32" s="40">
        <v>3446749</v>
      </c>
      <c r="X32" s="40">
        <v>54766</v>
      </c>
      <c r="Y32" s="40">
        <v>0</v>
      </c>
      <c r="Z32" s="40">
        <v>0</v>
      </c>
      <c r="AA32" s="40">
        <v>92444</v>
      </c>
      <c r="AB32" s="40">
        <v>6715</v>
      </c>
      <c r="AC32" s="40">
        <v>984088</v>
      </c>
      <c r="AD32" s="40">
        <v>173874</v>
      </c>
      <c r="AE32" s="40">
        <v>13232</v>
      </c>
      <c r="AF32" s="40">
        <v>0</v>
      </c>
      <c r="AG32" s="40">
        <v>134070</v>
      </c>
      <c r="AH32" s="40">
        <v>0</v>
      </c>
      <c r="AI32" s="40">
        <v>2240</v>
      </c>
      <c r="AJ32" s="40">
        <v>1795939</v>
      </c>
      <c r="AK32" s="40">
        <v>343162</v>
      </c>
      <c r="AL32" s="40">
        <v>16590</v>
      </c>
      <c r="AM32" s="40">
        <v>0</v>
      </c>
      <c r="AN32" s="40">
        <v>26909</v>
      </c>
      <c r="AO32" s="40">
        <v>3014976</v>
      </c>
      <c r="AP32" s="40">
        <v>4788039</v>
      </c>
      <c r="AQ32" s="40">
        <v>35203</v>
      </c>
      <c r="AR32" s="40">
        <v>1683425</v>
      </c>
      <c r="AS32" s="40">
        <v>286675</v>
      </c>
      <c r="AT32" s="40">
        <v>8016512</v>
      </c>
      <c r="AU32" s="40">
        <v>0</v>
      </c>
      <c r="AV32" s="40">
        <v>522420</v>
      </c>
      <c r="AW32" s="40">
        <v>88236</v>
      </c>
      <c r="AX32" s="40">
        <v>22189760</v>
      </c>
      <c r="AY32" s="40">
        <v>0</v>
      </c>
      <c r="AZ32" s="40">
        <v>0</v>
      </c>
      <c r="BA32" s="40">
        <v>54097</v>
      </c>
      <c r="BB32" s="40">
        <v>0</v>
      </c>
      <c r="BC32" s="40">
        <v>0</v>
      </c>
      <c r="BD32" s="40">
        <v>0</v>
      </c>
      <c r="BE32" s="40">
        <v>0</v>
      </c>
      <c r="BF32" s="40">
        <v>0</v>
      </c>
      <c r="BG32" s="40">
        <v>0</v>
      </c>
      <c r="BH32" s="40">
        <v>0</v>
      </c>
      <c r="BI32" s="40">
        <v>0</v>
      </c>
      <c r="BJ32" s="40">
        <v>103855</v>
      </c>
      <c r="BK32" s="40">
        <v>7670862</v>
      </c>
      <c r="BL32" s="40">
        <v>250097</v>
      </c>
      <c r="BM32" s="40">
        <v>0</v>
      </c>
      <c r="BN32" s="40">
        <v>0</v>
      </c>
      <c r="BO32" s="40">
        <v>0</v>
      </c>
      <c r="BP32" s="40">
        <v>0</v>
      </c>
      <c r="BQ32" s="40">
        <v>235102</v>
      </c>
      <c r="BR32" s="40">
        <v>0</v>
      </c>
      <c r="BS32" s="40">
        <v>0</v>
      </c>
      <c r="BT32" s="40">
        <v>133570043</v>
      </c>
      <c r="BU32" s="40">
        <v>871283</v>
      </c>
      <c r="BV32" s="40">
        <v>0</v>
      </c>
      <c r="BW32" s="40">
        <v>0</v>
      </c>
      <c r="BX32" s="40">
        <v>871283</v>
      </c>
      <c r="BY32" s="40">
        <v>0</v>
      </c>
      <c r="BZ32" s="40">
        <v>-3568049</v>
      </c>
      <c r="CA32" s="40">
        <v>0</v>
      </c>
      <c r="CB32" s="40">
        <v>-3568049</v>
      </c>
      <c r="CC32" s="40">
        <v>32779423</v>
      </c>
      <c r="CD32" s="40">
        <v>30082657</v>
      </c>
      <c r="CE32" s="40">
        <v>163652700</v>
      </c>
      <c r="CF32" s="41"/>
      <c r="CG32" s="41"/>
      <c r="CH32" s="42"/>
    </row>
    <row r="33" spans="1:86" ht="22.5">
      <c r="A33" s="38">
        <v>27</v>
      </c>
      <c r="B33" s="65" t="s">
        <v>170</v>
      </c>
      <c r="C33" s="39" t="s">
        <v>169</v>
      </c>
      <c r="D33" s="40">
        <v>1285063</v>
      </c>
      <c r="E33" s="40">
        <v>0</v>
      </c>
      <c r="F33" s="40">
        <v>942581</v>
      </c>
      <c r="G33" s="40">
        <v>0</v>
      </c>
      <c r="H33" s="40">
        <v>13932458</v>
      </c>
      <c r="I33" s="40">
        <v>0</v>
      </c>
      <c r="J33" s="40">
        <v>0</v>
      </c>
      <c r="K33" s="40">
        <v>4088630</v>
      </c>
      <c r="L33" s="40">
        <v>1686959</v>
      </c>
      <c r="M33" s="40">
        <v>2</v>
      </c>
      <c r="N33" s="40">
        <v>89861</v>
      </c>
      <c r="O33" s="40">
        <v>0</v>
      </c>
      <c r="P33" s="40">
        <v>10566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68852</v>
      </c>
      <c r="Y33" s="40">
        <v>0</v>
      </c>
      <c r="Z33" s="40">
        <v>0</v>
      </c>
      <c r="AA33" s="40">
        <v>2902390</v>
      </c>
      <c r="AB33" s="40">
        <v>934868</v>
      </c>
      <c r="AC33" s="40">
        <v>0</v>
      </c>
      <c r="AD33" s="40">
        <v>3866021</v>
      </c>
      <c r="AE33" s="40">
        <v>536</v>
      </c>
      <c r="AF33" s="40">
        <v>297605</v>
      </c>
      <c r="AG33" s="40">
        <v>10959492</v>
      </c>
      <c r="AH33" s="40">
        <v>245</v>
      </c>
      <c r="AI33" s="40">
        <v>37023</v>
      </c>
      <c r="AJ33" s="40">
        <v>2497210</v>
      </c>
      <c r="AK33" s="40">
        <v>0</v>
      </c>
      <c r="AL33" s="40">
        <v>36</v>
      </c>
      <c r="AM33" s="40">
        <v>0</v>
      </c>
      <c r="AN33" s="40">
        <v>0</v>
      </c>
      <c r="AO33" s="40">
        <v>16585062</v>
      </c>
      <c r="AP33" s="40">
        <v>5188021</v>
      </c>
      <c r="AQ33" s="40">
        <v>0</v>
      </c>
      <c r="AR33" s="40">
        <v>2522635</v>
      </c>
      <c r="AS33" s="40">
        <v>322102</v>
      </c>
      <c r="AT33" s="40">
        <v>86821336</v>
      </c>
      <c r="AU33" s="40">
        <v>0</v>
      </c>
      <c r="AV33" s="40">
        <v>2105393</v>
      </c>
      <c r="AW33" s="40">
        <v>1203206</v>
      </c>
      <c r="AX33" s="40">
        <v>1249803</v>
      </c>
      <c r="AY33" s="40">
        <v>0</v>
      </c>
      <c r="AZ33" s="40">
        <v>0</v>
      </c>
      <c r="BA33" s="40">
        <v>342</v>
      </c>
      <c r="BB33" s="40">
        <v>0</v>
      </c>
      <c r="BC33" s="40">
        <v>0</v>
      </c>
      <c r="BD33" s="40">
        <v>0</v>
      </c>
      <c r="BE33" s="40">
        <v>14849</v>
      </c>
      <c r="BF33" s="40">
        <v>0</v>
      </c>
      <c r="BG33" s="40">
        <v>0</v>
      </c>
      <c r="BH33" s="40">
        <v>0</v>
      </c>
      <c r="BI33" s="40">
        <v>0</v>
      </c>
      <c r="BJ33" s="40">
        <v>47794</v>
      </c>
      <c r="BK33" s="40">
        <v>1672977</v>
      </c>
      <c r="BL33" s="40">
        <v>47917</v>
      </c>
      <c r="BM33" s="40">
        <v>0</v>
      </c>
      <c r="BN33" s="40">
        <v>0</v>
      </c>
      <c r="BO33" s="40">
        <v>0</v>
      </c>
      <c r="BP33" s="40">
        <v>0</v>
      </c>
      <c r="BQ33" s="40">
        <v>0</v>
      </c>
      <c r="BR33" s="40">
        <v>0</v>
      </c>
      <c r="BS33" s="40">
        <v>0</v>
      </c>
      <c r="BT33" s="40">
        <v>161381835</v>
      </c>
      <c r="BU33" s="40">
        <v>0</v>
      </c>
      <c r="BV33" s="40">
        <v>0</v>
      </c>
      <c r="BW33" s="40">
        <v>0</v>
      </c>
      <c r="BX33" s="40">
        <v>0</v>
      </c>
      <c r="BY33" s="40">
        <v>0</v>
      </c>
      <c r="BZ33" s="40">
        <v>-2569481</v>
      </c>
      <c r="CA33" s="40">
        <v>0</v>
      </c>
      <c r="CB33" s="40">
        <v>-2569481</v>
      </c>
      <c r="CC33" s="40">
        <v>9570146</v>
      </c>
      <c r="CD33" s="40">
        <v>7000665</v>
      </c>
      <c r="CE33" s="40">
        <v>168382500</v>
      </c>
      <c r="CF33" s="41"/>
      <c r="CG33" s="41"/>
      <c r="CH33" s="42"/>
    </row>
    <row r="34" spans="1:86" ht="22.5">
      <c r="A34" s="38">
        <v>28</v>
      </c>
      <c r="B34" s="65" t="s">
        <v>168</v>
      </c>
      <c r="C34" s="39" t="s">
        <v>167</v>
      </c>
      <c r="D34" s="40">
        <v>30327</v>
      </c>
      <c r="E34" s="40">
        <v>814</v>
      </c>
      <c r="F34" s="40">
        <v>0</v>
      </c>
      <c r="G34" s="40">
        <v>0</v>
      </c>
      <c r="H34" s="40">
        <v>5800340</v>
      </c>
      <c r="I34" s="40">
        <v>0</v>
      </c>
      <c r="J34" s="40">
        <v>21874275</v>
      </c>
      <c r="K34" s="40">
        <v>1162666078</v>
      </c>
      <c r="L34" s="40">
        <v>380</v>
      </c>
      <c r="M34" s="40">
        <v>74261</v>
      </c>
      <c r="N34" s="40">
        <v>1497097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135350</v>
      </c>
      <c r="U34" s="40">
        <v>0</v>
      </c>
      <c r="V34" s="40">
        <v>0</v>
      </c>
      <c r="W34" s="40">
        <v>2726664</v>
      </c>
      <c r="X34" s="40">
        <v>3858676</v>
      </c>
      <c r="Y34" s="40">
        <v>1855407</v>
      </c>
      <c r="Z34" s="40">
        <v>884488</v>
      </c>
      <c r="AA34" s="40">
        <v>21723666</v>
      </c>
      <c r="AB34" s="40">
        <v>206563003</v>
      </c>
      <c r="AC34" s="40">
        <v>0</v>
      </c>
      <c r="AD34" s="40">
        <v>1005080</v>
      </c>
      <c r="AE34" s="40">
        <v>360534375</v>
      </c>
      <c r="AF34" s="40">
        <v>11444103</v>
      </c>
      <c r="AG34" s="40">
        <v>47884103</v>
      </c>
      <c r="AH34" s="40">
        <v>17582987</v>
      </c>
      <c r="AI34" s="40">
        <v>105471367</v>
      </c>
      <c r="AJ34" s="40">
        <v>25844011</v>
      </c>
      <c r="AK34" s="40">
        <v>62896637</v>
      </c>
      <c r="AL34" s="40">
        <v>23609411</v>
      </c>
      <c r="AM34" s="40">
        <v>824010</v>
      </c>
      <c r="AN34" s="40">
        <v>14063597</v>
      </c>
      <c r="AO34" s="40">
        <v>5059381</v>
      </c>
      <c r="AP34" s="40">
        <v>70813291</v>
      </c>
      <c r="AQ34" s="40">
        <v>0</v>
      </c>
      <c r="AR34" s="40">
        <v>118167</v>
      </c>
      <c r="AS34" s="40">
        <v>42737378</v>
      </c>
      <c r="AT34" s="40">
        <v>1200188454</v>
      </c>
      <c r="AU34" s="40">
        <v>8885115</v>
      </c>
      <c r="AV34" s="40">
        <v>0</v>
      </c>
      <c r="AW34" s="40">
        <v>0</v>
      </c>
      <c r="AX34" s="40">
        <v>1816417</v>
      </c>
      <c r="AY34" s="40">
        <v>0</v>
      </c>
      <c r="AZ34" s="40">
        <v>0</v>
      </c>
      <c r="BA34" s="40">
        <v>0</v>
      </c>
      <c r="BB34" s="40">
        <v>0</v>
      </c>
      <c r="BC34" s="40">
        <v>0</v>
      </c>
      <c r="BD34" s="40">
        <v>0</v>
      </c>
      <c r="BE34" s="40">
        <v>20863</v>
      </c>
      <c r="BF34" s="40">
        <v>2181578</v>
      </c>
      <c r="BG34" s="40">
        <v>213002783</v>
      </c>
      <c r="BH34" s="40">
        <v>0</v>
      </c>
      <c r="BI34" s="40">
        <v>0</v>
      </c>
      <c r="BJ34" s="40">
        <v>999672</v>
      </c>
      <c r="BK34" s="40">
        <v>158968376</v>
      </c>
      <c r="BL34" s="40">
        <v>187906</v>
      </c>
      <c r="BM34" s="40">
        <v>0</v>
      </c>
      <c r="BN34" s="40">
        <v>70624</v>
      </c>
      <c r="BO34" s="40">
        <v>188163</v>
      </c>
      <c r="BP34" s="40">
        <v>240</v>
      </c>
      <c r="BQ34" s="40">
        <v>541029</v>
      </c>
      <c r="BR34" s="40">
        <v>0</v>
      </c>
      <c r="BS34" s="40">
        <v>0</v>
      </c>
      <c r="BT34" s="40">
        <v>3806629944</v>
      </c>
      <c r="BU34" s="40">
        <v>0</v>
      </c>
      <c r="BV34" s="40">
        <v>0</v>
      </c>
      <c r="BW34" s="40">
        <v>0</v>
      </c>
      <c r="BX34" s="40">
        <v>0</v>
      </c>
      <c r="BY34" s="40">
        <v>0</v>
      </c>
      <c r="BZ34" s="40">
        <v>1403562305</v>
      </c>
      <c r="CA34" s="40">
        <v>66780654</v>
      </c>
      <c r="CB34" s="40">
        <v>1470342959</v>
      </c>
      <c r="CC34" s="40">
        <v>3574778496</v>
      </c>
      <c r="CD34" s="40">
        <v>5045121455</v>
      </c>
      <c r="CE34" s="40">
        <v>8851751399</v>
      </c>
      <c r="CF34" s="41"/>
      <c r="CG34" s="41"/>
      <c r="CH34" s="42"/>
    </row>
    <row r="35" spans="1:86">
      <c r="A35" s="38">
        <v>29</v>
      </c>
      <c r="B35" s="65" t="s">
        <v>166</v>
      </c>
      <c r="C35" s="39" t="s">
        <v>165</v>
      </c>
      <c r="D35" s="40">
        <v>33087</v>
      </c>
      <c r="E35" s="40">
        <v>0</v>
      </c>
      <c r="F35" s="40">
        <v>104</v>
      </c>
      <c r="G35" s="40">
        <v>0</v>
      </c>
      <c r="H35" s="40">
        <v>17588081</v>
      </c>
      <c r="I35" s="40">
        <v>835959</v>
      </c>
      <c r="J35" s="40">
        <v>0</v>
      </c>
      <c r="K35" s="40">
        <v>44533</v>
      </c>
      <c r="L35" s="40">
        <v>0</v>
      </c>
      <c r="M35" s="40">
        <v>1369266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9311572</v>
      </c>
      <c r="X35" s="40">
        <v>0</v>
      </c>
      <c r="Y35" s="40">
        <v>0</v>
      </c>
      <c r="Z35" s="40">
        <v>1849</v>
      </c>
      <c r="AA35" s="40">
        <v>79057</v>
      </c>
      <c r="AB35" s="40">
        <v>0</v>
      </c>
      <c r="AC35" s="40">
        <v>0</v>
      </c>
      <c r="AD35" s="40">
        <v>0</v>
      </c>
      <c r="AE35" s="40">
        <v>605</v>
      </c>
      <c r="AF35" s="40">
        <v>0</v>
      </c>
      <c r="AG35" s="40">
        <v>3068422</v>
      </c>
      <c r="AH35" s="40">
        <v>0</v>
      </c>
      <c r="AI35" s="40">
        <v>3509</v>
      </c>
      <c r="AJ35" s="40">
        <v>34159</v>
      </c>
      <c r="AK35" s="40">
        <v>1332901</v>
      </c>
      <c r="AL35" s="40">
        <v>558549</v>
      </c>
      <c r="AM35" s="40">
        <v>0</v>
      </c>
      <c r="AN35" s="40">
        <v>0</v>
      </c>
      <c r="AO35" s="40">
        <v>31431</v>
      </c>
      <c r="AP35" s="40">
        <v>70133</v>
      </c>
      <c r="AQ35" s="40">
        <v>307318</v>
      </c>
      <c r="AR35" s="40">
        <v>409345</v>
      </c>
      <c r="AS35" s="40">
        <v>1041631</v>
      </c>
      <c r="AT35" s="40">
        <v>3288534</v>
      </c>
      <c r="AU35" s="40">
        <v>0</v>
      </c>
      <c r="AV35" s="40">
        <v>1253891</v>
      </c>
      <c r="AW35" s="40">
        <v>0</v>
      </c>
      <c r="AX35" s="40">
        <v>3933919</v>
      </c>
      <c r="AY35" s="40">
        <v>0</v>
      </c>
      <c r="AZ35" s="40">
        <v>0</v>
      </c>
      <c r="BA35" s="40">
        <v>0</v>
      </c>
      <c r="BB35" s="40">
        <v>0</v>
      </c>
      <c r="BC35" s="40">
        <v>0</v>
      </c>
      <c r="BD35" s="40">
        <v>0</v>
      </c>
      <c r="BE35" s="40">
        <v>0</v>
      </c>
      <c r="BF35" s="40">
        <v>0</v>
      </c>
      <c r="BG35" s="40">
        <v>0</v>
      </c>
      <c r="BH35" s="40">
        <v>0</v>
      </c>
      <c r="BI35" s="40">
        <v>0</v>
      </c>
      <c r="BJ35" s="40">
        <v>135965</v>
      </c>
      <c r="BK35" s="40">
        <v>432646</v>
      </c>
      <c r="BL35" s="40">
        <v>0</v>
      </c>
      <c r="BM35" s="40">
        <v>0</v>
      </c>
      <c r="BN35" s="40">
        <v>0</v>
      </c>
      <c r="BO35" s="40">
        <v>0</v>
      </c>
      <c r="BP35" s="40">
        <v>0</v>
      </c>
      <c r="BQ35" s="40">
        <v>0</v>
      </c>
      <c r="BR35" s="40">
        <v>0</v>
      </c>
      <c r="BS35" s="40">
        <v>0</v>
      </c>
      <c r="BT35" s="40">
        <v>45166466</v>
      </c>
      <c r="BU35" s="40">
        <v>0</v>
      </c>
      <c r="BV35" s="40">
        <v>0</v>
      </c>
      <c r="BW35" s="40">
        <v>0</v>
      </c>
      <c r="BX35" s="40">
        <v>0</v>
      </c>
      <c r="BY35" s="40">
        <v>0</v>
      </c>
      <c r="BZ35" s="40">
        <v>0</v>
      </c>
      <c r="CA35" s="40">
        <v>0</v>
      </c>
      <c r="CB35" s="40">
        <v>0</v>
      </c>
      <c r="CC35" s="40">
        <v>306334</v>
      </c>
      <c r="CD35" s="40">
        <v>306334</v>
      </c>
      <c r="CE35" s="40">
        <v>45472800</v>
      </c>
      <c r="CF35" s="41"/>
      <c r="CG35" s="41"/>
      <c r="CH35" s="42"/>
    </row>
    <row r="36" spans="1:86" ht="22.5">
      <c r="A36" s="38">
        <v>30</v>
      </c>
      <c r="B36" s="65" t="s">
        <v>66</v>
      </c>
      <c r="C36" s="39" t="s">
        <v>65</v>
      </c>
      <c r="D36" s="40">
        <v>3411148</v>
      </c>
      <c r="E36" s="40">
        <v>42</v>
      </c>
      <c r="F36" s="40">
        <v>340633</v>
      </c>
      <c r="G36" s="40">
        <v>9109957</v>
      </c>
      <c r="H36" s="40">
        <v>42384294</v>
      </c>
      <c r="I36" s="40">
        <v>1872965</v>
      </c>
      <c r="J36" s="40">
        <v>347055</v>
      </c>
      <c r="K36" s="40">
        <v>172855</v>
      </c>
      <c r="L36" s="40">
        <v>13268289</v>
      </c>
      <c r="M36" s="40">
        <v>1428969</v>
      </c>
      <c r="N36" s="40">
        <v>299344</v>
      </c>
      <c r="O36" s="40">
        <v>0</v>
      </c>
      <c r="P36" s="40">
        <v>12764</v>
      </c>
      <c r="Q36" s="40">
        <v>9175</v>
      </c>
      <c r="R36" s="40">
        <v>2992</v>
      </c>
      <c r="S36" s="40">
        <v>6890</v>
      </c>
      <c r="T36" s="40">
        <v>0</v>
      </c>
      <c r="U36" s="40">
        <v>0</v>
      </c>
      <c r="V36" s="40">
        <v>30850</v>
      </c>
      <c r="W36" s="40">
        <v>317847</v>
      </c>
      <c r="X36" s="40">
        <v>60153</v>
      </c>
      <c r="Y36" s="40">
        <v>1334</v>
      </c>
      <c r="Z36" s="40">
        <v>21352</v>
      </c>
      <c r="AA36" s="40">
        <v>5780505</v>
      </c>
      <c r="AB36" s="40">
        <v>173489</v>
      </c>
      <c r="AC36" s="40">
        <v>662</v>
      </c>
      <c r="AD36" s="40">
        <v>29</v>
      </c>
      <c r="AE36" s="40">
        <v>2638</v>
      </c>
      <c r="AF36" s="40">
        <v>48</v>
      </c>
      <c r="AG36" s="40">
        <v>493165</v>
      </c>
      <c r="AH36" s="40">
        <v>300</v>
      </c>
      <c r="AI36" s="40">
        <v>1086</v>
      </c>
      <c r="AJ36" s="40">
        <v>9920</v>
      </c>
      <c r="AK36" s="40">
        <v>2906278</v>
      </c>
      <c r="AL36" s="40">
        <v>495460</v>
      </c>
      <c r="AM36" s="40">
        <v>140723</v>
      </c>
      <c r="AN36" s="40">
        <v>8015</v>
      </c>
      <c r="AO36" s="40">
        <v>4101583</v>
      </c>
      <c r="AP36" s="40">
        <v>1603401</v>
      </c>
      <c r="AQ36" s="40">
        <v>1268138</v>
      </c>
      <c r="AR36" s="40">
        <v>5600928</v>
      </c>
      <c r="AS36" s="40">
        <v>2961431</v>
      </c>
      <c r="AT36" s="40">
        <v>41522914</v>
      </c>
      <c r="AU36" s="40">
        <v>19315298</v>
      </c>
      <c r="AV36" s="40">
        <v>19315801</v>
      </c>
      <c r="AW36" s="40">
        <v>25796450</v>
      </c>
      <c r="AX36" s="40">
        <v>13477720</v>
      </c>
      <c r="AY36" s="40">
        <v>3882</v>
      </c>
      <c r="AZ36" s="40">
        <v>34123</v>
      </c>
      <c r="BA36" s="40">
        <v>3665012</v>
      </c>
      <c r="BB36" s="40">
        <v>71390</v>
      </c>
      <c r="BC36" s="40">
        <v>77596</v>
      </c>
      <c r="BD36" s="40">
        <v>23206</v>
      </c>
      <c r="BE36" s="40">
        <v>5900011</v>
      </c>
      <c r="BF36" s="40">
        <v>29474327</v>
      </c>
      <c r="BG36" s="40">
        <v>5063</v>
      </c>
      <c r="BH36" s="40">
        <v>128583</v>
      </c>
      <c r="BI36" s="40">
        <v>2443</v>
      </c>
      <c r="BJ36" s="40">
        <v>31425209</v>
      </c>
      <c r="BK36" s="40">
        <v>40956985</v>
      </c>
      <c r="BL36" s="40">
        <v>1747210</v>
      </c>
      <c r="BM36" s="40">
        <v>14824748</v>
      </c>
      <c r="BN36" s="40">
        <v>10024507</v>
      </c>
      <c r="BO36" s="40">
        <v>2171909</v>
      </c>
      <c r="BP36" s="40">
        <v>131841</v>
      </c>
      <c r="BQ36" s="40">
        <v>3748251</v>
      </c>
      <c r="BR36" s="40">
        <v>498084</v>
      </c>
      <c r="BS36" s="40">
        <v>0</v>
      </c>
      <c r="BT36" s="40">
        <v>362989270</v>
      </c>
      <c r="BU36" s="40">
        <v>9915056</v>
      </c>
      <c r="BV36" s="40">
        <v>0</v>
      </c>
      <c r="BW36" s="40">
        <v>0</v>
      </c>
      <c r="BX36" s="40">
        <v>9915056</v>
      </c>
      <c r="BY36" s="40">
        <v>152975171</v>
      </c>
      <c r="BZ36" s="40">
        <v>-35717463</v>
      </c>
      <c r="CA36" s="40">
        <v>0</v>
      </c>
      <c r="CB36" s="40">
        <v>117257708</v>
      </c>
      <c r="CC36" s="40">
        <v>151918864</v>
      </c>
      <c r="CD36" s="40">
        <v>279091628</v>
      </c>
      <c r="CE36" s="40">
        <v>642080898</v>
      </c>
      <c r="CF36" s="41"/>
      <c r="CG36" s="41"/>
      <c r="CH36" s="42"/>
    </row>
    <row r="37" spans="1:86" ht="22.5">
      <c r="A37" s="38">
        <v>31</v>
      </c>
      <c r="B37" s="65" t="s">
        <v>64</v>
      </c>
      <c r="C37" s="39" t="s">
        <v>135</v>
      </c>
      <c r="D37" s="40">
        <v>5723</v>
      </c>
      <c r="E37" s="40">
        <v>216</v>
      </c>
      <c r="F37" s="40">
        <v>0</v>
      </c>
      <c r="G37" s="40">
        <v>0</v>
      </c>
      <c r="H37" s="40">
        <v>439292</v>
      </c>
      <c r="I37" s="40">
        <v>24178</v>
      </c>
      <c r="J37" s="40">
        <v>60</v>
      </c>
      <c r="K37" s="40">
        <v>6322</v>
      </c>
      <c r="L37" s="40">
        <v>224</v>
      </c>
      <c r="M37" s="40">
        <v>27460</v>
      </c>
      <c r="N37" s="40">
        <v>7974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66</v>
      </c>
      <c r="U37" s="40">
        <v>31</v>
      </c>
      <c r="V37" s="40">
        <v>0</v>
      </c>
      <c r="W37" s="40">
        <v>7036</v>
      </c>
      <c r="X37" s="40">
        <v>36472</v>
      </c>
      <c r="Y37" s="40">
        <v>787</v>
      </c>
      <c r="Z37" s="40">
        <v>60</v>
      </c>
      <c r="AA37" s="40">
        <v>749</v>
      </c>
      <c r="AB37" s="40">
        <v>876</v>
      </c>
      <c r="AC37" s="40">
        <v>0</v>
      </c>
      <c r="AD37" s="40">
        <v>0</v>
      </c>
      <c r="AE37" s="40">
        <v>1</v>
      </c>
      <c r="AF37" s="40">
        <v>59</v>
      </c>
      <c r="AG37" s="40">
        <v>152</v>
      </c>
      <c r="AH37" s="40">
        <v>60247</v>
      </c>
      <c r="AI37" s="40">
        <v>12331</v>
      </c>
      <c r="AJ37" s="40">
        <v>13171</v>
      </c>
      <c r="AK37" s="40">
        <v>46485</v>
      </c>
      <c r="AL37" s="40">
        <v>49311</v>
      </c>
      <c r="AM37" s="40">
        <v>0</v>
      </c>
      <c r="AN37" s="40">
        <v>0</v>
      </c>
      <c r="AO37" s="40">
        <v>1435</v>
      </c>
      <c r="AP37" s="40">
        <v>144268</v>
      </c>
      <c r="AQ37" s="40">
        <v>1135</v>
      </c>
      <c r="AR37" s="40">
        <v>220</v>
      </c>
      <c r="AS37" s="40">
        <v>5341</v>
      </c>
      <c r="AT37" s="40">
        <v>4507</v>
      </c>
      <c r="AU37" s="40">
        <v>1060</v>
      </c>
      <c r="AV37" s="40">
        <v>64863</v>
      </c>
      <c r="AW37" s="40">
        <v>218377</v>
      </c>
      <c r="AX37" s="40">
        <v>103538</v>
      </c>
      <c r="AY37" s="40">
        <v>1399</v>
      </c>
      <c r="AZ37" s="40">
        <v>24296</v>
      </c>
      <c r="BA37" s="40">
        <v>151187</v>
      </c>
      <c r="BB37" s="40">
        <v>17194</v>
      </c>
      <c r="BC37" s="40">
        <v>1627</v>
      </c>
      <c r="BD37" s="40">
        <v>53643</v>
      </c>
      <c r="BE37" s="40">
        <v>382549</v>
      </c>
      <c r="BF37" s="40">
        <v>1814745</v>
      </c>
      <c r="BG37" s="40">
        <v>56483</v>
      </c>
      <c r="BH37" s="40">
        <v>110456</v>
      </c>
      <c r="BI37" s="40">
        <v>24071</v>
      </c>
      <c r="BJ37" s="40">
        <v>3897</v>
      </c>
      <c r="BK37" s="40">
        <v>381428</v>
      </c>
      <c r="BL37" s="40">
        <v>1846400</v>
      </c>
      <c r="BM37" s="40">
        <v>1165907</v>
      </c>
      <c r="BN37" s="40">
        <v>832191</v>
      </c>
      <c r="BO37" s="40">
        <v>414779</v>
      </c>
      <c r="BP37" s="40">
        <v>11696</v>
      </c>
      <c r="BQ37" s="40">
        <v>50588</v>
      </c>
      <c r="BR37" s="40">
        <v>78350</v>
      </c>
      <c r="BS37" s="40">
        <v>0</v>
      </c>
      <c r="BT37" s="40">
        <v>8706913</v>
      </c>
      <c r="BU37" s="40">
        <v>33590246</v>
      </c>
      <c r="BV37" s="40">
        <v>0</v>
      </c>
      <c r="BW37" s="40">
        <v>0</v>
      </c>
      <c r="BX37" s="40">
        <v>33590246</v>
      </c>
      <c r="BY37" s="40">
        <v>38866157</v>
      </c>
      <c r="BZ37" s="40">
        <v>-254631196</v>
      </c>
      <c r="CA37" s="40">
        <v>0</v>
      </c>
      <c r="CB37" s="40">
        <v>-215765039</v>
      </c>
      <c r="CC37" s="40">
        <v>260135876</v>
      </c>
      <c r="CD37" s="40">
        <v>77961083</v>
      </c>
      <c r="CE37" s="40">
        <v>86667996</v>
      </c>
      <c r="CF37" s="41"/>
      <c r="CG37" s="41"/>
      <c r="CH37" s="42"/>
    </row>
    <row r="38" spans="1:86">
      <c r="A38" s="38">
        <v>32</v>
      </c>
      <c r="B38" s="65" t="s">
        <v>96</v>
      </c>
      <c r="C38" s="39" t="s">
        <v>164</v>
      </c>
      <c r="D38" s="40">
        <v>157141</v>
      </c>
      <c r="E38" s="40">
        <v>8</v>
      </c>
      <c r="F38" s="40">
        <v>186</v>
      </c>
      <c r="G38" s="40">
        <v>11720</v>
      </c>
      <c r="H38" s="40">
        <v>6657529</v>
      </c>
      <c r="I38" s="40">
        <v>396373</v>
      </c>
      <c r="J38" s="40">
        <v>55755</v>
      </c>
      <c r="K38" s="40">
        <v>10520</v>
      </c>
      <c r="L38" s="40">
        <v>1091763</v>
      </c>
      <c r="M38" s="40">
        <v>42223</v>
      </c>
      <c r="N38" s="40">
        <v>1662</v>
      </c>
      <c r="O38" s="40">
        <v>0</v>
      </c>
      <c r="P38" s="40">
        <v>118</v>
      </c>
      <c r="Q38" s="40">
        <v>51</v>
      </c>
      <c r="R38" s="40">
        <v>88</v>
      </c>
      <c r="S38" s="40">
        <v>0</v>
      </c>
      <c r="T38" s="40">
        <v>185</v>
      </c>
      <c r="U38" s="40">
        <v>0</v>
      </c>
      <c r="V38" s="40">
        <v>19952</v>
      </c>
      <c r="W38" s="40">
        <v>37808</v>
      </c>
      <c r="X38" s="40">
        <v>37136</v>
      </c>
      <c r="Y38" s="40">
        <v>0</v>
      </c>
      <c r="Z38" s="40">
        <v>2134</v>
      </c>
      <c r="AA38" s="40">
        <v>9379</v>
      </c>
      <c r="AB38" s="40">
        <v>43437</v>
      </c>
      <c r="AC38" s="40">
        <v>9</v>
      </c>
      <c r="AD38" s="40">
        <v>0</v>
      </c>
      <c r="AE38" s="40">
        <v>29599</v>
      </c>
      <c r="AF38" s="40">
        <v>42</v>
      </c>
      <c r="AG38" s="40">
        <v>4850</v>
      </c>
      <c r="AH38" s="40">
        <v>125248</v>
      </c>
      <c r="AI38" s="40">
        <v>2319231</v>
      </c>
      <c r="AJ38" s="40">
        <v>756278</v>
      </c>
      <c r="AK38" s="40">
        <v>317165</v>
      </c>
      <c r="AL38" s="40">
        <v>129304</v>
      </c>
      <c r="AM38" s="40">
        <v>0</v>
      </c>
      <c r="AN38" s="40">
        <v>0</v>
      </c>
      <c r="AO38" s="40">
        <v>685076</v>
      </c>
      <c r="AP38" s="40">
        <v>2915159</v>
      </c>
      <c r="AQ38" s="40">
        <v>0</v>
      </c>
      <c r="AR38" s="40">
        <v>14643</v>
      </c>
      <c r="AS38" s="40">
        <v>28931</v>
      </c>
      <c r="AT38" s="40">
        <v>1343052</v>
      </c>
      <c r="AU38" s="40">
        <v>2479376</v>
      </c>
      <c r="AV38" s="40">
        <v>1180893</v>
      </c>
      <c r="AW38" s="40">
        <v>538040</v>
      </c>
      <c r="AX38" s="40">
        <v>126853</v>
      </c>
      <c r="AY38" s="40">
        <v>22</v>
      </c>
      <c r="AZ38" s="40">
        <v>219705</v>
      </c>
      <c r="BA38" s="40">
        <v>672744</v>
      </c>
      <c r="BB38" s="40">
        <v>0</v>
      </c>
      <c r="BC38" s="40">
        <v>229577</v>
      </c>
      <c r="BD38" s="40">
        <v>15704</v>
      </c>
      <c r="BE38" s="40">
        <v>195412</v>
      </c>
      <c r="BF38" s="40">
        <v>4183170</v>
      </c>
      <c r="BG38" s="40">
        <v>92549</v>
      </c>
      <c r="BH38" s="40">
        <v>15246</v>
      </c>
      <c r="BI38" s="40">
        <v>10227</v>
      </c>
      <c r="BJ38" s="40">
        <v>1407678</v>
      </c>
      <c r="BK38" s="40">
        <v>69589</v>
      </c>
      <c r="BL38" s="40">
        <v>4639443</v>
      </c>
      <c r="BM38" s="40">
        <v>1033087</v>
      </c>
      <c r="BN38" s="40">
        <v>1579967</v>
      </c>
      <c r="BO38" s="40">
        <v>94058</v>
      </c>
      <c r="BP38" s="40">
        <v>13957</v>
      </c>
      <c r="BQ38" s="40">
        <v>6695718</v>
      </c>
      <c r="BR38" s="40">
        <v>296495</v>
      </c>
      <c r="BS38" s="40">
        <v>0</v>
      </c>
      <c r="BT38" s="40">
        <v>43033265</v>
      </c>
      <c r="BU38" s="40">
        <v>8689533</v>
      </c>
      <c r="BV38" s="40">
        <v>0</v>
      </c>
      <c r="BW38" s="40">
        <v>0</v>
      </c>
      <c r="BX38" s="40">
        <v>8689533</v>
      </c>
      <c r="BY38" s="40">
        <v>273664692</v>
      </c>
      <c r="BZ38" s="40">
        <v>-85216241</v>
      </c>
      <c r="CA38" s="40">
        <v>0</v>
      </c>
      <c r="CB38" s="40">
        <v>188448451</v>
      </c>
      <c r="CC38" s="40">
        <v>202931953</v>
      </c>
      <c r="CD38" s="40">
        <v>400069937</v>
      </c>
      <c r="CE38" s="40">
        <v>443103202</v>
      </c>
      <c r="CF38" s="41"/>
      <c r="CG38" s="41"/>
      <c r="CH38" s="42"/>
    </row>
    <row r="39" spans="1:86" ht="22.5">
      <c r="A39" s="38">
        <v>33</v>
      </c>
      <c r="B39" s="65" t="s">
        <v>95</v>
      </c>
      <c r="C39" s="39" t="s">
        <v>163</v>
      </c>
      <c r="D39" s="40">
        <v>2967195</v>
      </c>
      <c r="E39" s="40">
        <v>1106</v>
      </c>
      <c r="F39" s="40">
        <v>4252</v>
      </c>
      <c r="G39" s="40">
        <v>1975426</v>
      </c>
      <c r="H39" s="40">
        <v>9747956</v>
      </c>
      <c r="I39" s="40">
        <v>191101</v>
      </c>
      <c r="J39" s="40">
        <v>154296</v>
      </c>
      <c r="K39" s="40">
        <v>1786635</v>
      </c>
      <c r="L39" s="40">
        <v>511332</v>
      </c>
      <c r="M39" s="40">
        <v>472993</v>
      </c>
      <c r="N39" s="40">
        <v>232814</v>
      </c>
      <c r="O39" s="40">
        <v>1634</v>
      </c>
      <c r="P39" s="40">
        <v>919</v>
      </c>
      <c r="Q39" s="40">
        <v>13247</v>
      </c>
      <c r="R39" s="40">
        <v>0</v>
      </c>
      <c r="S39" s="40">
        <v>233</v>
      </c>
      <c r="T39" s="40">
        <v>305657</v>
      </c>
      <c r="U39" s="40">
        <v>7244</v>
      </c>
      <c r="V39" s="40">
        <v>16835</v>
      </c>
      <c r="W39" s="40">
        <v>568893</v>
      </c>
      <c r="X39" s="40">
        <v>22535</v>
      </c>
      <c r="Y39" s="40">
        <v>4972</v>
      </c>
      <c r="Z39" s="40">
        <v>606</v>
      </c>
      <c r="AA39" s="40">
        <v>1277415</v>
      </c>
      <c r="AB39" s="40">
        <v>71642</v>
      </c>
      <c r="AC39" s="40">
        <v>98</v>
      </c>
      <c r="AD39" s="40">
        <v>0</v>
      </c>
      <c r="AE39" s="40">
        <v>131916</v>
      </c>
      <c r="AF39" s="40">
        <v>1</v>
      </c>
      <c r="AG39" s="40">
        <v>3655</v>
      </c>
      <c r="AH39" s="40">
        <v>178</v>
      </c>
      <c r="AI39" s="40">
        <v>771</v>
      </c>
      <c r="AJ39" s="40">
        <v>998725</v>
      </c>
      <c r="AK39" s="40">
        <v>100659</v>
      </c>
      <c r="AL39" s="40">
        <v>416255</v>
      </c>
      <c r="AM39" s="40">
        <v>0</v>
      </c>
      <c r="AN39" s="40">
        <v>373</v>
      </c>
      <c r="AO39" s="40">
        <v>22740</v>
      </c>
      <c r="AP39" s="40">
        <v>42205</v>
      </c>
      <c r="AQ39" s="40">
        <v>34725</v>
      </c>
      <c r="AR39" s="40">
        <v>315742</v>
      </c>
      <c r="AS39" s="40">
        <v>15661</v>
      </c>
      <c r="AT39" s="40">
        <v>562707</v>
      </c>
      <c r="AU39" s="40">
        <v>2905669</v>
      </c>
      <c r="AV39" s="40">
        <v>471079</v>
      </c>
      <c r="AW39" s="40">
        <v>1313408</v>
      </c>
      <c r="AX39" s="40">
        <v>812962</v>
      </c>
      <c r="AY39" s="40">
        <v>3623</v>
      </c>
      <c r="AZ39" s="40">
        <v>9279</v>
      </c>
      <c r="BA39" s="40">
        <v>772624</v>
      </c>
      <c r="BB39" s="40">
        <v>268</v>
      </c>
      <c r="BC39" s="40">
        <v>39414</v>
      </c>
      <c r="BD39" s="40">
        <v>41300</v>
      </c>
      <c r="BE39" s="40">
        <v>923955</v>
      </c>
      <c r="BF39" s="40">
        <v>1096058</v>
      </c>
      <c r="BG39" s="40">
        <v>52522</v>
      </c>
      <c r="BH39" s="40">
        <v>775</v>
      </c>
      <c r="BI39" s="40">
        <v>441</v>
      </c>
      <c r="BJ39" s="40">
        <v>114721</v>
      </c>
      <c r="BK39" s="40">
        <v>2312791</v>
      </c>
      <c r="BL39" s="40">
        <v>1544446</v>
      </c>
      <c r="BM39" s="40">
        <v>364874</v>
      </c>
      <c r="BN39" s="40">
        <v>554161</v>
      </c>
      <c r="BO39" s="40">
        <v>225994</v>
      </c>
      <c r="BP39" s="40">
        <v>19189</v>
      </c>
      <c r="BQ39" s="40">
        <v>124892</v>
      </c>
      <c r="BR39" s="40">
        <v>114229</v>
      </c>
      <c r="BS39" s="40">
        <v>0</v>
      </c>
      <c r="BT39" s="40">
        <v>36802023</v>
      </c>
      <c r="BU39" s="40">
        <v>9151192</v>
      </c>
      <c r="BV39" s="40">
        <v>0</v>
      </c>
      <c r="BW39" s="40">
        <v>0</v>
      </c>
      <c r="BX39" s="40">
        <v>9151192</v>
      </c>
      <c r="BY39" s="40">
        <v>578870511</v>
      </c>
      <c r="BZ39" s="40">
        <v>-496497924</v>
      </c>
      <c r="CA39" s="40">
        <v>0</v>
      </c>
      <c r="CB39" s="40">
        <v>82372587</v>
      </c>
      <c r="CC39" s="40">
        <v>429806797</v>
      </c>
      <c r="CD39" s="40">
        <v>521330576</v>
      </c>
      <c r="CE39" s="40">
        <v>558132599</v>
      </c>
      <c r="CF39" s="41"/>
      <c r="CG39" s="41"/>
      <c r="CH39" s="42"/>
    </row>
    <row r="40" spans="1:86">
      <c r="A40" s="38">
        <v>34</v>
      </c>
      <c r="B40" s="65" t="s">
        <v>63</v>
      </c>
      <c r="C40" s="39" t="s">
        <v>62</v>
      </c>
      <c r="D40" s="40">
        <v>10</v>
      </c>
      <c r="E40" s="40">
        <v>0</v>
      </c>
      <c r="F40" s="40">
        <v>0</v>
      </c>
      <c r="G40" s="40">
        <v>29</v>
      </c>
      <c r="H40" s="40">
        <v>21</v>
      </c>
      <c r="I40" s="40">
        <v>0</v>
      </c>
      <c r="J40" s="40">
        <v>0</v>
      </c>
      <c r="K40" s="40">
        <v>40</v>
      </c>
      <c r="L40" s="40">
        <v>33</v>
      </c>
      <c r="M40" s="40">
        <v>19</v>
      </c>
      <c r="N40" s="40">
        <v>52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28</v>
      </c>
      <c r="W40" s="40">
        <v>27</v>
      </c>
      <c r="X40" s="40">
        <v>7045</v>
      </c>
      <c r="Y40" s="40">
        <v>0</v>
      </c>
      <c r="Z40" s="40">
        <v>0</v>
      </c>
      <c r="AA40" s="40">
        <v>5106</v>
      </c>
      <c r="AB40" s="40">
        <v>0</v>
      </c>
      <c r="AC40" s="40">
        <v>0</v>
      </c>
      <c r="AD40" s="40">
        <v>0</v>
      </c>
      <c r="AE40" s="40">
        <v>3</v>
      </c>
      <c r="AF40" s="40">
        <v>0</v>
      </c>
      <c r="AG40" s="40">
        <v>687</v>
      </c>
      <c r="AH40" s="40">
        <v>0</v>
      </c>
      <c r="AI40" s="40">
        <v>654</v>
      </c>
      <c r="AJ40" s="40">
        <v>1</v>
      </c>
      <c r="AK40" s="40">
        <v>23157</v>
      </c>
      <c r="AL40" s="40">
        <v>0</v>
      </c>
      <c r="AM40" s="40">
        <v>0</v>
      </c>
      <c r="AN40" s="40">
        <v>0</v>
      </c>
      <c r="AO40" s="40">
        <v>7</v>
      </c>
      <c r="AP40" s="40">
        <v>88</v>
      </c>
      <c r="AQ40" s="40">
        <v>0</v>
      </c>
      <c r="AR40" s="40">
        <v>2</v>
      </c>
      <c r="AS40" s="40">
        <v>36</v>
      </c>
      <c r="AT40" s="40">
        <v>300</v>
      </c>
      <c r="AU40" s="40">
        <v>24990</v>
      </c>
      <c r="AV40" s="40">
        <v>838</v>
      </c>
      <c r="AW40" s="40">
        <v>95</v>
      </c>
      <c r="AX40" s="40">
        <v>1515</v>
      </c>
      <c r="AY40" s="40">
        <v>0</v>
      </c>
      <c r="AZ40" s="40">
        <v>6</v>
      </c>
      <c r="BA40" s="40">
        <v>127</v>
      </c>
      <c r="BB40" s="40">
        <v>27</v>
      </c>
      <c r="BC40" s="40">
        <v>0</v>
      </c>
      <c r="BD40" s="40">
        <v>4</v>
      </c>
      <c r="BE40" s="40">
        <v>154</v>
      </c>
      <c r="BF40" s="40">
        <v>0</v>
      </c>
      <c r="BG40" s="40">
        <v>1</v>
      </c>
      <c r="BH40" s="40">
        <v>0</v>
      </c>
      <c r="BI40" s="40">
        <v>9</v>
      </c>
      <c r="BJ40" s="40">
        <v>38</v>
      </c>
      <c r="BK40" s="40">
        <v>986</v>
      </c>
      <c r="BL40" s="40">
        <v>203</v>
      </c>
      <c r="BM40" s="40">
        <v>101</v>
      </c>
      <c r="BN40" s="40">
        <v>182</v>
      </c>
      <c r="BO40" s="40">
        <v>109</v>
      </c>
      <c r="BP40" s="40">
        <v>24</v>
      </c>
      <c r="BQ40" s="40">
        <v>16</v>
      </c>
      <c r="BR40" s="40">
        <v>8</v>
      </c>
      <c r="BS40" s="40">
        <v>0</v>
      </c>
      <c r="BT40" s="40">
        <v>66778</v>
      </c>
      <c r="BU40" s="40">
        <v>993738880</v>
      </c>
      <c r="BV40" s="40">
        <v>0</v>
      </c>
      <c r="BW40" s="40">
        <v>0</v>
      </c>
      <c r="BX40" s="40">
        <v>993738880</v>
      </c>
      <c r="BY40" s="40">
        <v>1110841916</v>
      </c>
      <c r="BZ40" s="40">
        <v>-206949157</v>
      </c>
      <c r="CA40" s="40">
        <v>0</v>
      </c>
      <c r="CB40" s="40">
        <v>903892759</v>
      </c>
      <c r="CC40" s="40">
        <v>92940183</v>
      </c>
      <c r="CD40" s="40">
        <v>1990571822</v>
      </c>
      <c r="CE40" s="40">
        <v>1990638600</v>
      </c>
      <c r="CF40" s="41"/>
      <c r="CG40" s="41"/>
      <c r="CH40" s="42"/>
    </row>
    <row r="41" spans="1:86">
      <c r="A41" s="38">
        <v>35</v>
      </c>
      <c r="B41" s="65" t="s">
        <v>61</v>
      </c>
      <c r="C41" s="39" t="s">
        <v>60</v>
      </c>
      <c r="D41" s="40">
        <v>5071</v>
      </c>
      <c r="E41" s="40">
        <v>0</v>
      </c>
      <c r="F41" s="40">
        <v>0</v>
      </c>
      <c r="G41" s="40">
        <v>182310</v>
      </c>
      <c r="H41" s="40">
        <v>14187</v>
      </c>
      <c r="I41" s="40">
        <v>664</v>
      </c>
      <c r="J41" s="40">
        <v>200584</v>
      </c>
      <c r="K41" s="40">
        <v>11314</v>
      </c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7947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11570</v>
      </c>
      <c r="AF41" s="40">
        <v>180</v>
      </c>
      <c r="AG41" s="40">
        <v>0</v>
      </c>
      <c r="AH41" s="40">
        <v>0</v>
      </c>
      <c r="AI41" s="40">
        <v>448</v>
      </c>
      <c r="AJ41" s="40">
        <v>5526</v>
      </c>
      <c r="AK41" s="40">
        <v>0</v>
      </c>
      <c r="AL41" s="40">
        <v>13939700</v>
      </c>
      <c r="AM41" s="40">
        <v>0</v>
      </c>
      <c r="AN41" s="40">
        <v>0</v>
      </c>
      <c r="AO41" s="40">
        <v>387242</v>
      </c>
      <c r="AP41" s="40">
        <v>2047</v>
      </c>
      <c r="AQ41" s="40">
        <v>0</v>
      </c>
      <c r="AR41" s="40">
        <v>2470</v>
      </c>
      <c r="AS41" s="40">
        <v>0</v>
      </c>
      <c r="AT41" s="40">
        <v>85</v>
      </c>
      <c r="AU41" s="40">
        <v>0</v>
      </c>
      <c r="AV41" s="40">
        <v>0</v>
      </c>
      <c r="AW41" s="40">
        <v>294941</v>
      </c>
      <c r="AX41" s="40">
        <v>30490628</v>
      </c>
      <c r="AY41" s="40">
        <v>0</v>
      </c>
      <c r="AZ41" s="40">
        <v>8719528</v>
      </c>
      <c r="BA41" s="40">
        <v>2757292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1198</v>
      </c>
      <c r="BL41" s="40">
        <v>426192</v>
      </c>
      <c r="BM41" s="40">
        <v>1053038</v>
      </c>
      <c r="BN41" s="40">
        <v>350738</v>
      </c>
      <c r="BO41" s="40">
        <v>21516</v>
      </c>
      <c r="BP41" s="40">
        <v>2188</v>
      </c>
      <c r="BQ41" s="40">
        <v>14405</v>
      </c>
      <c r="BR41" s="40">
        <v>0</v>
      </c>
      <c r="BS41" s="40">
        <v>0</v>
      </c>
      <c r="BT41" s="40">
        <v>58903009</v>
      </c>
      <c r="BU41" s="40">
        <v>104345</v>
      </c>
      <c r="BV41" s="40">
        <v>0</v>
      </c>
      <c r="BW41" s="40">
        <v>0</v>
      </c>
      <c r="BX41" s="40">
        <v>104345</v>
      </c>
      <c r="BY41" s="40">
        <v>735701972</v>
      </c>
      <c r="BZ41" s="40">
        <v>-505484283</v>
      </c>
      <c r="CA41" s="40">
        <v>0</v>
      </c>
      <c r="CB41" s="40">
        <v>230217689</v>
      </c>
      <c r="CC41" s="40">
        <v>404403722</v>
      </c>
      <c r="CD41" s="40">
        <v>634725756</v>
      </c>
      <c r="CE41" s="40">
        <v>693628765</v>
      </c>
      <c r="CF41" s="41"/>
      <c r="CG41" s="41"/>
      <c r="CH41" s="42"/>
    </row>
    <row r="42" spans="1:86">
      <c r="A42" s="38">
        <v>36</v>
      </c>
      <c r="B42" s="65" t="s">
        <v>59</v>
      </c>
      <c r="C42" s="39" t="s">
        <v>58</v>
      </c>
      <c r="D42" s="40">
        <v>3640</v>
      </c>
      <c r="E42" s="40">
        <v>2</v>
      </c>
      <c r="F42" s="40">
        <v>0</v>
      </c>
      <c r="G42" s="40">
        <v>0</v>
      </c>
      <c r="H42" s="40">
        <v>378</v>
      </c>
      <c r="I42" s="40">
        <v>19</v>
      </c>
      <c r="J42" s="40">
        <v>0</v>
      </c>
      <c r="K42" s="40">
        <v>9</v>
      </c>
      <c r="L42" s="40">
        <v>0</v>
      </c>
      <c r="M42" s="40">
        <v>0</v>
      </c>
      <c r="N42" s="40">
        <v>8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40">
        <v>0</v>
      </c>
      <c r="W42" s="40">
        <v>0</v>
      </c>
      <c r="X42" s="40">
        <v>8</v>
      </c>
      <c r="Y42" s="40">
        <v>0</v>
      </c>
      <c r="Z42" s="40">
        <v>0</v>
      </c>
      <c r="AA42" s="40">
        <v>45</v>
      </c>
      <c r="AB42" s="40">
        <v>10</v>
      </c>
      <c r="AC42" s="40">
        <v>0</v>
      </c>
      <c r="AD42" s="40">
        <v>0</v>
      </c>
      <c r="AE42" s="40">
        <v>0</v>
      </c>
      <c r="AF42" s="40">
        <v>0</v>
      </c>
      <c r="AG42" s="40">
        <v>7361</v>
      </c>
      <c r="AH42" s="40">
        <v>0</v>
      </c>
      <c r="AI42" s="40">
        <v>5</v>
      </c>
      <c r="AJ42" s="40">
        <v>0</v>
      </c>
      <c r="AK42" s="40">
        <v>0</v>
      </c>
      <c r="AL42" s="40">
        <v>0</v>
      </c>
      <c r="AM42" s="40">
        <v>0</v>
      </c>
      <c r="AN42" s="40">
        <v>0</v>
      </c>
      <c r="AO42" s="40">
        <v>0</v>
      </c>
      <c r="AP42" s="40">
        <v>2219</v>
      </c>
      <c r="AQ42" s="40">
        <v>0</v>
      </c>
      <c r="AR42" s="40">
        <v>0</v>
      </c>
      <c r="AS42" s="40">
        <v>637</v>
      </c>
      <c r="AT42" s="40">
        <v>88610</v>
      </c>
      <c r="AU42" s="40">
        <v>0</v>
      </c>
      <c r="AV42" s="40">
        <v>12331</v>
      </c>
      <c r="AW42" s="40">
        <v>3644</v>
      </c>
      <c r="AX42" s="40">
        <v>249</v>
      </c>
      <c r="AY42" s="40">
        <v>0</v>
      </c>
      <c r="AZ42" s="40">
        <v>0</v>
      </c>
      <c r="BA42" s="40">
        <v>44</v>
      </c>
      <c r="BB42" s="40">
        <v>0</v>
      </c>
      <c r="BC42" s="40">
        <v>217250</v>
      </c>
      <c r="BD42" s="40">
        <v>309111</v>
      </c>
      <c r="BE42" s="40">
        <v>174</v>
      </c>
      <c r="BF42" s="40">
        <v>0</v>
      </c>
      <c r="BG42" s="40">
        <v>2699</v>
      </c>
      <c r="BH42" s="40">
        <v>0</v>
      </c>
      <c r="BI42" s="40">
        <v>0</v>
      </c>
      <c r="BJ42" s="40">
        <v>17413</v>
      </c>
      <c r="BK42" s="40">
        <v>3474</v>
      </c>
      <c r="BL42" s="40">
        <v>145672</v>
      </c>
      <c r="BM42" s="40">
        <v>695992</v>
      </c>
      <c r="BN42" s="40">
        <v>1144837</v>
      </c>
      <c r="BO42" s="40">
        <v>104759</v>
      </c>
      <c r="BP42" s="40">
        <v>55043</v>
      </c>
      <c r="BQ42" s="40">
        <v>306957</v>
      </c>
      <c r="BR42" s="40">
        <v>13755</v>
      </c>
      <c r="BS42" s="40">
        <v>0</v>
      </c>
      <c r="BT42" s="40">
        <v>3136355</v>
      </c>
      <c r="BU42" s="40">
        <v>53615069</v>
      </c>
      <c r="BV42" s="40">
        <v>0</v>
      </c>
      <c r="BW42" s="40">
        <v>0</v>
      </c>
      <c r="BX42" s="40">
        <v>53615069</v>
      </c>
      <c r="BY42" s="40">
        <v>75878176</v>
      </c>
      <c r="BZ42" s="40">
        <v>-175789</v>
      </c>
      <c r="CA42" s="40">
        <v>0</v>
      </c>
      <c r="CB42" s="40">
        <v>75702387</v>
      </c>
      <c r="CC42" s="40">
        <v>7280261</v>
      </c>
      <c r="CD42" s="40">
        <v>136597717</v>
      </c>
      <c r="CE42" s="40">
        <v>139734072</v>
      </c>
      <c r="CF42" s="41"/>
      <c r="CG42" s="41"/>
      <c r="CH42" s="42"/>
    </row>
    <row r="43" spans="1:86">
      <c r="A43" s="38">
        <v>37</v>
      </c>
      <c r="B43" s="65" t="s">
        <v>57</v>
      </c>
      <c r="C43" s="39" t="s">
        <v>56</v>
      </c>
      <c r="D43" s="40">
        <v>33250</v>
      </c>
      <c r="E43" s="40">
        <v>6</v>
      </c>
      <c r="F43" s="40">
        <v>0</v>
      </c>
      <c r="G43" s="40">
        <v>0</v>
      </c>
      <c r="H43" s="40">
        <v>29353</v>
      </c>
      <c r="I43" s="40">
        <v>1393</v>
      </c>
      <c r="J43" s="40">
        <v>0</v>
      </c>
      <c r="K43" s="40">
        <v>1700</v>
      </c>
      <c r="L43" s="40">
        <v>3</v>
      </c>
      <c r="M43" s="40">
        <v>411</v>
      </c>
      <c r="N43" s="40">
        <v>13590</v>
      </c>
      <c r="O43" s="40">
        <v>0</v>
      </c>
      <c r="P43" s="40">
        <v>48</v>
      </c>
      <c r="Q43" s="40">
        <v>593874</v>
      </c>
      <c r="R43" s="40">
        <v>6897</v>
      </c>
      <c r="S43" s="40">
        <v>0</v>
      </c>
      <c r="T43" s="40">
        <v>0</v>
      </c>
      <c r="U43" s="40">
        <v>0</v>
      </c>
      <c r="V43" s="40">
        <v>0</v>
      </c>
      <c r="W43" s="40">
        <v>10941</v>
      </c>
      <c r="X43" s="40">
        <v>1455</v>
      </c>
      <c r="Y43" s="40">
        <v>56746</v>
      </c>
      <c r="Z43" s="40">
        <v>21706</v>
      </c>
      <c r="AA43" s="40">
        <v>158725</v>
      </c>
      <c r="AB43" s="40">
        <v>296</v>
      </c>
      <c r="AC43" s="40">
        <v>0</v>
      </c>
      <c r="AD43" s="40">
        <v>0</v>
      </c>
      <c r="AE43" s="40">
        <v>679</v>
      </c>
      <c r="AF43" s="40">
        <v>0</v>
      </c>
      <c r="AG43" s="40">
        <v>16</v>
      </c>
      <c r="AH43" s="40">
        <v>104445</v>
      </c>
      <c r="AI43" s="40">
        <v>43</v>
      </c>
      <c r="AJ43" s="40">
        <v>162</v>
      </c>
      <c r="AK43" s="40">
        <v>0</v>
      </c>
      <c r="AL43" s="40">
        <v>0</v>
      </c>
      <c r="AM43" s="40">
        <v>0</v>
      </c>
      <c r="AN43" s="40">
        <v>161</v>
      </c>
      <c r="AO43" s="40">
        <v>3249</v>
      </c>
      <c r="AP43" s="40">
        <v>4342</v>
      </c>
      <c r="AQ43" s="40">
        <v>0</v>
      </c>
      <c r="AR43" s="40">
        <v>68</v>
      </c>
      <c r="AS43" s="40">
        <v>1128</v>
      </c>
      <c r="AT43" s="40">
        <v>240038</v>
      </c>
      <c r="AU43" s="40">
        <v>61423</v>
      </c>
      <c r="AV43" s="40">
        <v>67471</v>
      </c>
      <c r="AW43" s="40">
        <v>257704</v>
      </c>
      <c r="AX43" s="40">
        <v>155251</v>
      </c>
      <c r="AY43" s="40">
        <v>0</v>
      </c>
      <c r="AZ43" s="40">
        <v>0</v>
      </c>
      <c r="BA43" s="40">
        <v>73836</v>
      </c>
      <c r="BB43" s="40">
        <v>0</v>
      </c>
      <c r="BC43" s="40">
        <v>5908</v>
      </c>
      <c r="BD43" s="40">
        <v>175967</v>
      </c>
      <c r="BE43" s="40">
        <v>123548</v>
      </c>
      <c r="BF43" s="40">
        <v>31297</v>
      </c>
      <c r="BG43" s="40">
        <v>1490739</v>
      </c>
      <c r="BH43" s="40">
        <v>215857</v>
      </c>
      <c r="BI43" s="40">
        <v>37262</v>
      </c>
      <c r="BJ43" s="40">
        <v>53605</v>
      </c>
      <c r="BK43" s="40">
        <v>909011</v>
      </c>
      <c r="BL43" s="40">
        <v>233983</v>
      </c>
      <c r="BM43" s="40">
        <v>4679517</v>
      </c>
      <c r="BN43" s="40">
        <v>2635027</v>
      </c>
      <c r="BO43" s="40">
        <v>3093991</v>
      </c>
      <c r="BP43" s="40">
        <v>47551</v>
      </c>
      <c r="BQ43" s="40">
        <v>13336822</v>
      </c>
      <c r="BR43" s="40">
        <v>1473494</v>
      </c>
      <c r="BS43" s="40">
        <v>0</v>
      </c>
      <c r="BT43" s="40">
        <v>30443989</v>
      </c>
      <c r="BU43" s="40">
        <v>15127678</v>
      </c>
      <c r="BV43" s="40">
        <v>0</v>
      </c>
      <c r="BW43" s="40">
        <v>0</v>
      </c>
      <c r="BX43" s="40">
        <v>15127678</v>
      </c>
      <c r="BY43" s="40">
        <v>31837819</v>
      </c>
      <c r="BZ43" s="40">
        <v>-119593021</v>
      </c>
      <c r="CA43" s="40">
        <v>3130957</v>
      </c>
      <c r="CB43" s="40">
        <v>-84624245</v>
      </c>
      <c r="CC43" s="40">
        <v>114441377</v>
      </c>
      <c r="CD43" s="40">
        <v>44944810</v>
      </c>
      <c r="CE43" s="40">
        <v>75388799</v>
      </c>
      <c r="CF43" s="41"/>
      <c r="CG43" s="41"/>
      <c r="CH43" s="42"/>
    </row>
    <row r="44" spans="1:86" ht="22.5">
      <c r="A44" s="38">
        <v>38</v>
      </c>
      <c r="B44" s="65" t="s">
        <v>55</v>
      </c>
      <c r="C44" s="39" t="s">
        <v>136</v>
      </c>
      <c r="D44" s="40">
        <v>1923259</v>
      </c>
      <c r="E44" s="40">
        <v>0</v>
      </c>
      <c r="F44" s="40">
        <v>0</v>
      </c>
      <c r="G44" s="40">
        <v>915701</v>
      </c>
      <c r="H44" s="40">
        <v>433173508</v>
      </c>
      <c r="I44" s="40">
        <v>2369393</v>
      </c>
      <c r="J44" s="40">
        <v>3546</v>
      </c>
      <c r="K44" s="40">
        <v>4155500</v>
      </c>
      <c r="L44" s="40">
        <v>3308868</v>
      </c>
      <c r="M44" s="40">
        <v>1268833</v>
      </c>
      <c r="N44" s="40">
        <v>599133</v>
      </c>
      <c r="O44" s="40">
        <v>0</v>
      </c>
      <c r="P44" s="40">
        <v>17619</v>
      </c>
      <c r="Q44" s="40">
        <v>3</v>
      </c>
      <c r="R44" s="40">
        <v>188</v>
      </c>
      <c r="S44" s="40">
        <v>0</v>
      </c>
      <c r="T44" s="40">
        <v>488652</v>
      </c>
      <c r="U44" s="40">
        <v>12640</v>
      </c>
      <c r="V44" s="40">
        <v>0</v>
      </c>
      <c r="W44" s="40">
        <v>11474939</v>
      </c>
      <c r="X44" s="40">
        <v>221452</v>
      </c>
      <c r="Y44" s="40">
        <v>0</v>
      </c>
      <c r="Z44" s="40">
        <v>2403</v>
      </c>
      <c r="AA44" s="40">
        <v>7098155</v>
      </c>
      <c r="AB44" s="40">
        <v>293948</v>
      </c>
      <c r="AC44" s="40">
        <v>0</v>
      </c>
      <c r="AD44" s="40">
        <v>201</v>
      </c>
      <c r="AE44" s="40">
        <v>713831</v>
      </c>
      <c r="AF44" s="40">
        <v>0</v>
      </c>
      <c r="AG44" s="40">
        <v>40369</v>
      </c>
      <c r="AH44" s="40">
        <v>0</v>
      </c>
      <c r="AI44" s="40">
        <v>13176</v>
      </c>
      <c r="AJ44" s="40">
        <v>109003</v>
      </c>
      <c r="AK44" s="40">
        <v>0</v>
      </c>
      <c r="AL44" s="40">
        <v>0</v>
      </c>
      <c r="AM44" s="40">
        <v>0</v>
      </c>
      <c r="AN44" s="40">
        <v>2456</v>
      </c>
      <c r="AO44" s="40">
        <v>7473995</v>
      </c>
      <c r="AP44" s="40">
        <v>32349184</v>
      </c>
      <c r="AQ44" s="40">
        <v>1388272</v>
      </c>
      <c r="AR44" s="40">
        <v>24135532</v>
      </c>
      <c r="AS44" s="40">
        <v>201415</v>
      </c>
      <c r="AT44" s="40">
        <v>1069254</v>
      </c>
      <c r="AU44" s="40">
        <v>4809382</v>
      </c>
      <c r="AV44" s="40">
        <v>43179286</v>
      </c>
      <c r="AW44" s="40">
        <v>21923332</v>
      </c>
      <c r="AX44" s="40">
        <v>402342876</v>
      </c>
      <c r="AY44" s="40">
        <v>3074152</v>
      </c>
      <c r="AZ44" s="40">
        <v>1116645</v>
      </c>
      <c r="BA44" s="40">
        <v>6583948</v>
      </c>
      <c r="BB44" s="40">
        <v>0</v>
      </c>
      <c r="BC44" s="40">
        <v>807010</v>
      </c>
      <c r="BD44" s="40">
        <v>1851604</v>
      </c>
      <c r="BE44" s="40">
        <v>2632980</v>
      </c>
      <c r="BF44" s="40">
        <v>20260950</v>
      </c>
      <c r="BG44" s="40">
        <v>1184969</v>
      </c>
      <c r="BH44" s="40">
        <v>516000</v>
      </c>
      <c r="BI44" s="40">
        <v>2506455</v>
      </c>
      <c r="BJ44" s="40">
        <v>2575620</v>
      </c>
      <c r="BK44" s="40">
        <v>7670174</v>
      </c>
      <c r="BL44" s="40">
        <v>3411782</v>
      </c>
      <c r="BM44" s="40">
        <v>86765299</v>
      </c>
      <c r="BN44" s="40">
        <v>58896468</v>
      </c>
      <c r="BO44" s="40">
        <v>88490837</v>
      </c>
      <c r="BP44" s="40">
        <v>588040</v>
      </c>
      <c r="BQ44" s="40">
        <v>449220</v>
      </c>
      <c r="BR44" s="40">
        <v>2469214</v>
      </c>
      <c r="BS44" s="40">
        <v>0</v>
      </c>
      <c r="BT44" s="40">
        <v>1298930671</v>
      </c>
      <c r="BU44" s="40">
        <v>0</v>
      </c>
      <c r="BV44" s="40">
        <v>0</v>
      </c>
      <c r="BW44" s="40">
        <v>0</v>
      </c>
      <c r="BX44" s="40">
        <v>0</v>
      </c>
      <c r="BY44" s="40">
        <v>0</v>
      </c>
      <c r="BZ44" s="40">
        <v>0</v>
      </c>
      <c r="CA44" s="40">
        <v>0</v>
      </c>
      <c r="CB44" s="40">
        <v>0</v>
      </c>
      <c r="CC44" s="40">
        <v>30745329</v>
      </c>
      <c r="CD44" s="40">
        <v>30745329</v>
      </c>
      <c r="CE44" s="40">
        <v>1329676000</v>
      </c>
      <c r="CF44" s="41"/>
      <c r="CG44" s="41"/>
      <c r="CH44" s="42"/>
    </row>
    <row r="45" spans="1:86" ht="22.5">
      <c r="A45" s="38">
        <v>39</v>
      </c>
      <c r="B45" s="65" t="s">
        <v>54</v>
      </c>
      <c r="C45" s="39" t="s">
        <v>53</v>
      </c>
      <c r="D45" s="40">
        <v>10283818</v>
      </c>
      <c r="E45" s="40">
        <v>2228</v>
      </c>
      <c r="F45" s="40">
        <v>14863</v>
      </c>
      <c r="G45" s="40">
        <v>1266337</v>
      </c>
      <c r="H45" s="40">
        <v>53387037</v>
      </c>
      <c r="I45" s="40">
        <v>1398331</v>
      </c>
      <c r="J45" s="40">
        <v>15430</v>
      </c>
      <c r="K45" s="40">
        <v>4133298</v>
      </c>
      <c r="L45" s="40">
        <v>1617241</v>
      </c>
      <c r="M45" s="40">
        <v>259631</v>
      </c>
      <c r="N45" s="40">
        <v>7825443</v>
      </c>
      <c r="O45" s="40">
        <v>15119618</v>
      </c>
      <c r="P45" s="40">
        <v>122299</v>
      </c>
      <c r="Q45" s="40">
        <v>69722</v>
      </c>
      <c r="R45" s="40">
        <v>9442</v>
      </c>
      <c r="S45" s="40">
        <v>14257</v>
      </c>
      <c r="T45" s="40">
        <v>254897</v>
      </c>
      <c r="U45" s="40">
        <v>44017</v>
      </c>
      <c r="V45" s="40">
        <v>883338</v>
      </c>
      <c r="W45" s="40">
        <v>39003452</v>
      </c>
      <c r="X45" s="40">
        <v>526350</v>
      </c>
      <c r="Y45" s="40">
        <v>378671</v>
      </c>
      <c r="Z45" s="40">
        <v>292617</v>
      </c>
      <c r="AA45" s="40">
        <v>5452652</v>
      </c>
      <c r="AB45" s="40">
        <v>1155635</v>
      </c>
      <c r="AC45" s="40">
        <v>7192</v>
      </c>
      <c r="AD45" s="40">
        <v>7407</v>
      </c>
      <c r="AE45" s="40">
        <v>495309</v>
      </c>
      <c r="AF45" s="40">
        <v>64710</v>
      </c>
      <c r="AG45" s="40">
        <v>59572</v>
      </c>
      <c r="AH45" s="40">
        <v>178236</v>
      </c>
      <c r="AI45" s="40">
        <v>7849</v>
      </c>
      <c r="AJ45" s="40">
        <v>72536</v>
      </c>
      <c r="AK45" s="40">
        <v>205460</v>
      </c>
      <c r="AL45" s="40">
        <v>217411</v>
      </c>
      <c r="AM45" s="40">
        <v>194356</v>
      </c>
      <c r="AN45" s="40">
        <v>9330</v>
      </c>
      <c r="AO45" s="40">
        <v>299812</v>
      </c>
      <c r="AP45" s="40">
        <v>280483991</v>
      </c>
      <c r="AQ45" s="40">
        <v>16209</v>
      </c>
      <c r="AR45" s="40">
        <v>6702806</v>
      </c>
      <c r="AS45" s="40">
        <v>2559989</v>
      </c>
      <c r="AT45" s="40">
        <v>4230334</v>
      </c>
      <c r="AU45" s="40">
        <v>1592686</v>
      </c>
      <c r="AV45" s="40">
        <v>27503001</v>
      </c>
      <c r="AW45" s="40">
        <v>27216077</v>
      </c>
      <c r="AX45" s="40">
        <v>27832992</v>
      </c>
      <c r="AY45" s="40">
        <v>74081</v>
      </c>
      <c r="AZ45" s="40">
        <v>49644</v>
      </c>
      <c r="BA45" s="40">
        <v>21351931</v>
      </c>
      <c r="BB45" s="40">
        <v>663</v>
      </c>
      <c r="BC45" s="40">
        <v>7335195</v>
      </c>
      <c r="BD45" s="40">
        <v>2604591</v>
      </c>
      <c r="BE45" s="40">
        <v>229982371</v>
      </c>
      <c r="BF45" s="40">
        <v>24248709</v>
      </c>
      <c r="BG45" s="40">
        <v>12738293</v>
      </c>
      <c r="BH45" s="40">
        <v>12613301</v>
      </c>
      <c r="BI45" s="40">
        <v>12330682</v>
      </c>
      <c r="BJ45" s="40">
        <v>29594348</v>
      </c>
      <c r="BK45" s="40">
        <v>7999151</v>
      </c>
      <c r="BL45" s="40">
        <v>93682862</v>
      </c>
      <c r="BM45" s="40">
        <v>141611287</v>
      </c>
      <c r="BN45" s="40">
        <v>263050076</v>
      </c>
      <c r="BO45" s="40">
        <v>65535253</v>
      </c>
      <c r="BP45" s="40">
        <v>1448036</v>
      </c>
      <c r="BQ45" s="40">
        <v>14885345</v>
      </c>
      <c r="BR45" s="40">
        <v>6545398</v>
      </c>
      <c r="BS45" s="40">
        <v>0</v>
      </c>
      <c r="BT45" s="40">
        <v>1471169106</v>
      </c>
      <c r="BU45" s="40">
        <v>1122660760</v>
      </c>
      <c r="BV45" s="40">
        <v>0</v>
      </c>
      <c r="BW45" s="40">
        <v>0</v>
      </c>
      <c r="BX45" s="40">
        <v>1122660760</v>
      </c>
      <c r="BY45" s="40">
        <v>0</v>
      </c>
      <c r="BZ45" s="40">
        <v>0</v>
      </c>
      <c r="CA45" s="40">
        <v>0</v>
      </c>
      <c r="CB45" s="40">
        <v>0</v>
      </c>
      <c r="CC45" s="40">
        <v>66448533</v>
      </c>
      <c r="CD45" s="40">
        <v>1189109293</v>
      </c>
      <c r="CE45" s="40">
        <v>2660278399</v>
      </c>
      <c r="CF45" s="41"/>
      <c r="CG45" s="41"/>
      <c r="CH45" s="42"/>
    </row>
    <row r="46" spans="1:86" ht="33.75">
      <c r="A46" s="38">
        <v>40</v>
      </c>
      <c r="B46" s="65" t="s">
        <v>52</v>
      </c>
      <c r="C46" s="39" t="s">
        <v>51</v>
      </c>
      <c r="D46" s="40">
        <v>110749</v>
      </c>
      <c r="E46" s="40">
        <v>0</v>
      </c>
      <c r="F46" s="40">
        <v>0</v>
      </c>
      <c r="G46" s="40">
        <v>0</v>
      </c>
      <c r="H46" s="40">
        <v>16387574</v>
      </c>
      <c r="I46" s="40">
        <v>0</v>
      </c>
      <c r="J46" s="40">
        <v>0</v>
      </c>
      <c r="K46" s="40">
        <v>0</v>
      </c>
      <c r="L46" s="40">
        <v>66</v>
      </c>
      <c r="M46" s="40">
        <v>117</v>
      </c>
      <c r="N46" s="40">
        <v>289881</v>
      </c>
      <c r="O46" s="40">
        <v>0</v>
      </c>
      <c r="P46" s="40">
        <v>590</v>
      </c>
      <c r="Q46" s="40">
        <v>0</v>
      </c>
      <c r="R46" s="40">
        <v>0</v>
      </c>
      <c r="S46" s="40">
        <v>0</v>
      </c>
      <c r="T46" s="40">
        <v>0</v>
      </c>
      <c r="U46" s="40">
        <v>1397</v>
      </c>
      <c r="V46" s="40">
        <v>0</v>
      </c>
      <c r="W46" s="40">
        <v>8739879</v>
      </c>
      <c r="X46" s="40">
        <v>46107</v>
      </c>
      <c r="Y46" s="40">
        <v>0</v>
      </c>
      <c r="Z46" s="40">
        <v>479</v>
      </c>
      <c r="AA46" s="40">
        <v>36896</v>
      </c>
      <c r="AB46" s="40">
        <v>0</v>
      </c>
      <c r="AC46" s="40">
        <v>0</v>
      </c>
      <c r="AD46" s="40">
        <v>349</v>
      </c>
      <c r="AE46" s="40">
        <v>0</v>
      </c>
      <c r="AF46" s="40">
        <v>0</v>
      </c>
      <c r="AG46" s="40">
        <v>0</v>
      </c>
      <c r="AH46" s="40">
        <v>0</v>
      </c>
      <c r="AI46" s="40">
        <v>29</v>
      </c>
      <c r="AJ46" s="40">
        <v>2042</v>
      </c>
      <c r="AK46" s="40">
        <v>0</v>
      </c>
      <c r="AL46" s="40">
        <v>16762</v>
      </c>
      <c r="AM46" s="40">
        <v>16201</v>
      </c>
      <c r="AN46" s="40">
        <v>0</v>
      </c>
      <c r="AO46" s="40">
        <v>2175</v>
      </c>
      <c r="AP46" s="40">
        <v>0</v>
      </c>
      <c r="AQ46" s="40">
        <v>0</v>
      </c>
      <c r="AR46" s="40">
        <v>921230</v>
      </c>
      <c r="AS46" s="40">
        <v>3357</v>
      </c>
      <c r="AT46" s="40">
        <v>72814</v>
      </c>
      <c r="AU46" s="40">
        <v>10493</v>
      </c>
      <c r="AV46" s="40">
        <v>6280031</v>
      </c>
      <c r="AW46" s="40">
        <v>6335562</v>
      </c>
      <c r="AX46" s="40">
        <v>1214</v>
      </c>
      <c r="AY46" s="40">
        <v>0</v>
      </c>
      <c r="AZ46" s="40">
        <v>0</v>
      </c>
      <c r="BA46" s="40">
        <v>0</v>
      </c>
      <c r="BB46" s="40">
        <v>130980</v>
      </c>
      <c r="BC46" s="40">
        <v>3344</v>
      </c>
      <c r="BD46" s="40">
        <v>0</v>
      </c>
      <c r="BE46" s="40">
        <v>83643</v>
      </c>
      <c r="BF46" s="40">
        <v>0</v>
      </c>
      <c r="BG46" s="40">
        <v>0</v>
      </c>
      <c r="BH46" s="40">
        <v>0</v>
      </c>
      <c r="BI46" s="40">
        <v>0</v>
      </c>
      <c r="BJ46" s="40">
        <v>111239</v>
      </c>
      <c r="BK46" s="40">
        <v>50947</v>
      </c>
      <c r="BL46" s="40">
        <v>8184</v>
      </c>
      <c r="BM46" s="40">
        <v>7544845</v>
      </c>
      <c r="BN46" s="40">
        <v>60419599</v>
      </c>
      <c r="BO46" s="40">
        <v>14076878</v>
      </c>
      <c r="BP46" s="40">
        <v>70503</v>
      </c>
      <c r="BQ46" s="40">
        <v>235637</v>
      </c>
      <c r="BR46" s="40">
        <v>12168532</v>
      </c>
      <c r="BS46" s="40">
        <v>0</v>
      </c>
      <c r="BT46" s="40">
        <v>134180325</v>
      </c>
      <c r="BU46" s="40">
        <v>206453818</v>
      </c>
      <c r="BV46" s="40">
        <v>0</v>
      </c>
      <c r="BW46" s="40">
        <v>0</v>
      </c>
      <c r="BX46" s="40">
        <v>206453818</v>
      </c>
      <c r="BY46" s="40">
        <v>0</v>
      </c>
      <c r="BZ46" s="40">
        <v>0</v>
      </c>
      <c r="CA46" s="40">
        <v>0</v>
      </c>
      <c r="CB46" s="40">
        <v>0</v>
      </c>
      <c r="CC46" s="40">
        <v>13235357</v>
      </c>
      <c r="CD46" s="40">
        <v>219689175</v>
      </c>
      <c r="CE46" s="40">
        <v>353869500</v>
      </c>
      <c r="CF46" s="41"/>
      <c r="CG46" s="41"/>
      <c r="CH46" s="42"/>
    </row>
    <row r="47" spans="1:86" ht="22.5">
      <c r="A47" s="38">
        <v>41</v>
      </c>
      <c r="B47" s="65" t="s">
        <v>50</v>
      </c>
      <c r="C47" s="39" t="s">
        <v>49</v>
      </c>
      <c r="D47" s="40">
        <v>1414538</v>
      </c>
      <c r="E47" s="40">
        <v>720</v>
      </c>
      <c r="F47" s="40">
        <v>0</v>
      </c>
      <c r="G47" s="40">
        <v>11173</v>
      </c>
      <c r="H47" s="40">
        <v>237777</v>
      </c>
      <c r="I47" s="40">
        <v>11290</v>
      </c>
      <c r="J47" s="40">
        <v>0</v>
      </c>
      <c r="K47" s="40">
        <v>164702</v>
      </c>
      <c r="L47" s="40">
        <v>1734</v>
      </c>
      <c r="M47" s="40">
        <v>0</v>
      </c>
      <c r="N47" s="40">
        <v>115066</v>
      </c>
      <c r="O47" s="40">
        <v>0</v>
      </c>
      <c r="P47" s="40">
        <v>0</v>
      </c>
      <c r="Q47" s="40">
        <v>1991</v>
      </c>
      <c r="R47" s="40">
        <v>0</v>
      </c>
      <c r="S47" s="40">
        <v>0</v>
      </c>
      <c r="T47" s="40">
        <v>9849</v>
      </c>
      <c r="U47" s="40">
        <v>2332</v>
      </c>
      <c r="V47" s="40">
        <v>0</v>
      </c>
      <c r="W47" s="40">
        <v>6803619</v>
      </c>
      <c r="X47" s="40">
        <v>67843</v>
      </c>
      <c r="Y47" s="40">
        <v>52263</v>
      </c>
      <c r="Z47" s="40">
        <v>130</v>
      </c>
      <c r="AA47" s="40">
        <v>35454</v>
      </c>
      <c r="AB47" s="40">
        <v>13760</v>
      </c>
      <c r="AC47" s="40">
        <v>0</v>
      </c>
      <c r="AD47" s="40">
        <v>0</v>
      </c>
      <c r="AE47" s="40">
        <v>35941</v>
      </c>
      <c r="AF47" s="40">
        <v>0</v>
      </c>
      <c r="AG47" s="40">
        <v>335</v>
      </c>
      <c r="AH47" s="40">
        <v>688</v>
      </c>
      <c r="AI47" s="40">
        <v>0</v>
      </c>
      <c r="AJ47" s="40">
        <v>10800</v>
      </c>
      <c r="AK47" s="40">
        <v>0</v>
      </c>
      <c r="AL47" s="40">
        <v>19569</v>
      </c>
      <c r="AM47" s="40">
        <v>32381</v>
      </c>
      <c r="AN47" s="40">
        <v>3592</v>
      </c>
      <c r="AO47" s="40">
        <v>15641</v>
      </c>
      <c r="AP47" s="40">
        <v>135036</v>
      </c>
      <c r="AQ47" s="40">
        <v>0</v>
      </c>
      <c r="AR47" s="40">
        <v>294039</v>
      </c>
      <c r="AS47" s="40">
        <v>500633</v>
      </c>
      <c r="AT47" s="40">
        <v>20761</v>
      </c>
      <c r="AU47" s="40">
        <v>80807</v>
      </c>
      <c r="AV47" s="40">
        <v>39357</v>
      </c>
      <c r="AW47" s="40">
        <v>859081</v>
      </c>
      <c r="AX47" s="40">
        <v>811316</v>
      </c>
      <c r="AY47" s="40">
        <v>0</v>
      </c>
      <c r="AZ47" s="40">
        <v>0</v>
      </c>
      <c r="BA47" s="40">
        <v>484703</v>
      </c>
      <c r="BB47" s="40">
        <v>0</v>
      </c>
      <c r="BC47" s="40">
        <v>183870</v>
      </c>
      <c r="BD47" s="40">
        <v>89862</v>
      </c>
      <c r="BE47" s="40">
        <v>55108</v>
      </c>
      <c r="BF47" s="40">
        <v>1927</v>
      </c>
      <c r="BG47" s="40">
        <v>2311428</v>
      </c>
      <c r="BH47" s="40">
        <v>238951</v>
      </c>
      <c r="BI47" s="40">
        <v>170115</v>
      </c>
      <c r="BJ47" s="40">
        <v>2251290</v>
      </c>
      <c r="BK47" s="40">
        <v>1366451</v>
      </c>
      <c r="BL47" s="40">
        <v>1507139</v>
      </c>
      <c r="BM47" s="40">
        <v>57688701</v>
      </c>
      <c r="BN47" s="40">
        <v>131834560</v>
      </c>
      <c r="BO47" s="40">
        <v>48611896</v>
      </c>
      <c r="BP47" s="40">
        <v>621782</v>
      </c>
      <c r="BQ47" s="40">
        <v>952929</v>
      </c>
      <c r="BR47" s="40">
        <v>21242185</v>
      </c>
      <c r="BS47" s="40">
        <v>0</v>
      </c>
      <c r="BT47" s="40">
        <v>281417115</v>
      </c>
      <c r="BU47" s="40">
        <v>379327059</v>
      </c>
      <c r="BV47" s="40">
        <v>0</v>
      </c>
      <c r="BW47" s="40">
        <v>0</v>
      </c>
      <c r="BX47" s="40">
        <v>379327059</v>
      </c>
      <c r="BY47" s="40">
        <v>0</v>
      </c>
      <c r="BZ47" s="40">
        <v>0</v>
      </c>
      <c r="CA47" s="40">
        <v>0</v>
      </c>
      <c r="CB47" s="40">
        <v>0</v>
      </c>
      <c r="CC47" s="40">
        <v>22538226</v>
      </c>
      <c r="CD47" s="40">
        <v>401865285</v>
      </c>
      <c r="CE47" s="40">
        <v>683282400</v>
      </c>
      <c r="CF47" s="41"/>
      <c r="CG47" s="41"/>
      <c r="CH47" s="42"/>
    </row>
    <row r="48" spans="1:86" ht="33.75">
      <c r="A48" s="38">
        <v>42</v>
      </c>
      <c r="B48" s="65" t="s">
        <v>94</v>
      </c>
      <c r="C48" s="39" t="s">
        <v>162</v>
      </c>
      <c r="D48" s="40">
        <v>1509087</v>
      </c>
      <c r="E48" s="40">
        <v>1544</v>
      </c>
      <c r="F48" s="40">
        <v>0</v>
      </c>
      <c r="G48" s="40">
        <v>18496</v>
      </c>
      <c r="H48" s="40">
        <v>25260673</v>
      </c>
      <c r="I48" s="40">
        <v>1200644</v>
      </c>
      <c r="J48" s="40">
        <v>11613</v>
      </c>
      <c r="K48" s="40">
        <v>1100547</v>
      </c>
      <c r="L48" s="40">
        <v>37181</v>
      </c>
      <c r="M48" s="40">
        <v>7773830</v>
      </c>
      <c r="N48" s="40">
        <v>872855</v>
      </c>
      <c r="O48" s="40">
        <v>7357</v>
      </c>
      <c r="P48" s="40">
        <v>9</v>
      </c>
      <c r="Q48" s="40">
        <v>1904</v>
      </c>
      <c r="R48" s="40">
        <v>1056</v>
      </c>
      <c r="S48" s="40">
        <v>430</v>
      </c>
      <c r="T48" s="40">
        <v>1965</v>
      </c>
      <c r="U48" s="40">
        <v>79</v>
      </c>
      <c r="V48" s="40">
        <v>740</v>
      </c>
      <c r="W48" s="40">
        <v>275895</v>
      </c>
      <c r="X48" s="40">
        <v>272921</v>
      </c>
      <c r="Y48" s="40">
        <v>359145</v>
      </c>
      <c r="Z48" s="40">
        <v>50267</v>
      </c>
      <c r="AA48" s="40">
        <v>3200043</v>
      </c>
      <c r="AB48" s="40">
        <v>106236553</v>
      </c>
      <c r="AC48" s="40">
        <v>106</v>
      </c>
      <c r="AD48" s="40">
        <v>12459387</v>
      </c>
      <c r="AE48" s="40">
        <v>42056</v>
      </c>
      <c r="AF48" s="40">
        <v>413</v>
      </c>
      <c r="AG48" s="40">
        <v>2753436</v>
      </c>
      <c r="AH48" s="40">
        <v>4123</v>
      </c>
      <c r="AI48" s="40">
        <v>1244</v>
      </c>
      <c r="AJ48" s="40">
        <v>6629</v>
      </c>
      <c r="AK48" s="40">
        <v>4886</v>
      </c>
      <c r="AL48" s="40">
        <v>4314</v>
      </c>
      <c r="AM48" s="40">
        <v>876</v>
      </c>
      <c r="AN48" s="40">
        <v>1709</v>
      </c>
      <c r="AO48" s="40">
        <v>965670</v>
      </c>
      <c r="AP48" s="40">
        <v>22773340</v>
      </c>
      <c r="AQ48" s="40">
        <v>3453</v>
      </c>
      <c r="AR48" s="40">
        <v>4878099</v>
      </c>
      <c r="AS48" s="40">
        <v>21323151</v>
      </c>
      <c r="AT48" s="40">
        <v>11542555</v>
      </c>
      <c r="AU48" s="40">
        <v>40170288</v>
      </c>
      <c r="AV48" s="40">
        <v>619667</v>
      </c>
      <c r="AW48" s="40">
        <v>1932171</v>
      </c>
      <c r="AX48" s="40">
        <v>12239842</v>
      </c>
      <c r="AY48" s="40">
        <v>556</v>
      </c>
      <c r="AZ48" s="40">
        <v>42892</v>
      </c>
      <c r="BA48" s="40">
        <v>4630913</v>
      </c>
      <c r="BB48" s="40">
        <v>17166</v>
      </c>
      <c r="BC48" s="40">
        <v>1567461</v>
      </c>
      <c r="BD48" s="40">
        <v>618934</v>
      </c>
      <c r="BE48" s="40">
        <v>351303</v>
      </c>
      <c r="BF48" s="40">
        <v>313774</v>
      </c>
      <c r="BG48" s="40">
        <v>599196</v>
      </c>
      <c r="BH48" s="40">
        <v>312304</v>
      </c>
      <c r="BI48" s="40">
        <v>318146</v>
      </c>
      <c r="BJ48" s="40">
        <v>4167246</v>
      </c>
      <c r="BK48" s="40">
        <v>3719950</v>
      </c>
      <c r="BL48" s="40">
        <v>10137307</v>
      </c>
      <c r="BM48" s="40">
        <v>42579575</v>
      </c>
      <c r="BN48" s="40">
        <v>29904676</v>
      </c>
      <c r="BO48" s="40">
        <v>52090019</v>
      </c>
      <c r="BP48" s="40">
        <v>300742</v>
      </c>
      <c r="BQ48" s="40">
        <v>1357626</v>
      </c>
      <c r="BR48" s="40">
        <v>2633245</v>
      </c>
      <c r="BS48" s="40">
        <v>0</v>
      </c>
      <c r="BT48" s="40">
        <v>435585280</v>
      </c>
      <c r="BU48" s="40">
        <v>239288384</v>
      </c>
      <c r="BV48" s="40">
        <v>0</v>
      </c>
      <c r="BW48" s="40">
        <v>0</v>
      </c>
      <c r="BX48" s="40">
        <v>239288384</v>
      </c>
      <c r="BY48" s="40">
        <v>0</v>
      </c>
      <c r="BZ48" s="40">
        <v>6730974</v>
      </c>
      <c r="CA48" s="40">
        <v>0</v>
      </c>
      <c r="CB48" s="40">
        <v>6730974</v>
      </c>
      <c r="CC48" s="40">
        <v>44984658</v>
      </c>
      <c r="CD48" s="40">
        <v>291004016</v>
      </c>
      <c r="CE48" s="40">
        <v>726589296</v>
      </c>
      <c r="CF48" s="41"/>
      <c r="CG48" s="41"/>
      <c r="CH48" s="42"/>
    </row>
    <row r="49" spans="1:86">
      <c r="A49" s="38">
        <v>43</v>
      </c>
      <c r="B49" s="65" t="s">
        <v>48</v>
      </c>
      <c r="C49" s="39" t="s">
        <v>47</v>
      </c>
      <c r="D49" s="40">
        <v>15030808</v>
      </c>
      <c r="E49" s="40">
        <v>592</v>
      </c>
      <c r="F49" s="40">
        <v>5338109</v>
      </c>
      <c r="G49" s="40">
        <v>39843804</v>
      </c>
      <c r="H49" s="40">
        <v>117669707</v>
      </c>
      <c r="I49" s="40">
        <v>5345737</v>
      </c>
      <c r="J49" s="40">
        <v>231012</v>
      </c>
      <c r="K49" s="40">
        <v>267302</v>
      </c>
      <c r="L49" s="40">
        <v>472947</v>
      </c>
      <c r="M49" s="40">
        <v>744623</v>
      </c>
      <c r="N49" s="40">
        <v>478526</v>
      </c>
      <c r="O49" s="40">
        <v>0</v>
      </c>
      <c r="P49" s="40">
        <v>0</v>
      </c>
      <c r="Q49" s="40">
        <v>4229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4674</v>
      </c>
      <c r="X49" s="40">
        <v>870597</v>
      </c>
      <c r="Y49" s="40">
        <v>0</v>
      </c>
      <c r="Z49" s="40">
        <v>1098</v>
      </c>
      <c r="AA49" s="40">
        <v>20522246</v>
      </c>
      <c r="AB49" s="40">
        <v>0</v>
      </c>
      <c r="AC49" s="40">
        <v>0</v>
      </c>
      <c r="AD49" s="40">
        <v>0</v>
      </c>
      <c r="AE49" s="40">
        <v>0</v>
      </c>
      <c r="AF49" s="40">
        <v>0</v>
      </c>
      <c r="AG49" s="40">
        <v>1324973</v>
      </c>
      <c r="AH49" s="40">
        <v>71245</v>
      </c>
      <c r="AI49" s="40">
        <v>67279</v>
      </c>
      <c r="AJ49" s="40">
        <v>37</v>
      </c>
      <c r="AK49" s="40">
        <v>0</v>
      </c>
      <c r="AL49" s="40">
        <v>0</v>
      </c>
      <c r="AM49" s="40">
        <v>0</v>
      </c>
      <c r="AN49" s="40">
        <v>0</v>
      </c>
      <c r="AO49" s="40">
        <v>4309814</v>
      </c>
      <c r="AP49" s="40">
        <v>120951133</v>
      </c>
      <c r="AQ49" s="40">
        <v>0</v>
      </c>
      <c r="AR49" s="40">
        <v>92182414</v>
      </c>
      <c r="AS49" s="40">
        <v>74488454</v>
      </c>
      <c r="AT49" s="40">
        <v>689883814</v>
      </c>
      <c r="AU49" s="40">
        <v>0</v>
      </c>
      <c r="AV49" s="40">
        <v>18568584</v>
      </c>
      <c r="AW49" s="40">
        <v>62340838</v>
      </c>
      <c r="AX49" s="40">
        <v>10530302</v>
      </c>
      <c r="AY49" s="40">
        <v>4143265</v>
      </c>
      <c r="AZ49" s="40">
        <v>59603</v>
      </c>
      <c r="BA49" s="40">
        <v>48527279</v>
      </c>
      <c r="BB49" s="40">
        <v>0</v>
      </c>
      <c r="BC49" s="40">
        <v>19343094</v>
      </c>
      <c r="BD49" s="40">
        <v>108300</v>
      </c>
      <c r="BE49" s="40">
        <v>1291179</v>
      </c>
      <c r="BF49" s="40">
        <v>0</v>
      </c>
      <c r="BG49" s="40">
        <v>5745924</v>
      </c>
      <c r="BH49" s="40">
        <v>0</v>
      </c>
      <c r="BI49" s="40">
        <v>0</v>
      </c>
      <c r="BJ49" s="40">
        <v>474525847</v>
      </c>
      <c r="BK49" s="40">
        <v>61851835</v>
      </c>
      <c r="BL49" s="40">
        <v>136674475</v>
      </c>
      <c r="BM49" s="40">
        <v>132002519</v>
      </c>
      <c r="BN49" s="40">
        <v>424745422</v>
      </c>
      <c r="BO49" s="40">
        <v>229291626</v>
      </c>
      <c r="BP49" s="40">
        <v>14818228</v>
      </c>
      <c r="BQ49" s="40">
        <v>16611326</v>
      </c>
      <c r="BR49" s="40">
        <v>0</v>
      </c>
      <c r="BS49" s="40">
        <v>0</v>
      </c>
      <c r="BT49" s="40">
        <v>2851284820</v>
      </c>
      <c r="BU49" s="40">
        <v>70325459</v>
      </c>
      <c r="BV49" s="40">
        <v>0</v>
      </c>
      <c r="BW49" s="40">
        <v>0</v>
      </c>
      <c r="BX49" s="40">
        <v>70325459</v>
      </c>
      <c r="BY49" s="40">
        <v>11405247227</v>
      </c>
      <c r="BZ49" s="40">
        <v>402773</v>
      </c>
      <c r="CA49" s="40">
        <v>0</v>
      </c>
      <c r="CB49" s="40">
        <v>11405650000</v>
      </c>
      <c r="CC49" s="40">
        <v>65238124</v>
      </c>
      <c r="CD49" s="40">
        <v>11541213583</v>
      </c>
      <c r="CE49" s="40">
        <v>14392498403</v>
      </c>
      <c r="CF49" s="41"/>
      <c r="CG49" s="41"/>
      <c r="CH49" s="42"/>
    </row>
    <row r="50" spans="1:86" ht="33.75">
      <c r="A50" s="38">
        <v>44</v>
      </c>
      <c r="B50" s="65" t="s">
        <v>46</v>
      </c>
      <c r="C50" s="39" t="s">
        <v>137</v>
      </c>
      <c r="D50" s="40">
        <v>26260065</v>
      </c>
      <c r="E50" s="40">
        <v>259</v>
      </c>
      <c r="F50" s="40">
        <v>5634</v>
      </c>
      <c r="G50" s="40">
        <v>2881496</v>
      </c>
      <c r="H50" s="40">
        <v>5769450</v>
      </c>
      <c r="I50" s="40">
        <v>33041</v>
      </c>
      <c r="J50" s="40">
        <v>1271465</v>
      </c>
      <c r="K50" s="40">
        <v>747249</v>
      </c>
      <c r="L50" s="40">
        <v>84639</v>
      </c>
      <c r="M50" s="40">
        <v>64465</v>
      </c>
      <c r="N50" s="40">
        <v>884629</v>
      </c>
      <c r="O50" s="40">
        <v>0</v>
      </c>
      <c r="P50" s="40">
        <v>792</v>
      </c>
      <c r="Q50" s="40">
        <v>87</v>
      </c>
      <c r="R50" s="40">
        <v>0</v>
      </c>
      <c r="S50" s="40">
        <v>2060</v>
      </c>
      <c r="T50" s="40">
        <v>1157</v>
      </c>
      <c r="U50" s="40">
        <v>3275</v>
      </c>
      <c r="V50" s="40">
        <v>56719</v>
      </c>
      <c r="W50" s="40">
        <v>8743</v>
      </c>
      <c r="X50" s="40">
        <v>169</v>
      </c>
      <c r="Y50" s="40">
        <v>0</v>
      </c>
      <c r="Z50" s="40">
        <v>37</v>
      </c>
      <c r="AA50" s="40">
        <v>18670</v>
      </c>
      <c r="AB50" s="40">
        <v>22150</v>
      </c>
      <c r="AC50" s="40">
        <v>4248</v>
      </c>
      <c r="AD50" s="40">
        <v>0</v>
      </c>
      <c r="AE50" s="40">
        <v>95</v>
      </c>
      <c r="AF50" s="40">
        <v>213</v>
      </c>
      <c r="AG50" s="40">
        <v>1</v>
      </c>
      <c r="AH50" s="40">
        <v>0</v>
      </c>
      <c r="AI50" s="40">
        <v>15</v>
      </c>
      <c r="AJ50" s="40">
        <v>4346390</v>
      </c>
      <c r="AK50" s="40">
        <v>86014784</v>
      </c>
      <c r="AL50" s="40">
        <v>16039777</v>
      </c>
      <c r="AM50" s="40">
        <v>18755</v>
      </c>
      <c r="AN50" s="40">
        <v>1206</v>
      </c>
      <c r="AO50" s="40">
        <v>4052040</v>
      </c>
      <c r="AP50" s="40">
        <v>314021</v>
      </c>
      <c r="AQ50" s="40">
        <v>3289</v>
      </c>
      <c r="AR50" s="40">
        <v>44437</v>
      </c>
      <c r="AS50" s="40">
        <v>6615328</v>
      </c>
      <c r="AT50" s="40">
        <v>2931188</v>
      </c>
      <c r="AU50" s="40">
        <v>268475899</v>
      </c>
      <c r="AV50" s="40">
        <v>12639268</v>
      </c>
      <c r="AW50" s="40">
        <v>2961139</v>
      </c>
      <c r="AX50" s="40">
        <v>90773364</v>
      </c>
      <c r="AY50" s="40">
        <v>0</v>
      </c>
      <c r="AZ50" s="40">
        <v>17683231</v>
      </c>
      <c r="BA50" s="40">
        <v>9683499</v>
      </c>
      <c r="BB50" s="40">
        <v>98063</v>
      </c>
      <c r="BC50" s="40">
        <v>10636</v>
      </c>
      <c r="BD50" s="40">
        <v>1710778</v>
      </c>
      <c r="BE50" s="40">
        <v>58123</v>
      </c>
      <c r="BF50" s="40">
        <v>0</v>
      </c>
      <c r="BG50" s="40">
        <v>1627885</v>
      </c>
      <c r="BH50" s="40">
        <v>91745</v>
      </c>
      <c r="BI50" s="40">
        <v>192702</v>
      </c>
      <c r="BJ50" s="40">
        <v>129603</v>
      </c>
      <c r="BK50" s="40">
        <v>1666433</v>
      </c>
      <c r="BL50" s="40">
        <v>57187452</v>
      </c>
      <c r="BM50" s="40">
        <v>14082699</v>
      </c>
      <c r="BN50" s="40">
        <v>6092264</v>
      </c>
      <c r="BO50" s="40">
        <v>7525111</v>
      </c>
      <c r="BP50" s="40">
        <v>205470</v>
      </c>
      <c r="BQ50" s="40">
        <v>1238362</v>
      </c>
      <c r="BR50" s="40">
        <v>7294917</v>
      </c>
      <c r="BS50" s="40">
        <v>0</v>
      </c>
      <c r="BT50" s="40">
        <v>659930681</v>
      </c>
      <c r="BU50" s="40">
        <v>1253563568</v>
      </c>
      <c r="BV50" s="40">
        <v>0</v>
      </c>
      <c r="BW50" s="40">
        <v>0</v>
      </c>
      <c r="BX50" s="40">
        <v>1253563568</v>
      </c>
      <c r="BY50" s="40">
        <v>1440149337</v>
      </c>
      <c r="BZ50" s="40">
        <v>0</v>
      </c>
      <c r="CA50" s="40">
        <v>0</v>
      </c>
      <c r="CB50" s="40">
        <v>1440149337</v>
      </c>
      <c r="CC50" s="40">
        <v>222844750</v>
      </c>
      <c r="CD50" s="40">
        <v>2916557655</v>
      </c>
      <c r="CE50" s="40">
        <v>3576488336</v>
      </c>
      <c r="CF50" s="41"/>
      <c r="CG50" s="41"/>
      <c r="CH50" s="42"/>
    </row>
    <row r="51" spans="1:86" ht="22.5">
      <c r="A51" s="38">
        <v>45</v>
      </c>
      <c r="B51" s="65" t="s">
        <v>45</v>
      </c>
      <c r="C51" s="39" t="s">
        <v>44</v>
      </c>
      <c r="D51" s="40">
        <v>816607509</v>
      </c>
      <c r="E51" s="40">
        <v>0</v>
      </c>
      <c r="F51" s="40">
        <v>3328141</v>
      </c>
      <c r="G51" s="40">
        <v>39602426</v>
      </c>
      <c r="H51" s="40">
        <v>397578482</v>
      </c>
      <c r="I51" s="40">
        <v>4722177</v>
      </c>
      <c r="J51" s="40">
        <v>99964911</v>
      </c>
      <c r="K51" s="40">
        <v>991729065</v>
      </c>
      <c r="L51" s="40">
        <v>25807375</v>
      </c>
      <c r="M51" s="40">
        <v>158017267</v>
      </c>
      <c r="N51" s="40">
        <v>646010900</v>
      </c>
      <c r="O51" s="40">
        <v>20477535</v>
      </c>
      <c r="P51" s="40">
        <v>10090391</v>
      </c>
      <c r="Q51" s="40">
        <v>7359151</v>
      </c>
      <c r="R51" s="40">
        <v>771550</v>
      </c>
      <c r="S51" s="40">
        <v>7951631</v>
      </c>
      <c r="T51" s="40">
        <v>22315285</v>
      </c>
      <c r="U51" s="40">
        <v>13191536</v>
      </c>
      <c r="V51" s="40">
        <v>26505080</v>
      </c>
      <c r="W51" s="40">
        <v>91352987</v>
      </c>
      <c r="X51" s="40">
        <v>57016648</v>
      </c>
      <c r="Y51" s="40">
        <v>37379546</v>
      </c>
      <c r="Z51" s="40">
        <v>36763302</v>
      </c>
      <c r="AA51" s="40">
        <v>217677332</v>
      </c>
      <c r="AB51" s="40">
        <v>651829372</v>
      </c>
      <c r="AC51" s="40">
        <v>45821011</v>
      </c>
      <c r="AD51" s="40">
        <v>7123575</v>
      </c>
      <c r="AE51" s="40">
        <v>384709767</v>
      </c>
      <c r="AF51" s="40">
        <v>12645943</v>
      </c>
      <c r="AG51" s="40">
        <v>131228527</v>
      </c>
      <c r="AH51" s="40">
        <v>21789646</v>
      </c>
      <c r="AI51" s="40">
        <v>117337730</v>
      </c>
      <c r="AJ51" s="40">
        <v>106507356</v>
      </c>
      <c r="AK51" s="40">
        <v>152834906</v>
      </c>
      <c r="AL51" s="40">
        <v>101513430</v>
      </c>
      <c r="AM51" s="40">
        <v>32041727</v>
      </c>
      <c r="AN51" s="40">
        <v>17760016</v>
      </c>
      <c r="AO51" s="40">
        <v>224263474</v>
      </c>
      <c r="AP51" s="40">
        <v>272911628</v>
      </c>
      <c r="AQ51" s="40">
        <v>3600664</v>
      </c>
      <c r="AR51" s="40">
        <v>51024474</v>
      </c>
      <c r="AS51" s="40">
        <v>76660092</v>
      </c>
      <c r="AT51" s="40">
        <v>2536651856</v>
      </c>
      <c r="AU51" s="40">
        <v>50064969</v>
      </c>
      <c r="AV51" s="40">
        <v>89830997</v>
      </c>
      <c r="AW51" s="40">
        <v>52206985</v>
      </c>
      <c r="AX51" s="40">
        <v>171877754</v>
      </c>
      <c r="AY51" s="40">
        <v>1181707</v>
      </c>
      <c r="AZ51" s="40">
        <v>40816589</v>
      </c>
      <c r="BA51" s="40">
        <v>88586553</v>
      </c>
      <c r="BB51" s="40">
        <v>624877</v>
      </c>
      <c r="BC51" s="40">
        <v>38708795</v>
      </c>
      <c r="BD51" s="40">
        <v>304745542</v>
      </c>
      <c r="BE51" s="40">
        <v>29098581</v>
      </c>
      <c r="BF51" s="40">
        <v>54033023</v>
      </c>
      <c r="BG51" s="40">
        <v>38334914</v>
      </c>
      <c r="BH51" s="40">
        <v>5953125</v>
      </c>
      <c r="BI51" s="40">
        <v>2840427</v>
      </c>
      <c r="BJ51" s="40">
        <v>90096403</v>
      </c>
      <c r="BK51" s="40">
        <v>289449025</v>
      </c>
      <c r="BL51" s="40">
        <v>62989353</v>
      </c>
      <c r="BM51" s="40">
        <v>12541637</v>
      </c>
      <c r="BN51" s="40">
        <v>206583801</v>
      </c>
      <c r="BO51" s="40">
        <v>772422094</v>
      </c>
      <c r="BP51" s="40">
        <v>6891428</v>
      </c>
      <c r="BQ51" s="40">
        <v>85661740</v>
      </c>
      <c r="BR51" s="40">
        <v>27011201</v>
      </c>
      <c r="BS51" s="40">
        <v>0</v>
      </c>
      <c r="BT51" s="40">
        <v>11203026941</v>
      </c>
      <c r="BU51" s="40">
        <v>4396465407</v>
      </c>
      <c r="BV51" s="40">
        <v>0</v>
      </c>
      <c r="BW51" s="40">
        <v>0</v>
      </c>
      <c r="BX51" s="40">
        <v>4396465407</v>
      </c>
      <c r="BY51" s="40">
        <v>2108489173</v>
      </c>
      <c r="BZ51" s="40">
        <v>0</v>
      </c>
      <c r="CA51" s="40">
        <v>0</v>
      </c>
      <c r="CB51" s="40">
        <v>2108489173</v>
      </c>
      <c r="CC51" s="40">
        <v>4621333294</v>
      </c>
      <c r="CD51" s="40">
        <v>11126287874</v>
      </c>
      <c r="CE51" s="40">
        <v>22329314815</v>
      </c>
      <c r="CF51" s="41"/>
      <c r="CG51" s="41"/>
      <c r="CH51" s="42"/>
    </row>
    <row r="52" spans="1:86" ht="33.75">
      <c r="A52" s="38">
        <v>46</v>
      </c>
      <c r="B52" s="65" t="s">
        <v>43</v>
      </c>
      <c r="C52" s="39" t="s">
        <v>42</v>
      </c>
      <c r="D52" s="40">
        <v>88253647</v>
      </c>
      <c r="E52" s="40">
        <v>79018</v>
      </c>
      <c r="F52" s="40">
        <v>67163</v>
      </c>
      <c r="G52" s="40">
        <v>14544847</v>
      </c>
      <c r="H52" s="40">
        <v>22386253</v>
      </c>
      <c r="I52" s="40">
        <v>1029852</v>
      </c>
      <c r="J52" s="40">
        <v>1971231</v>
      </c>
      <c r="K52" s="40">
        <v>5296173</v>
      </c>
      <c r="L52" s="40">
        <v>3774704</v>
      </c>
      <c r="M52" s="40">
        <v>2278959</v>
      </c>
      <c r="N52" s="40">
        <v>6748030</v>
      </c>
      <c r="O52" s="40">
        <v>0</v>
      </c>
      <c r="P52" s="40">
        <v>17481</v>
      </c>
      <c r="Q52" s="40">
        <v>8835</v>
      </c>
      <c r="R52" s="40">
        <v>1617</v>
      </c>
      <c r="S52" s="40">
        <v>49002</v>
      </c>
      <c r="T52" s="40">
        <v>271005</v>
      </c>
      <c r="U52" s="40">
        <v>0</v>
      </c>
      <c r="V52" s="40">
        <v>1212930</v>
      </c>
      <c r="W52" s="40">
        <v>9742281</v>
      </c>
      <c r="X52" s="40">
        <v>286251</v>
      </c>
      <c r="Y52" s="40">
        <v>11467</v>
      </c>
      <c r="Z52" s="40">
        <v>45924</v>
      </c>
      <c r="AA52" s="40">
        <v>2241445</v>
      </c>
      <c r="AB52" s="40">
        <v>1072215</v>
      </c>
      <c r="AC52" s="40">
        <v>317619</v>
      </c>
      <c r="AD52" s="40">
        <v>7151784</v>
      </c>
      <c r="AE52" s="40">
        <v>1616869</v>
      </c>
      <c r="AF52" s="40">
        <v>789</v>
      </c>
      <c r="AG52" s="40">
        <v>415457</v>
      </c>
      <c r="AH52" s="40">
        <v>350875</v>
      </c>
      <c r="AI52" s="40">
        <v>43839</v>
      </c>
      <c r="AJ52" s="40">
        <v>4757333</v>
      </c>
      <c r="AK52" s="40">
        <v>159271</v>
      </c>
      <c r="AL52" s="40">
        <v>178672</v>
      </c>
      <c r="AM52" s="40">
        <v>7947</v>
      </c>
      <c r="AN52" s="40">
        <v>9120</v>
      </c>
      <c r="AO52" s="40">
        <v>1183914</v>
      </c>
      <c r="AP52" s="40">
        <v>10684278</v>
      </c>
      <c r="AQ52" s="40">
        <v>5629814</v>
      </c>
      <c r="AR52" s="40">
        <v>4406595</v>
      </c>
      <c r="AS52" s="40">
        <v>3395015</v>
      </c>
      <c r="AT52" s="40">
        <v>35310913</v>
      </c>
      <c r="AU52" s="40">
        <v>3458138</v>
      </c>
      <c r="AV52" s="40">
        <v>109090206</v>
      </c>
      <c r="AW52" s="40">
        <v>50548171</v>
      </c>
      <c r="AX52" s="40">
        <v>154324962</v>
      </c>
      <c r="AY52" s="40">
        <v>619925</v>
      </c>
      <c r="AZ52" s="40">
        <v>34159720</v>
      </c>
      <c r="BA52" s="40">
        <v>36505034</v>
      </c>
      <c r="BB52" s="40">
        <v>1304135</v>
      </c>
      <c r="BC52" s="40">
        <v>1943735</v>
      </c>
      <c r="BD52" s="40">
        <v>1076527</v>
      </c>
      <c r="BE52" s="40">
        <v>4140280</v>
      </c>
      <c r="BF52" s="40">
        <v>8320757</v>
      </c>
      <c r="BG52" s="40">
        <v>1238522</v>
      </c>
      <c r="BH52" s="40">
        <v>560156</v>
      </c>
      <c r="BI52" s="40">
        <v>209831</v>
      </c>
      <c r="BJ52" s="40">
        <v>4303557</v>
      </c>
      <c r="BK52" s="40">
        <v>15880939</v>
      </c>
      <c r="BL52" s="40">
        <v>24258245</v>
      </c>
      <c r="BM52" s="40">
        <v>114010880</v>
      </c>
      <c r="BN52" s="40">
        <v>27364274</v>
      </c>
      <c r="BO52" s="40">
        <v>44059824</v>
      </c>
      <c r="BP52" s="40">
        <v>1052402</v>
      </c>
      <c r="BQ52" s="40">
        <v>5338643</v>
      </c>
      <c r="BR52" s="40">
        <v>6285328</v>
      </c>
      <c r="BS52" s="40">
        <v>0</v>
      </c>
      <c r="BT52" s="40">
        <v>887064625</v>
      </c>
      <c r="BU52" s="40">
        <v>7473937725</v>
      </c>
      <c r="BV52" s="40">
        <v>0</v>
      </c>
      <c r="BW52" s="40">
        <v>0</v>
      </c>
      <c r="BX52" s="40">
        <v>7473937725</v>
      </c>
      <c r="BY52" s="40">
        <v>939292851</v>
      </c>
      <c r="BZ52" s="40">
        <v>0</v>
      </c>
      <c r="CA52" s="40">
        <v>0</v>
      </c>
      <c r="CB52" s="40">
        <v>939292851</v>
      </c>
      <c r="CC52" s="40">
        <v>467987046</v>
      </c>
      <c r="CD52" s="40">
        <v>8881217622</v>
      </c>
      <c r="CE52" s="40">
        <v>9768282247</v>
      </c>
      <c r="CF52" s="41"/>
      <c r="CG52" s="41"/>
      <c r="CH52" s="42"/>
    </row>
    <row r="53" spans="1:86" ht="22.5">
      <c r="A53" s="38">
        <v>47</v>
      </c>
      <c r="B53" s="65" t="s">
        <v>41</v>
      </c>
      <c r="C53" s="39" t="s">
        <v>40</v>
      </c>
      <c r="D53" s="40">
        <v>136558059</v>
      </c>
      <c r="E53" s="40">
        <v>14978</v>
      </c>
      <c r="F53" s="40">
        <v>225407</v>
      </c>
      <c r="G53" s="40">
        <v>8812308</v>
      </c>
      <c r="H53" s="40">
        <v>905196761</v>
      </c>
      <c r="I53" s="40">
        <v>14755772</v>
      </c>
      <c r="J53" s="40">
        <v>10415539</v>
      </c>
      <c r="K53" s="40">
        <v>113956499</v>
      </c>
      <c r="L53" s="40">
        <v>7823320</v>
      </c>
      <c r="M53" s="40">
        <v>12237005</v>
      </c>
      <c r="N53" s="40">
        <v>57279724</v>
      </c>
      <c r="O53" s="40">
        <v>1382845</v>
      </c>
      <c r="P53" s="40">
        <v>1814831</v>
      </c>
      <c r="Q53" s="40">
        <v>558554</v>
      </c>
      <c r="R53" s="40">
        <v>156250</v>
      </c>
      <c r="S53" s="40">
        <v>355465</v>
      </c>
      <c r="T53" s="40">
        <v>1714679</v>
      </c>
      <c r="U53" s="40">
        <v>552325</v>
      </c>
      <c r="V53" s="40">
        <v>4253902</v>
      </c>
      <c r="W53" s="40">
        <v>87247961</v>
      </c>
      <c r="X53" s="40">
        <v>39315883</v>
      </c>
      <c r="Y53" s="40">
        <v>2170476</v>
      </c>
      <c r="Z53" s="40">
        <v>6115292</v>
      </c>
      <c r="AA53" s="40">
        <v>27455715</v>
      </c>
      <c r="AB53" s="40">
        <v>101129888</v>
      </c>
      <c r="AC53" s="40">
        <v>4121373</v>
      </c>
      <c r="AD53" s="40">
        <v>5428293</v>
      </c>
      <c r="AE53" s="40">
        <v>286922827</v>
      </c>
      <c r="AF53" s="40">
        <v>757238</v>
      </c>
      <c r="AG53" s="40">
        <v>12199833</v>
      </c>
      <c r="AH53" s="40">
        <v>1154479</v>
      </c>
      <c r="AI53" s="40">
        <v>6279731</v>
      </c>
      <c r="AJ53" s="40">
        <v>11851743</v>
      </c>
      <c r="AK53" s="40">
        <v>29836923</v>
      </c>
      <c r="AL53" s="40">
        <v>11802854</v>
      </c>
      <c r="AM53" s="40">
        <v>1186504</v>
      </c>
      <c r="AN53" s="40">
        <v>1305117</v>
      </c>
      <c r="AO53" s="40">
        <v>22636891</v>
      </c>
      <c r="AP53" s="40">
        <v>29039980</v>
      </c>
      <c r="AQ53" s="40">
        <v>6520801</v>
      </c>
      <c r="AR53" s="40">
        <v>6682751</v>
      </c>
      <c r="AS53" s="40">
        <v>5861385</v>
      </c>
      <c r="AT53" s="40">
        <v>229164907</v>
      </c>
      <c r="AU53" s="40">
        <v>45977401</v>
      </c>
      <c r="AV53" s="40">
        <v>495288468</v>
      </c>
      <c r="AW53" s="40">
        <v>98579615</v>
      </c>
      <c r="AX53" s="40">
        <v>55764821</v>
      </c>
      <c r="AY53" s="40">
        <v>1364342</v>
      </c>
      <c r="AZ53" s="40">
        <v>5376962</v>
      </c>
      <c r="BA53" s="40">
        <v>122133493</v>
      </c>
      <c r="BB53" s="40">
        <v>7469614</v>
      </c>
      <c r="BC53" s="40">
        <v>2999340</v>
      </c>
      <c r="BD53" s="40">
        <v>23156278</v>
      </c>
      <c r="BE53" s="40">
        <v>2855697</v>
      </c>
      <c r="BF53" s="40">
        <v>6443772</v>
      </c>
      <c r="BG53" s="40">
        <v>30001929</v>
      </c>
      <c r="BH53" s="40">
        <v>5906768</v>
      </c>
      <c r="BI53" s="40">
        <v>2197317</v>
      </c>
      <c r="BJ53" s="40">
        <v>451932363</v>
      </c>
      <c r="BK53" s="40">
        <v>37240267</v>
      </c>
      <c r="BL53" s="40">
        <v>109082344</v>
      </c>
      <c r="BM53" s="40">
        <v>21264794</v>
      </c>
      <c r="BN53" s="40">
        <v>20366307</v>
      </c>
      <c r="BO53" s="40">
        <v>39202707</v>
      </c>
      <c r="BP53" s="40">
        <v>600970</v>
      </c>
      <c r="BQ53" s="40">
        <v>6587261</v>
      </c>
      <c r="BR53" s="40">
        <v>21868870</v>
      </c>
      <c r="BS53" s="40">
        <v>0</v>
      </c>
      <c r="BT53" s="40">
        <v>3827914768</v>
      </c>
      <c r="BU53" s="40">
        <v>903725750</v>
      </c>
      <c r="BV53" s="40">
        <v>0</v>
      </c>
      <c r="BW53" s="40">
        <v>0</v>
      </c>
      <c r="BX53" s="40">
        <v>903725750</v>
      </c>
      <c r="BY53" s="40">
        <v>165726827</v>
      </c>
      <c r="BZ53" s="40">
        <v>0</v>
      </c>
      <c r="CA53" s="40">
        <v>0</v>
      </c>
      <c r="CB53" s="40">
        <v>165726827</v>
      </c>
      <c r="CC53" s="40">
        <v>2008029456</v>
      </c>
      <c r="CD53" s="40">
        <v>3077482033</v>
      </c>
      <c r="CE53" s="40">
        <v>6905396801</v>
      </c>
      <c r="CF53" s="41"/>
      <c r="CG53" s="41"/>
      <c r="CH53" s="42"/>
    </row>
    <row r="54" spans="1:86">
      <c r="A54" s="38">
        <v>48</v>
      </c>
      <c r="B54" s="65" t="s">
        <v>39</v>
      </c>
      <c r="C54" s="39" t="s">
        <v>38</v>
      </c>
      <c r="D54" s="40">
        <v>565326</v>
      </c>
      <c r="E54" s="40">
        <v>65</v>
      </c>
      <c r="F54" s="40">
        <v>14224812</v>
      </c>
      <c r="G54" s="40">
        <v>42440</v>
      </c>
      <c r="H54" s="40">
        <v>8002512</v>
      </c>
      <c r="I54" s="40">
        <v>390244</v>
      </c>
      <c r="J54" s="40">
        <v>118077</v>
      </c>
      <c r="K54" s="40">
        <v>1292974</v>
      </c>
      <c r="L54" s="40">
        <v>40868</v>
      </c>
      <c r="M54" s="40">
        <v>136696</v>
      </c>
      <c r="N54" s="40">
        <v>611146</v>
      </c>
      <c r="O54" s="40">
        <v>19288</v>
      </c>
      <c r="P54" s="40">
        <v>21958</v>
      </c>
      <c r="Q54" s="40">
        <v>6302</v>
      </c>
      <c r="R54" s="40">
        <v>1734</v>
      </c>
      <c r="S54" s="40">
        <v>3993</v>
      </c>
      <c r="T54" s="40">
        <v>16347</v>
      </c>
      <c r="U54" s="40">
        <v>6175</v>
      </c>
      <c r="V54" s="40">
        <v>116279</v>
      </c>
      <c r="W54" s="40">
        <v>345194</v>
      </c>
      <c r="X54" s="40">
        <v>442823</v>
      </c>
      <c r="Y54" s="40">
        <v>24461</v>
      </c>
      <c r="Z54" s="40">
        <v>68675</v>
      </c>
      <c r="AA54" s="40">
        <v>307058</v>
      </c>
      <c r="AB54" s="40">
        <v>1148329</v>
      </c>
      <c r="AC54" s="40">
        <v>46428</v>
      </c>
      <c r="AD54" s="40">
        <v>61133</v>
      </c>
      <c r="AE54" s="40">
        <v>3906751</v>
      </c>
      <c r="AF54" s="40">
        <v>8532</v>
      </c>
      <c r="AG54" s="40">
        <v>137165</v>
      </c>
      <c r="AH54" s="40">
        <v>12893</v>
      </c>
      <c r="AI54" s="40">
        <v>70664</v>
      </c>
      <c r="AJ54" s="40">
        <v>133582</v>
      </c>
      <c r="AK54" s="40">
        <v>335922</v>
      </c>
      <c r="AL54" s="40">
        <v>132947</v>
      </c>
      <c r="AM54" s="40">
        <v>13045</v>
      </c>
      <c r="AN54" s="40">
        <v>14702</v>
      </c>
      <c r="AO54" s="40">
        <v>253053</v>
      </c>
      <c r="AP54" s="40">
        <v>318843</v>
      </c>
      <c r="AQ54" s="40">
        <v>79295</v>
      </c>
      <c r="AR54" s="40">
        <v>73845</v>
      </c>
      <c r="AS54" s="40">
        <v>65553</v>
      </c>
      <c r="AT54" s="40">
        <v>2499688</v>
      </c>
      <c r="AU54" s="40">
        <v>187520</v>
      </c>
      <c r="AV54" s="40">
        <v>288600</v>
      </c>
      <c r="AW54" s="40">
        <v>107100</v>
      </c>
      <c r="AX54" s="40">
        <v>506326</v>
      </c>
      <c r="AY54" s="40">
        <v>3989</v>
      </c>
      <c r="AZ54" s="40">
        <v>83074</v>
      </c>
      <c r="BA54" s="40">
        <v>164498</v>
      </c>
      <c r="BB54" s="40">
        <v>2162</v>
      </c>
      <c r="BC54" s="40">
        <v>33766</v>
      </c>
      <c r="BD54" s="40">
        <v>237127</v>
      </c>
      <c r="BE54" s="40">
        <v>26218</v>
      </c>
      <c r="BF54" s="40">
        <v>70618</v>
      </c>
      <c r="BG54" s="40">
        <v>264023</v>
      </c>
      <c r="BH54" s="40">
        <v>3745</v>
      </c>
      <c r="BI54" s="40">
        <v>1587</v>
      </c>
      <c r="BJ54" s="40">
        <v>85362</v>
      </c>
      <c r="BK54" s="40">
        <v>356602</v>
      </c>
      <c r="BL54" s="40">
        <v>87440</v>
      </c>
      <c r="BM54" s="40">
        <v>149960</v>
      </c>
      <c r="BN54" s="40">
        <v>196782</v>
      </c>
      <c r="BO54" s="40">
        <v>437124</v>
      </c>
      <c r="BP54" s="40">
        <v>6478</v>
      </c>
      <c r="BQ54" s="40">
        <v>72812</v>
      </c>
      <c r="BR54" s="40">
        <v>28744</v>
      </c>
      <c r="BS54" s="40">
        <v>0</v>
      </c>
      <c r="BT54" s="40">
        <v>39519474</v>
      </c>
      <c r="BU54" s="40">
        <v>3907345</v>
      </c>
      <c r="BV54" s="40">
        <v>0</v>
      </c>
      <c r="BW54" s="40">
        <v>0</v>
      </c>
      <c r="BX54" s="40">
        <v>3907345</v>
      </c>
      <c r="BY54" s="40">
        <v>1865954</v>
      </c>
      <c r="BZ54" s="40">
        <v>0</v>
      </c>
      <c r="CA54" s="40">
        <v>0</v>
      </c>
      <c r="CB54" s="40">
        <v>1865954</v>
      </c>
      <c r="CC54" s="40">
        <v>30373327</v>
      </c>
      <c r="CD54" s="40">
        <v>36146626</v>
      </c>
      <c r="CE54" s="40">
        <v>75666100</v>
      </c>
      <c r="CF54" s="41"/>
      <c r="CG54" s="41"/>
      <c r="CH54" s="42"/>
    </row>
    <row r="55" spans="1:86">
      <c r="A55" s="38">
        <v>49</v>
      </c>
      <c r="B55" s="65" t="s">
        <v>37</v>
      </c>
      <c r="C55" s="39" t="s">
        <v>36</v>
      </c>
      <c r="D55" s="40">
        <v>4228</v>
      </c>
      <c r="E55" s="40">
        <v>0</v>
      </c>
      <c r="F55" s="40">
        <v>7</v>
      </c>
      <c r="G55" s="40">
        <v>158</v>
      </c>
      <c r="H55" s="40">
        <v>1093294</v>
      </c>
      <c r="I55" s="40">
        <v>59880</v>
      </c>
      <c r="J55" s="40">
        <v>62</v>
      </c>
      <c r="K55" s="40">
        <v>39</v>
      </c>
      <c r="L55" s="40">
        <v>112</v>
      </c>
      <c r="M55" s="40">
        <v>441</v>
      </c>
      <c r="N55" s="40">
        <v>70470</v>
      </c>
      <c r="O55" s="40">
        <v>53</v>
      </c>
      <c r="P55" s="40">
        <v>60</v>
      </c>
      <c r="Q55" s="40">
        <v>108</v>
      </c>
      <c r="R55" s="40">
        <v>4</v>
      </c>
      <c r="S55" s="40">
        <v>11</v>
      </c>
      <c r="T55" s="40">
        <v>45</v>
      </c>
      <c r="U55" s="40">
        <v>132</v>
      </c>
      <c r="V55" s="40">
        <v>132</v>
      </c>
      <c r="W55" s="40">
        <v>949</v>
      </c>
      <c r="X55" s="40">
        <v>101</v>
      </c>
      <c r="Y55" s="40">
        <v>67</v>
      </c>
      <c r="Z55" s="40">
        <v>189</v>
      </c>
      <c r="AA55" s="40">
        <v>827</v>
      </c>
      <c r="AB55" s="40">
        <v>3155</v>
      </c>
      <c r="AC55" s="40">
        <v>128</v>
      </c>
      <c r="AD55" s="40">
        <v>168</v>
      </c>
      <c r="AE55" s="40">
        <v>10735</v>
      </c>
      <c r="AF55" s="40">
        <v>23</v>
      </c>
      <c r="AG55" s="40">
        <v>377</v>
      </c>
      <c r="AH55" s="40">
        <v>36</v>
      </c>
      <c r="AI55" s="40">
        <v>129</v>
      </c>
      <c r="AJ55" s="40">
        <v>367</v>
      </c>
      <c r="AK55" s="40">
        <v>923</v>
      </c>
      <c r="AL55" s="40">
        <v>365</v>
      </c>
      <c r="AM55" s="40">
        <v>36</v>
      </c>
      <c r="AN55" s="40">
        <v>47</v>
      </c>
      <c r="AO55" s="40">
        <v>2835</v>
      </c>
      <c r="AP55" s="40">
        <v>409</v>
      </c>
      <c r="AQ55" s="40">
        <v>218</v>
      </c>
      <c r="AR55" s="40">
        <v>203</v>
      </c>
      <c r="AS55" s="40">
        <v>1468</v>
      </c>
      <c r="AT55" s="40">
        <v>250241</v>
      </c>
      <c r="AU55" s="40">
        <v>6678603</v>
      </c>
      <c r="AV55" s="40">
        <v>28117485</v>
      </c>
      <c r="AW55" s="40">
        <v>17784588</v>
      </c>
      <c r="AX55" s="40">
        <v>1391</v>
      </c>
      <c r="AY55" s="40">
        <v>11</v>
      </c>
      <c r="AZ55" s="40">
        <v>783927</v>
      </c>
      <c r="BA55" s="40">
        <v>6436</v>
      </c>
      <c r="BB55" s="40">
        <v>34591</v>
      </c>
      <c r="BC55" s="40">
        <v>93</v>
      </c>
      <c r="BD55" s="40">
        <v>651</v>
      </c>
      <c r="BE55" s="40">
        <v>43407</v>
      </c>
      <c r="BF55" s="40">
        <v>1784507</v>
      </c>
      <c r="BG55" s="40">
        <v>2955474</v>
      </c>
      <c r="BH55" s="40">
        <v>10</v>
      </c>
      <c r="BI55" s="40">
        <v>4</v>
      </c>
      <c r="BJ55" s="40">
        <v>23816</v>
      </c>
      <c r="BK55" s="40">
        <v>7844360</v>
      </c>
      <c r="BL55" s="40">
        <v>95264681</v>
      </c>
      <c r="BM55" s="40">
        <v>103928215</v>
      </c>
      <c r="BN55" s="40">
        <v>17486679</v>
      </c>
      <c r="BO55" s="40">
        <v>1262953</v>
      </c>
      <c r="BP55" s="40">
        <v>18</v>
      </c>
      <c r="BQ55" s="40">
        <v>7738820</v>
      </c>
      <c r="BR55" s="40">
        <v>921465</v>
      </c>
      <c r="BS55" s="40">
        <v>0</v>
      </c>
      <c r="BT55" s="40">
        <v>294165417</v>
      </c>
      <c r="BU55" s="40">
        <v>543709376</v>
      </c>
      <c r="BV55" s="40">
        <v>0</v>
      </c>
      <c r="BW55" s="40">
        <v>0</v>
      </c>
      <c r="BX55" s="40">
        <v>543709376</v>
      </c>
      <c r="BY55" s="40">
        <v>5127</v>
      </c>
      <c r="BZ55" s="40">
        <v>0</v>
      </c>
      <c r="CA55" s="40">
        <v>0</v>
      </c>
      <c r="CB55" s="40">
        <v>5127</v>
      </c>
      <c r="CC55" s="40">
        <v>189968080</v>
      </c>
      <c r="CD55" s="40">
        <v>733682583</v>
      </c>
      <c r="CE55" s="40">
        <v>1027848000</v>
      </c>
      <c r="CF55" s="41"/>
      <c r="CG55" s="41"/>
      <c r="CH55" s="42"/>
    </row>
    <row r="56" spans="1:86" ht="22.5">
      <c r="A56" s="38">
        <v>50</v>
      </c>
      <c r="B56" s="65" t="s">
        <v>35</v>
      </c>
      <c r="C56" s="39" t="s">
        <v>34</v>
      </c>
      <c r="D56" s="40">
        <v>122378521</v>
      </c>
      <c r="E56" s="40">
        <v>0</v>
      </c>
      <c r="F56" s="40">
        <v>0</v>
      </c>
      <c r="G56" s="40">
        <v>0</v>
      </c>
      <c r="H56" s="40">
        <v>430311940</v>
      </c>
      <c r="I56" s="40">
        <v>907699</v>
      </c>
      <c r="J56" s="40">
        <v>418</v>
      </c>
      <c r="K56" s="40">
        <v>591</v>
      </c>
      <c r="L56" s="40">
        <v>464017</v>
      </c>
      <c r="M56" s="40">
        <v>1330</v>
      </c>
      <c r="N56" s="40">
        <v>45633</v>
      </c>
      <c r="O56" s="40">
        <v>0</v>
      </c>
      <c r="P56" s="40">
        <v>0</v>
      </c>
      <c r="Q56" s="40">
        <v>1807</v>
      </c>
      <c r="R56" s="40">
        <v>1708</v>
      </c>
      <c r="S56" s="40">
        <v>0</v>
      </c>
      <c r="T56" s="40">
        <v>8518</v>
      </c>
      <c r="U56" s="40">
        <v>0</v>
      </c>
      <c r="V56" s="40">
        <v>0</v>
      </c>
      <c r="W56" s="40">
        <v>4022478</v>
      </c>
      <c r="X56" s="40">
        <v>549</v>
      </c>
      <c r="Y56" s="40">
        <v>0</v>
      </c>
      <c r="Z56" s="40">
        <v>202</v>
      </c>
      <c r="AA56" s="40">
        <v>80526</v>
      </c>
      <c r="AB56" s="40">
        <v>3520</v>
      </c>
      <c r="AC56" s="40">
        <v>138</v>
      </c>
      <c r="AD56" s="40">
        <v>0</v>
      </c>
      <c r="AE56" s="40">
        <v>2</v>
      </c>
      <c r="AF56" s="40">
        <v>0</v>
      </c>
      <c r="AG56" s="40">
        <v>10</v>
      </c>
      <c r="AH56" s="40">
        <v>0</v>
      </c>
      <c r="AI56" s="40">
        <v>468</v>
      </c>
      <c r="AJ56" s="40">
        <v>420</v>
      </c>
      <c r="AK56" s="40">
        <v>0</v>
      </c>
      <c r="AL56" s="40">
        <v>5770</v>
      </c>
      <c r="AM56" s="40">
        <v>0</v>
      </c>
      <c r="AN56" s="40">
        <v>268</v>
      </c>
      <c r="AO56" s="40">
        <v>4560</v>
      </c>
      <c r="AP56" s="40">
        <v>77091</v>
      </c>
      <c r="AQ56" s="40">
        <v>0</v>
      </c>
      <c r="AR56" s="40">
        <v>153549</v>
      </c>
      <c r="AS56" s="40">
        <v>74929</v>
      </c>
      <c r="AT56" s="40">
        <v>627351</v>
      </c>
      <c r="AU56" s="40">
        <v>76633102</v>
      </c>
      <c r="AV56" s="40">
        <v>730918957</v>
      </c>
      <c r="AW56" s="40">
        <v>194662730</v>
      </c>
      <c r="AX56" s="40">
        <v>94367758</v>
      </c>
      <c r="AY56" s="40">
        <v>2186735</v>
      </c>
      <c r="AZ56" s="40">
        <v>142658283</v>
      </c>
      <c r="BA56" s="40">
        <v>24647311</v>
      </c>
      <c r="BB56" s="40">
        <v>0</v>
      </c>
      <c r="BC56" s="40">
        <v>579</v>
      </c>
      <c r="BD56" s="40">
        <v>7662</v>
      </c>
      <c r="BE56" s="40">
        <v>362464</v>
      </c>
      <c r="BF56" s="40">
        <v>1116088</v>
      </c>
      <c r="BG56" s="40">
        <v>562557</v>
      </c>
      <c r="BH56" s="40">
        <v>1242377</v>
      </c>
      <c r="BI56" s="40">
        <v>400388</v>
      </c>
      <c r="BJ56" s="40">
        <v>82182</v>
      </c>
      <c r="BK56" s="40">
        <v>63429779</v>
      </c>
      <c r="BL56" s="40">
        <v>830555</v>
      </c>
      <c r="BM56" s="40">
        <v>97092525</v>
      </c>
      <c r="BN56" s="40">
        <v>2229135</v>
      </c>
      <c r="BO56" s="40">
        <v>423725</v>
      </c>
      <c r="BP56" s="40">
        <v>495884</v>
      </c>
      <c r="BQ56" s="40">
        <v>86505</v>
      </c>
      <c r="BR56" s="40">
        <v>1560</v>
      </c>
      <c r="BS56" s="40">
        <v>0</v>
      </c>
      <c r="BT56" s="40">
        <v>1993612854</v>
      </c>
      <c r="BU56" s="40">
        <v>670418298</v>
      </c>
      <c r="BV56" s="40">
        <v>0</v>
      </c>
      <c r="BW56" s="40">
        <v>0</v>
      </c>
      <c r="BX56" s="40">
        <v>670418298</v>
      </c>
      <c r="BY56" s="40">
        <v>0</v>
      </c>
      <c r="BZ56" s="40">
        <v>0</v>
      </c>
      <c r="CA56" s="40">
        <v>0</v>
      </c>
      <c r="CB56" s="40">
        <v>0</v>
      </c>
      <c r="CC56" s="40">
        <v>452747448</v>
      </c>
      <c r="CD56" s="40">
        <v>1123165746</v>
      </c>
      <c r="CE56" s="40">
        <v>3116778600</v>
      </c>
      <c r="CF56" s="41"/>
      <c r="CG56" s="41"/>
      <c r="CH56" s="42"/>
    </row>
    <row r="57" spans="1:86">
      <c r="A57" s="38">
        <v>51</v>
      </c>
      <c r="B57" s="65" t="s">
        <v>33</v>
      </c>
      <c r="C57" s="39" t="s">
        <v>32</v>
      </c>
      <c r="D57" s="40">
        <v>2116</v>
      </c>
      <c r="E57" s="40">
        <v>92</v>
      </c>
      <c r="F57" s="40">
        <v>0</v>
      </c>
      <c r="G57" s="40">
        <v>31</v>
      </c>
      <c r="H57" s="40">
        <v>2241</v>
      </c>
      <c r="I57" s="40">
        <v>96</v>
      </c>
      <c r="J57" s="40">
        <v>0</v>
      </c>
      <c r="K57" s="40">
        <v>108</v>
      </c>
      <c r="L57" s="40">
        <v>115</v>
      </c>
      <c r="M57" s="40">
        <v>52</v>
      </c>
      <c r="N57" s="40">
        <v>7578</v>
      </c>
      <c r="O57" s="40">
        <v>0</v>
      </c>
      <c r="P57" s="40">
        <v>0</v>
      </c>
      <c r="Q57" s="40">
        <v>85</v>
      </c>
      <c r="R57" s="40">
        <v>59</v>
      </c>
      <c r="S57" s="40">
        <v>0</v>
      </c>
      <c r="T57" s="40">
        <v>157</v>
      </c>
      <c r="U57" s="40">
        <v>158</v>
      </c>
      <c r="V57" s="40">
        <v>0</v>
      </c>
      <c r="W57" s="40">
        <v>0</v>
      </c>
      <c r="X57" s="40">
        <v>263</v>
      </c>
      <c r="Y57" s="40">
        <v>0</v>
      </c>
      <c r="Z57" s="40">
        <v>0</v>
      </c>
      <c r="AA57" s="40">
        <v>131</v>
      </c>
      <c r="AB57" s="40">
        <v>831</v>
      </c>
      <c r="AC57" s="40">
        <v>9</v>
      </c>
      <c r="AD57" s="40">
        <v>6</v>
      </c>
      <c r="AE57" s="40">
        <v>42</v>
      </c>
      <c r="AF57" s="40">
        <v>0</v>
      </c>
      <c r="AG57" s="40">
        <v>348</v>
      </c>
      <c r="AH57" s="40">
        <v>0</v>
      </c>
      <c r="AI57" s="40">
        <v>1897</v>
      </c>
      <c r="AJ57" s="40">
        <v>16</v>
      </c>
      <c r="AK57" s="40">
        <v>0</v>
      </c>
      <c r="AL57" s="40">
        <v>26</v>
      </c>
      <c r="AM57" s="40">
        <v>1831</v>
      </c>
      <c r="AN57" s="40">
        <v>21</v>
      </c>
      <c r="AO57" s="40">
        <v>251</v>
      </c>
      <c r="AP57" s="40">
        <v>1873</v>
      </c>
      <c r="AQ57" s="40">
        <v>3</v>
      </c>
      <c r="AR57" s="40">
        <v>63</v>
      </c>
      <c r="AS57" s="40">
        <v>226</v>
      </c>
      <c r="AT57" s="40">
        <v>6806</v>
      </c>
      <c r="AU57" s="40">
        <v>1138</v>
      </c>
      <c r="AV57" s="40">
        <v>746756</v>
      </c>
      <c r="AW57" s="40">
        <v>5829844</v>
      </c>
      <c r="AX57" s="40">
        <v>90</v>
      </c>
      <c r="AY57" s="40">
        <v>0</v>
      </c>
      <c r="AZ57" s="40">
        <v>1</v>
      </c>
      <c r="BA57" s="40">
        <v>851120</v>
      </c>
      <c r="BB57" s="40">
        <v>11685</v>
      </c>
      <c r="BC57" s="40">
        <v>1347</v>
      </c>
      <c r="BD57" s="40">
        <v>32789</v>
      </c>
      <c r="BE57" s="40">
        <v>7199</v>
      </c>
      <c r="BF57" s="40">
        <v>50259</v>
      </c>
      <c r="BG57" s="40">
        <v>1421210</v>
      </c>
      <c r="BH57" s="40">
        <v>1237558</v>
      </c>
      <c r="BI57" s="40">
        <v>230111</v>
      </c>
      <c r="BJ57" s="40">
        <v>17499</v>
      </c>
      <c r="BK57" s="40">
        <v>53856</v>
      </c>
      <c r="BL57" s="40">
        <v>280821</v>
      </c>
      <c r="BM57" s="40">
        <v>4762359</v>
      </c>
      <c r="BN57" s="40">
        <v>2173503</v>
      </c>
      <c r="BO57" s="40">
        <v>2260552</v>
      </c>
      <c r="BP57" s="40">
        <v>21796</v>
      </c>
      <c r="BQ57" s="40">
        <v>2996</v>
      </c>
      <c r="BR57" s="40">
        <v>1409898</v>
      </c>
      <c r="BS57" s="40">
        <v>0</v>
      </c>
      <c r="BT57" s="40">
        <v>21431918</v>
      </c>
      <c r="BU57" s="40">
        <v>57049457</v>
      </c>
      <c r="BV57" s="40">
        <v>0</v>
      </c>
      <c r="BW57" s="40">
        <v>0</v>
      </c>
      <c r="BX57" s="40">
        <v>57049457</v>
      </c>
      <c r="BY57" s="40">
        <v>0</v>
      </c>
      <c r="BZ57" s="40">
        <v>0</v>
      </c>
      <c r="CA57" s="40">
        <v>0</v>
      </c>
      <c r="CB57" s="40">
        <v>0</v>
      </c>
      <c r="CC57" s="40">
        <v>16329325</v>
      </c>
      <c r="CD57" s="40">
        <v>73378782</v>
      </c>
      <c r="CE57" s="40">
        <v>94810700</v>
      </c>
      <c r="CF57" s="41"/>
      <c r="CG57" s="41"/>
      <c r="CH57" s="42"/>
    </row>
    <row r="58" spans="1:86">
      <c r="A58" s="38">
        <v>52</v>
      </c>
      <c r="B58" s="65" t="s">
        <v>31</v>
      </c>
      <c r="C58" s="39" t="s">
        <v>30</v>
      </c>
      <c r="D58" s="40">
        <v>128</v>
      </c>
      <c r="E58" s="40">
        <v>0</v>
      </c>
      <c r="F58" s="40">
        <v>0</v>
      </c>
      <c r="G58" s="40">
        <v>453</v>
      </c>
      <c r="H58" s="40">
        <v>408797</v>
      </c>
      <c r="I58" s="40">
        <v>18609</v>
      </c>
      <c r="J58" s="40">
        <v>125</v>
      </c>
      <c r="K58" s="40">
        <v>14914</v>
      </c>
      <c r="L58" s="40">
        <v>1296</v>
      </c>
      <c r="M58" s="40">
        <v>24299</v>
      </c>
      <c r="N58" s="40">
        <v>52253</v>
      </c>
      <c r="O58" s="40">
        <v>0</v>
      </c>
      <c r="P58" s="40">
        <v>0</v>
      </c>
      <c r="Q58" s="40">
        <v>188</v>
      </c>
      <c r="R58" s="40">
        <v>269</v>
      </c>
      <c r="S58" s="40">
        <v>0</v>
      </c>
      <c r="T58" s="40">
        <v>0</v>
      </c>
      <c r="U58" s="40">
        <v>172</v>
      </c>
      <c r="V58" s="40">
        <v>0</v>
      </c>
      <c r="W58" s="40">
        <v>0</v>
      </c>
      <c r="X58" s="40">
        <v>17</v>
      </c>
      <c r="Y58" s="40">
        <v>0</v>
      </c>
      <c r="Z58" s="40">
        <v>0</v>
      </c>
      <c r="AA58" s="40">
        <v>1660</v>
      </c>
      <c r="AB58" s="40">
        <v>2368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3213</v>
      </c>
      <c r="AI58" s="40">
        <v>965</v>
      </c>
      <c r="AJ58" s="40">
        <v>114</v>
      </c>
      <c r="AK58" s="40">
        <v>0</v>
      </c>
      <c r="AL58" s="40">
        <v>0</v>
      </c>
      <c r="AM58" s="40">
        <v>10701</v>
      </c>
      <c r="AN58" s="40">
        <v>95</v>
      </c>
      <c r="AO58" s="40">
        <v>30727</v>
      </c>
      <c r="AP58" s="40">
        <v>837</v>
      </c>
      <c r="AQ58" s="40">
        <v>0</v>
      </c>
      <c r="AR58" s="40">
        <v>70</v>
      </c>
      <c r="AS58" s="40">
        <v>1946</v>
      </c>
      <c r="AT58" s="40">
        <v>6808</v>
      </c>
      <c r="AU58" s="40">
        <v>1141</v>
      </c>
      <c r="AV58" s="40">
        <v>74991</v>
      </c>
      <c r="AW58" s="40">
        <v>108381</v>
      </c>
      <c r="AX58" s="40">
        <v>84514</v>
      </c>
      <c r="AY58" s="40">
        <v>34461</v>
      </c>
      <c r="AZ58" s="40">
        <v>133124</v>
      </c>
      <c r="BA58" s="40">
        <v>30111</v>
      </c>
      <c r="BB58" s="40">
        <v>56170</v>
      </c>
      <c r="BC58" s="40">
        <v>1150190</v>
      </c>
      <c r="BD58" s="40">
        <v>0</v>
      </c>
      <c r="BE58" s="40">
        <v>690337</v>
      </c>
      <c r="BF58" s="40">
        <v>875308</v>
      </c>
      <c r="BG58" s="40">
        <v>3996647</v>
      </c>
      <c r="BH58" s="40">
        <v>1679360</v>
      </c>
      <c r="BI58" s="40">
        <v>598245</v>
      </c>
      <c r="BJ58" s="40">
        <v>71654</v>
      </c>
      <c r="BK58" s="40">
        <v>5435318</v>
      </c>
      <c r="BL58" s="40">
        <v>10360706</v>
      </c>
      <c r="BM58" s="40">
        <v>14544314</v>
      </c>
      <c r="BN58" s="40">
        <v>6987357</v>
      </c>
      <c r="BO58" s="40">
        <v>8524</v>
      </c>
      <c r="BP58" s="40">
        <v>80</v>
      </c>
      <c r="BQ58" s="40">
        <v>10400045</v>
      </c>
      <c r="BR58" s="40">
        <v>116392161</v>
      </c>
      <c r="BS58" s="40">
        <v>0</v>
      </c>
      <c r="BT58" s="40">
        <v>174294163</v>
      </c>
      <c r="BU58" s="40">
        <v>96302361</v>
      </c>
      <c r="BV58" s="40">
        <v>0</v>
      </c>
      <c r="BW58" s="40">
        <v>0</v>
      </c>
      <c r="BX58" s="40">
        <v>96302361</v>
      </c>
      <c r="BY58" s="40">
        <v>0</v>
      </c>
      <c r="BZ58" s="40">
        <v>0</v>
      </c>
      <c r="CA58" s="40">
        <v>0</v>
      </c>
      <c r="CB58" s="40">
        <v>0</v>
      </c>
      <c r="CC58" s="40">
        <v>249238700</v>
      </c>
      <c r="CD58" s="40">
        <v>345541061</v>
      </c>
      <c r="CE58" s="40">
        <v>519835224</v>
      </c>
      <c r="CF58" s="41"/>
      <c r="CG58" s="41"/>
      <c r="CH58" s="42"/>
    </row>
    <row r="59" spans="1:86" ht="22.5">
      <c r="A59" s="38">
        <v>53</v>
      </c>
      <c r="B59" s="65" t="s">
        <v>29</v>
      </c>
      <c r="C59" s="39" t="s">
        <v>28</v>
      </c>
      <c r="D59" s="40">
        <v>90304</v>
      </c>
      <c r="E59" s="40">
        <v>0</v>
      </c>
      <c r="F59" s="40">
        <v>0</v>
      </c>
      <c r="G59" s="40">
        <v>59857</v>
      </c>
      <c r="H59" s="40">
        <v>4933533</v>
      </c>
      <c r="I59" s="40">
        <v>229166</v>
      </c>
      <c r="J59" s="40">
        <v>3284</v>
      </c>
      <c r="K59" s="40">
        <v>120305</v>
      </c>
      <c r="L59" s="40">
        <v>245121</v>
      </c>
      <c r="M59" s="40">
        <v>256143</v>
      </c>
      <c r="N59" s="40">
        <v>122796</v>
      </c>
      <c r="O59" s="40">
        <v>0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9334</v>
      </c>
      <c r="X59" s="40">
        <v>0</v>
      </c>
      <c r="Y59" s="40">
        <v>0</v>
      </c>
      <c r="Z59" s="40">
        <v>0</v>
      </c>
      <c r="AA59" s="40">
        <v>1822</v>
      </c>
      <c r="AB59" s="40">
        <v>15833</v>
      </c>
      <c r="AC59" s="40">
        <v>1009</v>
      </c>
      <c r="AD59" s="40">
        <v>0</v>
      </c>
      <c r="AE59" s="40">
        <v>9807</v>
      </c>
      <c r="AF59" s="40">
        <v>0</v>
      </c>
      <c r="AG59" s="40">
        <v>0</v>
      </c>
      <c r="AH59" s="40">
        <v>0</v>
      </c>
      <c r="AI59" s="40">
        <v>0</v>
      </c>
      <c r="AJ59" s="40">
        <v>7</v>
      </c>
      <c r="AK59" s="40">
        <v>0</v>
      </c>
      <c r="AL59" s="40">
        <v>0</v>
      </c>
      <c r="AM59" s="40">
        <v>0</v>
      </c>
      <c r="AN59" s="40">
        <v>100</v>
      </c>
      <c r="AO59" s="40">
        <v>108574</v>
      </c>
      <c r="AP59" s="40">
        <v>13710</v>
      </c>
      <c r="AQ59" s="40">
        <v>0</v>
      </c>
      <c r="AR59" s="40">
        <v>1179</v>
      </c>
      <c r="AS59" s="40">
        <v>3340</v>
      </c>
      <c r="AT59" s="40">
        <v>1877755</v>
      </c>
      <c r="AU59" s="40">
        <v>0</v>
      </c>
      <c r="AV59" s="40">
        <v>4017072</v>
      </c>
      <c r="AW59" s="40">
        <v>3040557</v>
      </c>
      <c r="AX59" s="40">
        <v>744736</v>
      </c>
      <c r="AY59" s="40">
        <v>319469</v>
      </c>
      <c r="AZ59" s="40">
        <v>3124390</v>
      </c>
      <c r="BA59" s="40">
        <v>91591</v>
      </c>
      <c r="BB59" s="40">
        <v>0</v>
      </c>
      <c r="BC59" s="40">
        <v>5058169</v>
      </c>
      <c r="BD59" s="40">
        <v>0</v>
      </c>
      <c r="BE59" s="40">
        <v>49262</v>
      </c>
      <c r="BF59" s="40">
        <v>908310</v>
      </c>
      <c r="BG59" s="40">
        <v>1814914</v>
      </c>
      <c r="BH59" s="40">
        <v>0</v>
      </c>
      <c r="BI59" s="40">
        <v>0</v>
      </c>
      <c r="BJ59" s="40">
        <v>1480784</v>
      </c>
      <c r="BK59" s="40">
        <v>6759165</v>
      </c>
      <c r="BL59" s="40">
        <v>1581443</v>
      </c>
      <c r="BM59" s="40">
        <v>38551132</v>
      </c>
      <c r="BN59" s="40">
        <v>54548527</v>
      </c>
      <c r="BO59" s="40">
        <v>646997</v>
      </c>
      <c r="BP59" s="40">
        <v>496625</v>
      </c>
      <c r="BQ59" s="40">
        <v>30437085</v>
      </c>
      <c r="BR59" s="40">
        <v>3786165</v>
      </c>
      <c r="BS59" s="40">
        <v>0</v>
      </c>
      <c r="BT59" s="40">
        <v>165559372</v>
      </c>
      <c r="BU59" s="40">
        <v>1968055043</v>
      </c>
      <c r="BV59" s="40">
        <v>0</v>
      </c>
      <c r="BW59" s="40">
        <v>0</v>
      </c>
      <c r="BX59" s="40">
        <v>1968055043</v>
      </c>
      <c r="BY59" s="40">
        <v>0</v>
      </c>
      <c r="BZ59" s="40">
        <v>0</v>
      </c>
      <c r="CA59" s="40">
        <v>0</v>
      </c>
      <c r="CB59" s="40">
        <v>0</v>
      </c>
      <c r="CC59" s="40">
        <v>185501128</v>
      </c>
      <c r="CD59" s="40">
        <v>2153556171</v>
      </c>
      <c r="CE59" s="40">
        <v>2319115543</v>
      </c>
      <c r="CF59" s="41"/>
      <c r="CG59" s="41"/>
      <c r="CH59" s="42"/>
    </row>
    <row r="60" spans="1:86" ht="26.25" customHeight="1">
      <c r="A60" s="38">
        <v>54</v>
      </c>
      <c r="B60" s="67" t="s">
        <v>198</v>
      </c>
      <c r="C60" s="39" t="s">
        <v>161</v>
      </c>
      <c r="D60" s="40">
        <v>180390</v>
      </c>
      <c r="E60" s="40">
        <v>992</v>
      </c>
      <c r="F60" s="40">
        <v>0</v>
      </c>
      <c r="G60" s="40">
        <v>0</v>
      </c>
      <c r="H60" s="40">
        <v>4295462</v>
      </c>
      <c r="I60" s="40">
        <v>204262</v>
      </c>
      <c r="J60" s="40">
        <v>90</v>
      </c>
      <c r="K60" s="40">
        <v>2752</v>
      </c>
      <c r="L60" s="40">
        <v>12745</v>
      </c>
      <c r="M60" s="40">
        <v>2189</v>
      </c>
      <c r="N60" s="40">
        <v>74490</v>
      </c>
      <c r="O60" s="40">
        <v>0</v>
      </c>
      <c r="P60" s="40">
        <v>0</v>
      </c>
      <c r="Q60" s="40">
        <v>3046</v>
      </c>
      <c r="R60" s="40">
        <v>0</v>
      </c>
      <c r="S60" s="40">
        <v>0</v>
      </c>
      <c r="T60" s="40">
        <v>0</v>
      </c>
      <c r="U60" s="40">
        <v>1093</v>
      </c>
      <c r="V60" s="40">
        <v>0</v>
      </c>
      <c r="W60" s="40">
        <v>45876</v>
      </c>
      <c r="X60" s="40">
        <v>21853</v>
      </c>
      <c r="Y60" s="40">
        <v>89278</v>
      </c>
      <c r="Z60" s="40">
        <v>0</v>
      </c>
      <c r="AA60" s="40">
        <v>35318</v>
      </c>
      <c r="AB60" s="40">
        <v>80309</v>
      </c>
      <c r="AC60" s="40">
        <v>0</v>
      </c>
      <c r="AD60" s="40">
        <v>0</v>
      </c>
      <c r="AE60" s="40">
        <v>264</v>
      </c>
      <c r="AF60" s="40">
        <v>0</v>
      </c>
      <c r="AG60" s="40">
        <v>78</v>
      </c>
      <c r="AH60" s="40">
        <v>0</v>
      </c>
      <c r="AI60" s="40">
        <v>879</v>
      </c>
      <c r="AJ60" s="40">
        <v>4767</v>
      </c>
      <c r="AK60" s="40">
        <v>46</v>
      </c>
      <c r="AL60" s="40">
        <v>518</v>
      </c>
      <c r="AM60" s="40">
        <v>21102</v>
      </c>
      <c r="AN60" s="40">
        <v>89</v>
      </c>
      <c r="AO60" s="40">
        <v>7060</v>
      </c>
      <c r="AP60" s="40">
        <v>202403</v>
      </c>
      <c r="AQ60" s="40">
        <v>41426</v>
      </c>
      <c r="AR60" s="40">
        <v>930</v>
      </c>
      <c r="AS60" s="40">
        <v>2436</v>
      </c>
      <c r="AT60" s="40">
        <v>155444</v>
      </c>
      <c r="AU60" s="40">
        <v>727</v>
      </c>
      <c r="AV60" s="40">
        <v>31495310</v>
      </c>
      <c r="AW60" s="40">
        <v>16816155</v>
      </c>
      <c r="AX60" s="40">
        <v>168881</v>
      </c>
      <c r="AY60" s="40">
        <v>16519</v>
      </c>
      <c r="AZ60" s="40">
        <v>4761467</v>
      </c>
      <c r="BA60" s="40">
        <v>395791</v>
      </c>
      <c r="BB60" s="40">
        <v>8079</v>
      </c>
      <c r="BC60" s="40">
        <v>298317</v>
      </c>
      <c r="BD60" s="40">
        <v>12729266</v>
      </c>
      <c r="BE60" s="40">
        <v>56720571</v>
      </c>
      <c r="BF60" s="40">
        <v>3891131</v>
      </c>
      <c r="BG60" s="40">
        <v>84761444</v>
      </c>
      <c r="BH60" s="40">
        <v>79208636</v>
      </c>
      <c r="BI60" s="40">
        <v>10737161</v>
      </c>
      <c r="BJ60" s="40">
        <v>3274608</v>
      </c>
      <c r="BK60" s="40">
        <v>24803118</v>
      </c>
      <c r="BL60" s="40">
        <v>1293310</v>
      </c>
      <c r="BM60" s="40">
        <v>596282105</v>
      </c>
      <c r="BN60" s="40">
        <v>108771636</v>
      </c>
      <c r="BO60" s="40">
        <v>14614377</v>
      </c>
      <c r="BP60" s="40">
        <v>591291</v>
      </c>
      <c r="BQ60" s="40">
        <v>11768522</v>
      </c>
      <c r="BR60" s="40">
        <v>12149245</v>
      </c>
      <c r="BS60" s="40">
        <v>0</v>
      </c>
      <c r="BT60" s="40">
        <v>1081045254</v>
      </c>
      <c r="BU60" s="40">
        <v>83827569</v>
      </c>
      <c r="BV60" s="40">
        <v>0</v>
      </c>
      <c r="BW60" s="40">
        <v>0</v>
      </c>
      <c r="BX60" s="40">
        <v>83827569</v>
      </c>
      <c r="BY60" s="40">
        <v>1063605065</v>
      </c>
      <c r="BZ60" s="40">
        <v>410593</v>
      </c>
      <c r="CA60" s="40">
        <v>0</v>
      </c>
      <c r="CB60" s="40">
        <v>1064015658</v>
      </c>
      <c r="CC60" s="40">
        <v>434450920</v>
      </c>
      <c r="CD60" s="40">
        <v>1582294147</v>
      </c>
      <c r="CE60" s="40">
        <v>2663339401</v>
      </c>
      <c r="CF60" s="41"/>
      <c r="CG60" s="41"/>
      <c r="CH60" s="42"/>
    </row>
    <row r="61" spans="1:86">
      <c r="A61" s="38">
        <v>55</v>
      </c>
      <c r="B61" s="65" t="s">
        <v>27</v>
      </c>
      <c r="C61" s="39" t="s">
        <v>26</v>
      </c>
      <c r="D61" s="40">
        <v>78348</v>
      </c>
      <c r="E61" s="40">
        <v>103</v>
      </c>
      <c r="F61" s="40">
        <v>305</v>
      </c>
      <c r="G61" s="40">
        <v>852</v>
      </c>
      <c r="H61" s="40">
        <v>114245</v>
      </c>
      <c r="I61" s="40">
        <v>5216</v>
      </c>
      <c r="J61" s="40">
        <v>723</v>
      </c>
      <c r="K61" s="40">
        <v>1551</v>
      </c>
      <c r="L61" s="40">
        <v>775</v>
      </c>
      <c r="M61" s="40">
        <v>4250</v>
      </c>
      <c r="N61" s="40">
        <v>51258</v>
      </c>
      <c r="O61" s="40">
        <v>38016</v>
      </c>
      <c r="P61" s="40">
        <v>96</v>
      </c>
      <c r="Q61" s="40">
        <v>1110</v>
      </c>
      <c r="R61" s="40">
        <v>67</v>
      </c>
      <c r="S61" s="40">
        <v>0</v>
      </c>
      <c r="T61" s="40">
        <v>2384</v>
      </c>
      <c r="U61" s="40">
        <v>257</v>
      </c>
      <c r="V61" s="40">
        <v>0</v>
      </c>
      <c r="W61" s="40">
        <v>143</v>
      </c>
      <c r="X61" s="40">
        <v>729</v>
      </c>
      <c r="Y61" s="40">
        <v>330</v>
      </c>
      <c r="Z61" s="40">
        <v>414</v>
      </c>
      <c r="AA61" s="40">
        <v>12529</v>
      </c>
      <c r="AB61" s="40">
        <v>1458</v>
      </c>
      <c r="AC61" s="40">
        <v>66</v>
      </c>
      <c r="AD61" s="40">
        <v>65</v>
      </c>
      <c r="AE61" s="40">
        <v>29149</v>
      </c>
      <c r="AF61" s="40">
        <v>26</v>
      </c>
      <c r="AG61" s="40">
        <v>587</v>
      </c>
      <c r="AH61" s="40">
        <v>55</v>
      </c>
      <c r="AI61" s="40">
        <v>204</v>
      </c>
      <c r="AJ61" s="40">
        <v>311</v>
      </c>
      <c r="AK61" s="40">
        <v>161</v>
      </c>
      <c r="AL61" s="40">
        <v>274</v>
      </c>
      <c r="AM61" s="40">
        <v>1213</v>
      </c>
      <c r="AN61" s="40">
        <v>91</v>
      </c>
      <c r="AO61" s="40">
        <v>561098</v>
      </c>
      <c r="AP61" s="40">
        <v>35913</v>
      </c>
      <c r="AQ61" s="40">
        <v>179</v>
      </c>
      <c r="AR61" s="40">
        <v>1871</v>
      </c>
      <c r="AS61" s="40">
        <v>11120</v>
      </c>
      <c r="AT61" s="40">
        <v>83399</v>
      </c>
      <c r="AU61" s="40">
        <v>1838</v>
      </c>
      <c r="AV61" s="40">
        <v>387</v>
      </c>
      <c r="AW61" s="40">
        <v>267070</v>
      </c>
      <c r="AX61" s="40">
        <v>4881</v>
      </c>
      <c r="AY61" s="40">
        <v>756</v>
      </c>
      <c r="AZ61" s="40">
        <v>872</v>
      </c>
      <c r="BA61" s="40">
        <v>219</v>
      </c>
      <c r="BB61" s="40">
        <v>1952</v>
      </c>
      <c r="BC61" s="40">
        <v>217057</v>
      </c>
      <c r="BD61" s="40">
        <v>126659</v>
      </c>
      <c r="BE61" s="40">
        <v>20470</v>
      </c>
      <c r="BF61" s="40">
        <v>57600</v>
      </c>
      <c r="BG61" s="40">
        <v>24954053</v>
      </c>
      <c r="BH61" s="40">
        <v>15855000</v>
      </c>
      <c r="BI61" s="40">
        <v>7269507</v>
      </c>
      <c r="BJ61" s="40">
        <v>371801</v>
      </c>
      <c r="BK61" s="40">
        <v>625590</v>
      </c>
      <c r="BL61" s="40">
        <v>197862</v>
      </c>
      <c r="BM61" s="40">
        <v>178693393</v>
      </c>
      <c r="BN61" s="40">
        <v>52221689</v>
      </c>
      <c r="BO61" s="40">
        <v>8327322</v>
      </c>
      <c r="BP61" s="40">
        <v>332927</v>
      </c>
      <c r="BQ61" s="40">
        <v>160868</v>
      </c>
      <c r="BR61" s="40">
        <v>5087589</v>
      </c>
      <c r="BS61" s="40">
        <v>0</v>
      </c>
      <c r="BT61" s="40">
        <v>295838303</v>
      </c>
      <c r="BU61" s="40">
        <v>1285167662</v>
      </c>
      <c r="BV61" s="40">
        <v>0</v>
      </c>
      <c r="BW61" s="40">
        <v>0</v>
      </c>
      <c r="BX61" s="40">
        <v>1285167662</v>
      </c>
      <c r="BY61" s="40">
        <v>0</v>
      </c>
      <c r="BZ61" s="40">
        <v>0</v>
      </c>
      <c r="CA61" s="40">
        <v>0</v>
      </c>
      <c r="CB61" s="40">
        <v>0</v>
      </c>
      <c r="CC61" s="40">
        <v>119604035</v>
      </c>
      <c r="CD61" s="40">
        <v>1404771697</v>
      </c>
      <c r="CE61" s="40">
        <v>1700610000</v>
      </c>
      <c r="CF61" s="41"/>
      <c r="CG61" s="41"/>
      <c r="CH61" s="42"/>
    </row>
    <row r="62" spans="1:86" ht="22.5">
      <c r="A62" s="38">
        <v>56</v>
      </c>
      <c r="B62" s="65" t="s">
        <v>25</v>
      </c>
      <c r="C62" s="39" t="s">
        <v>24</v>
      </c>
      <c r="D62" s="40">
        <v>145579709</v>
      </c>
      <c r="E62" s="40">
        <v>16258</v>
      </c>
      <c r="F62" s="40">
        <v>1083266</v>
      </c>
      <c r="G62" s="40">
        <v>166106</v>
      </c>
      <c r="H62" s="40">
        <v>17485455</v>
      </c>
      <c r="I62" s="40">
        <v>1057789</v>
      </c>
      <c r="J62" s="40">
        <v>419</v>
      </c>
      <c r="K62" s="40">
        <v>306</v>
      </c>
      <c r="L62" s="40">
        <v>88412</v>
      </c>
      <c r="M62" s="40">
        <v>405</v>
      </c>
      <c r="N62" s="40">
        <v>21338658</v>
      </c>
      <c r="O62" s="40">
        <v>5204699</v>
      </c>
      <c r="P62" s="40">
        <v>187229</v>
      </c>
      <c r="Q62" s="40">
        <v>84480</v>
      </c>
      <c r="R62" s="40">
        <v>8988</v>
      </c>
      <c r="S62" s="40">
        <v>28539</v>
      </c>
      <c r="T62" s="40">
        <v>195525</v>
      </c>
      <c r="U62" s="40">
        <v>102526</v>
      </c>
      <c r="V62" s="40">
        <v>359955</v>
      </c>
      <c r="W62" s="40">
        <v>17786272</v>
      </c>
      <c r="X62" s="40">
        <v>1193</v>
      </c>
      <c r="Y62" s="40">
        <v>9919</v>
      </c>
      <c r="Z62" s="40">
        <v>253981</v>
      </c>
      <c r="AA62" s="40">
        <v>1248858</v>
      </c>
      <c r="AB62" s="40">
        <v>5114</v>
      </c>
      <c r="AC62" s="40">
        <v>961</v>
      </c>
      <c r="AD62" s="40">
        <v>933</v>
      </c>
      <c r="AE62" s="40">
        <v>6867</v>
      </c>
      <c r="AF62" s="40">
        <v>48</v>
      </c>
      <c r="AG62" s="40">
        <v>122071</v>
      </c>
      <c r="AH62" s="40">
        <v>63338</v>
      </c>
      <c r="AI62" s="40">
        <v>10449</v>
      </c>
      <c r="AJ62" s="40">
        <v>8243</v>
      </c>
      <c r="AK62" s="40">
        <v>2693462</v>
      </c>
      <c r="AL62" s="40">
        <v>524620</v>
      </c>
      <c r="AM62" s="40">
        <v>535987</v>
      </c>
      <c r="AN62" s="40">
        <v>38019</v>
      </c>
      <c r="AO62" s="40">
        <v>623576</v>
      </c>
      <c r="AP62" s="40">
        <v>9543</v>
      </c>
      <c r="AQ62" s="40">
        <v>1215625</v>
      </c>
      <c r="AR62" s="40">
        <v>5255</v>
      </c>
      <c r="AS62" s="40">
        <v>2211752</v>
      </c>
      <c r="AT62" s="40">
        <v>32913727</v>
      </c>
      <c r="AU62" s="40">
        <v>30418931</v>
      </c>
      <c r="AV62" s="40">
        <v>230920846</v>
      </c>
      <c r="AW62" s="40">
        <v>75388227</v>
      </c>
      <c r="AX62" s="40">
        <v>60593045</v>
      </c>
      <c r="AY62" s="40">
        <v>1194550</v>
      </c>
      <c r="AZ62" s="40">
        <v>2533903</v>
      </c>
      <c r="BA62" s="40">
        <v>15518785</v>
      </c>
      <c r="BB62" s="40">
        <v>815703</v>
      </c>
      <c r="BC62" s="40">
        <v>13628686</v>
      </c>
      <c r="BD62" s="40">
        <v>27921434</v>
      </c>
      <c r="BE62" s="40">
        <v>33890619</v>
      </c>
      <c r="BF62" s="40">
        <v>14211735</v>
      </c>
      <c r="BG62" s="40">
        <v>1011304</v>
      </c>
      <c r="BH62" s="40">
        <v>425841</v>
      </c>
      <c r="BI62" s="40">
        <v>385543</v>
      </c>
      <c r="BJ62" s="40">
        <v>1120343737</v>
      </c>
      <c r="BK62" s="40">
        <v>106961134</v>
      </c>
      <c r="BL62" s="40">
        <v>45332487</v>
      </c>
      <c r="BM62" s="40">
        <v>205508001</v>
      </c>
      <c r="BN62" s="40">
        <v>204956450</v>
      </c>
      <c r="BO62" s="40">
        <v>83047492</v>
      </c>
      <c r="BP62" s="40">
        <v>185070</v>
      </c>
      <c r="BQ62" s="40">
        <v>1358353</v>
      </c>
      <c r="BR62" s="40">
        <v>71315090</v>
      </c>
      <c r="BS62" s="40">
        <v>0</v>
      </c>
      <c r="BT62" s="40">
        <v>2601145503</v>
      </c>
      <c r="BU62" s="40">
        <v>1578102562</v>
      </c>
      <c r="BV62" s="40">
        <v>33575800</v>
      </c>
      <c r="BW62" s="40">
        <v>0</v>
      </c>
      <c r="BX62" s="40">
        <v>1611678362</v>
      </c>
      <c r="BY62" s="40">
        <v>0</v>
      </c>
      <c r="BZ62" s="40">
        <v>0</v>
      </c>
      <c r="CA62" s="40">
        <v>0</v>
      </c>
      <c r="CB62" s="40">
        <v>0</v>
      </c>
      <c r="CC62" s="40">
        <v>436661686</v>
      </c>
      <c r="CD62" s="40">
        <v>2048340048</v>
      </c>
      <c r="CE62" s="40">
        <v>4649485551</v>
      </c>
      <c r="CF62" s="41"/>
      <c r="CG62" s="41"/>
      <c r="CH62" s="42"/>
    </row>
    <row r="63" spans="1:86" ht="45">
      <c r="A63" s="38">
        <v>57</v>
      </c>
      <c r="B63" s="65" t="s">
        <v>23</v>
      </c>
      <c r="C63" s="39" t="s">
        <v>138</v>
      </c>
      <c r="D63" s="40">
        <v>86315292</v>
      </c>
      <c r="E63" s="40">
        <v>62140</v>
      </c>
      <c r="F63" s="40">
        <v>49122</v>
      </c>
      <c r="G63" s="40">
        <v>267688</v>
      </c>
      <c r="H63" s="40">
        <v>158432814</v>
      </c>
      <c r="I63" s="40">
        <v>7507153</v>
      </c>
      <c r="J63" s="40">
        <v>460824</v>
      </c>
      <c r="K63" s="40">
        <v>227222</v>
      </c>
      <c r="L63" s="40">
        <v>131524</v>
      </c>
      <c r="M63" s="40">
        <v>27246</v>
      </c>
      <c r="N63" s="40">
        <v>238771</v>
      </c>
      <c r="O63" s="40">
        <v>185253</v>
      </c>
      <c r="P63" s="40">
        <v>0</v>
      </c>
      <c r="Q63" s="40">
        <v>454</v>
      </c>
      <c r="R63" s="40">
        <v>0</v>
      </c>
      <c r="S63" s="40">
        <v>0</v>
      </c>
      <c r="T63" s="40">
        <v>0</v>
      </c>
      <c r="U63" s="40">
        <v>35</v>
      </c>
      <c r="V63" s="40">
        <v>0</v>
      </c>
      <c r="W63" s="40">
        <v>21551</v>
      </c>
      <c r="X63" s="40">
        <v>12783</v>
      </c>
      <c r="Y63" s="40">
        <v>0</v>
      </c>
      <c r="Z63" s="40">
        <v>1057</v>
      </c>
      <c r="AA63" s="40">
        <v>59284</v>
      </c>
      <c r="AB63" s="40">
        <v>138199</v>
      </c>
      <c r="AC63" s="40">
        <v>0</v>
      </c>
      <c r="AD63" s="40">
        <v>380</v>
      </c>
      <c r="AE63" s="40">
        <v>483321</v>
      </c>
      <c r="AF63" s="40">
        <v>0</v>
      </c>
      <c r="AG63" s="40">
        <v>946</v>
      </c>
      <c r="AH63" s="40">
        <v>3733</v>
      </c>
      <c r="AI63" s="40">
        <v>1157</v>
      </c>
      <c r="AJ63" s="40">
        <v>2461</v>
      </c>
      <c r="AK63" s="40">
        <v>0</v>
      </c>
      <c r="AL63" s="40">
        <v>15523</v>
      </c>
      <c r="AM63" s="40">
        <v>404</v>
      </c>
      <c r="AN63" s="40">
        <v>16</v>
      </c>
      <c r="AO63" s="40">
        <v>103930</v>
      </c>
      <c r="AP63" s="40">
        <v>413946</v>
      </c>
      <c r="AQ63" s="40">
        <v>253376</v>
      </c>
      <c r="AR63" s="40">
        <v>105289</v>
      </c>
      <c r="AS63" s="40">
        <v>106035</v>
      </c>
      <c r="AT63" s="40">
        <v>411622</v>
      </c>
      <c r="AU63" s="40">
        <v>2177373</v>
      </c>
      <c r="AV63" s="40">
        <v>170971284</v>
      </c>
      <c r="AW63" s="40">
        <v>37631454</v>
      </c>
      <c r="AX63" s="40">
        <v>66453607</v>
      </c>
      <c r="AY63" s="40">
        <v>762399</v>
      </c>
      <c r="AZ63" s="40">
        <v>7496713</v>
      </c>
      <c r="BA63" s="40">
        <v>5091569</v>
      </c>
      <c r="BB63" s="40">
        <v>44177</v>
      </c>
      <c r="BC63" s="40">
        <v>125119</v>
      </c>
      <c r="BD63" s="40">
        <v>42236</v>
      </c>
      <c r="BE63" s="40">
        <v>124476971</v>
      </c>
      <c r="BF63" s="40">
        <v>3383570</v>
      </c>
      <c r="BG63" s="40">
        <v>213447012</v>
      </c>
      <c r="BH63" s="40">
        <v>64209212</v>
      </c>
      <c r="BI63" s="40">
        <v>674618</v>
      </c>
      <c r="BJ63" s="40">
        <v>16185122</v>
      </c>
      <c r="BK63" s="40">
        <v>3599050</v>
      </c>
      <c r="BL63" s="40">
        <v>69844620</v>
      </c>
      <c r="BM63" s="40">
        <v>18029273</v>
      </c>
      <c r="BN63" s="40">
        <v>180291</v>
      </c>
      <c r="BO63" s="40">
        <v>1205</v>
      </c>
      <c r="BP63" s="40">
        <v>14262</v>
      </c>
      <c r="BQ63" s="40">
        <v>83546906</v>
      </c>
      <c r="BR63" s="40">
        <v>18277129</v>
      </c>
      <c r="BS63" s="40">
        <v>0</v>
      </c>
      <c r="BT63" s="40">
        <v>1162705723</v>
      </c>
      <c r="BU63" s="40">
        <v>543632470</v>
      </c>
      <c r="BV63" s="40">
        <v>0</v>
      </c>
      <c r="BW63" s="40">
        <v>0</v>
      </c>
      <c r="BX63" s="40">
        <v>543632470</v>
      </c>
      <c r="BY63" s="40">
        <v>0</v>
      </c>
      <c r="BZ63" s="40">
        <v>0</v>
      </c>
      <c r="CA63" s="40">
        <v>0</v>
      </c>
      <c r="CB63" s="40">
        <v>0</v>
      </c>
      <c r="CC63" s="40">
        <v>124623107</v>
      </c>
      <c r="CD63" s="40">
        <v>668255577</v>
      </c>
      <c r="CE63" s="40">
        <v>1830961300</v>
      </c>
      <c r="CF63" s="41"/>
      <c r="CG63" s="41"/>
      <c r="CH63" s="42"/>
    </row>
    <row r="64" spans="1:86" ht="33.75">
      <c r="A64" s="38">
        <v>58</v>
      </c>
      <c r="B64" s="65" t="s">
        <v>22</v>
      </c>
      <c r="C64" s="39" t="s">
        <v>139</v>
      </c>
      <c r="D64" s="40">
        <v>32503</v>
      </c>
      <c r="E64" s="40">
        <v>0</v>
      </c>
      <c r="F64" s="40">
        <v>0</v>
      </c>
      <c r="G64" s="40">
        <v>0</v>
      </c>
      <c r="H64" s="40">
        <v>38789989</v>
      </c>
      <c r="I64" s="40">
        <v>1800956</v>
      </c>
      <c r="J64" s="40">
        <v>0</v>
      </c>
      <c r="K64" s="40">
        <v>6312</v>
      </c>
      <c r="L64" s="40">
        <v>0</v>
      </c>
      <c r="M64" s="40">
        <v>111</v>
      </c>
      <c r="N64" s="40">
        <v>22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T64" s="40">
        <v>0</v>
      </c>
      <c r="U64" s="40">
        <v>90</v>
      </c>
      <c r="V64" s="40">
        <v>0</v>
      </c>
      <c r="W64" s="40">
        <v>0</v>
      </c>
      <c r="X64" s="40">
        <v>40</v>
      </c>
      <c r="Y64" s="40">
        <v>0</v>
      </c>
      <c r="Z64" s="40">
        <v>25</v>
      </c>
      <c r="AA64" s="40">
        <v>663</v>
      </c>
      <c r="AB64" s="40">
        <v>0</v>
      </c>
      <c r="AC64" s="40">
        <v>0</v>
      </c>
      <c r="AD64" s="40">
        <v>0</v>
      </c>
      <c r="AE64" s="40">
        <v>0</v>
      </c>
      <c r="AF64" s="40">
        <v>93</v>
      </c>
      <c r="AG64" s="40">
        <v>0</v>
      </c>
      <c r="AH64" s="40">
        <v>0</v>
      </c>
      <c r="AI64" s="40">
        <v>4</v>
      </c>
      <c r="AJ64" s="40">
        <v>0</v>
      </c>
      <c r="AK64" s="40">
        <v>0</v>
      </c>
      <c r="AL64" s="40">
        <v>0</v>
      </c>
      <c r="AM64" s="40">
        <v>1040</v>
      </c>
      <c r="AN64" s="40">
        <v>0</v>
      </c>
      <c r="AO64" s="40">
        <v>845</v>
      </c>
      <c r="AP64" s="40">
        <v>594</v>
      </c>
      <c r="AQ64" s="40">
        <v>0</v>
      </c>
      <c r="AR64" s="40">
        <v>11</v>
      </c>
      <c r="AS64" s="40">
        <v>749</v>
      </c>
      <c r="AT64" s="40">
        <v>163163</v>
      </c>
      <c r="AU64" s="40">
        <v>597425</v>
      </c>
      <c r="AV64" s="40">
        <v>141939747</v>
      </c>
      <c r="AW64" s="40">
        <v>71515437</v>
      </c>
      <c r="AX64" s="40">
        <v>48638</v>
      </c>
      <c r="AY64" s="40">
        <v>0</v>
      </c>
      <c r="AZ64" s="40">
        <v>782</v>
      </c>
      <c r="BA64" s="40">
        <v>776408</v>
      </c>
      <c r="BB64" s="40">
        <v>0</v>
      </c>
      <c r="BC64" s="40">
        <v>66066</v>
      </c>
      <c r="BD64" s="40">
        <v>0</v>
      </c>
      <c r="BE64" s="40">
        <v>28482</v>
      </c>
      <c r="BF64" s="40">
        <v>24591</v>
      </c>
      <c r="BG64" s="40">
        <v>186387234</v>
      </c>
      <c r="BH64" s="40">
        <v>75086204</v>
      </c>
      <c r="BI64" s="40">
        <v>2509860</v>
      </c>
      <c r="BJ64" s="40">
        <v>16111</v>
      </c>
      <c r="BK64" s="40">
        <v>27410220</v>
      </c>
      <c r="BL64" s="40">
        <v>4670</v>
      </c>
      <c r="BM64" s="40">
        <v>127362</v>
      </c>
      <c r="BN64" s="40">
        <v>71</v>
      </c>
      <c r="BO64" s="40">
        <v>0</v>
      </c>
      <c r="BP64" s="40">
        <v>4532</v>
      </c>
      <c r="BQ64" s="40">
        <v>927</v>
      </c>
      <c r="BR64" s="40">
        <v>852751</v>
      </c>
      <c r="BS64" s="40">
        <v>0</v>
      </c>
      <c r="BT64" s="40">
        <v>548194728</v>
      </c>
      <c r="BU64" s="40">
        <v>0</v>
      </c>
      <c r="BV64" s="40">
        <v>0</v>
      </c>
      <c r="BW64" s="40">
        <v>0</v>
      </c>
      <c r="BX64" s="40">
        <v>0</v>
      </c>
      <c r="BY64" s="40">
        <v>0</v>
      </c>
      <c r="BZ64" s="40">
        <v>0</v>
      </c>
      <c r="CA64" s="40">
        <v>0</v>
      </c>
      <c r="CB64" s="40">
        <v>0</v>
      </c>
      <c r="CC64" s="40">
        <v>0</v>
      </c>
      <c r="CD64" s="40">
        <v>0</v>
      </c>
      <c r="CE64" s="40">
        <v>548194728</v>
      </c>
      <c r="CF64" s="41"/>
      <c r="CG64" s="41"/>
      <c r="CH64" s="42"/>
    </row>
    <row r="65" spans="1:86" ht="22.5">
      <c r="A65" s="38">
        <v>59</v>
      </c>
      <c r="B65" s="65" t="s">
        <v>21</v>
      </c>
      <c r="C65" s="39" t="s">
        <v>20</v>
      </c>
      <c r="D65" s="40">
        <v>3996281</v>
      </c>
      <c r="E65" s="40">
        <v>69</v>
      </c>
      <c r="F65" s="40">
        <v>0</v>
      </c>
      <c r="G65" s="40">
        <v>5995</v>
      </c>
      <c r="H65" s="40">
        <v>758857</v>
      </c>
      <c r="I65" s="40">
        <v>34266</v>
      </c>
      <c r="J65" s="40">
        <v>19825</v>
      </c>
      <c r="K65" s="40">
        <v>50547</v>
      </c>
      <c r="L65" s="40">
        <v>99877</v>
      </c>
      <c r="M65" s="40">
        <v>165567</v>
      </c>
      <c r="N65" s="40">
        <v>1186284</v>
      </c>
      <c r="O65" s="40">
        <v>2767894</v>
      </c>
      <c r="P65" s="40">
        <v>495</v>
      </c>
      <c r="Q65" s="40">
        <v>12407</v>
      </c>
      <c r="R65" s="40">
        <v>1304</v>
      </c>
      <c r="S65" s="40">
        <v>0</v>
      </c>
      <c r="T65" s="40">
        <v>219893</v>
      </c>
      <c r="U65" s="40">
        <v>642</v>
      </c>
      <c r="V65" s="40">
        <v>0</v>
      </c>
      <c r="W65" s="40">
        <v>1409</v>
      </c>
      <c r="X65" s="40">
        <v>10071</v>
      </c>
      <c r="Y65" s="40">
        <v>133466</v>
      </c>
      <c r="Z65" s="40">
        <v>15439</v>
      </c>
      <c r="AA65" s="40">
        <v>53789</v>
      </c>
      <c r="AB65" s="40">
        <v>482</v>
      </c>
      <c r="AC65" s="40">
        <v>0</v>
      </c>
      <c r="AD65" s="40">
        <v>106</v>
      </c>
      <c r="AE65" s="40">
        <v>850</v>
      </c>
      <c r="AF65" s="40">
        <v>0</v>
      </c>
      <c r="AG65" s="40">
        <v>11577</v>
      </c>
      <c r="AH65" s="40">
        <v>9363</v>
      </c>
      <c r="AI65" s="40">
        <v>462</v>
      </c>
      <c r="AJ65" s="40">
        <v>366</v>
      </c>
      <c r="AK65" s="40">
        <v>38380</v>
      </c>
      <c r="AL65" s="40">
        <v>674</v>
      </c>
      <c r="AM65" s="40">
        <v>161063</v>
      </c>
      <c r="AN65" s="40">
        <v>30</v>
      </c>
      <c r="AO65" s="40">
        <v>203492</v>
      </c>
      <c r="AP65" s="40">
        <v>114849</v>
      </c>
      <c r="AQ65" s="40">
        <v>3621</v>
      </c>
      <c r="AR65" s="40">
        <v>26595</v>
      </c>
      <c r="AS65" s="40">
        <v>407845</v>
      </c>
      <c r="AT65" s="40">
        <v>7243</v>
      </c>
      <c r="AU65" s="40">
        <v>16354028</v>
      </c>
      <c r="AV65" s="40">
        <v>83849406</v>
      </c>
      <c r="AW65" s="40">
        <v>199546079</v>
      </c>
      <c r="AX65" s="40">
        <v>3357923</v>
      </c>
      <c r="AY65" s="40">
        <v>7237</v>
      </c>
      <c r="AZ65" s="40">
        <v>4255470</v>
      </c>
      <c r="BA65" s="40">
        <v>4387358</v>
      </c>
      <c r="BB65" s="40">
        <v>350923</v>
      </c>
      <c r="BC65" s="40">
        <v>9208736</v>
      </c>
      <c r="BD65" s="40">
        <v>9507882</v>
      </c>
      <c r="BE65" s="40">
        <v>104153863</v>
      </c>
      <c r="BF65" s="40">
        <v>12094101</v>
      </c>
      <c r="BG65" s="40">
        <v>164280091</v>
      </c>
      <c r="BH65" s="40">
        <v>160606597</v>
      </c>
      <c r="BI65" s="40">
        <v>124829528</v>
      </c>
      <c r="BJ65" s="40">
        <v>112845585</v>
      </c>
      <c r="BK65" s="40">
        <v>76854629</v>
      </c>
      <c r="BL65" s="40">
        <v>57637009</v>
      </c>
      <c r="BM65" s="40">
        <v>100434512</v>
      </c>
      <c r="BN65" s="40">
        <v>146426489</v>
      </c>
      <c r="BO65" s="40">
        <v>19769292</v>
      </c>
      <c r="BP65" s="40">
        <v>13712637</v>
      </c>
      <c r="BQ65" s="40">
        <v>130353137</v>
      </c>
      <c r="BR65" s="40">
        <v>720663008</v>
      </c>
      <c r="BS65" s="40">
        <v>0</v>
      </c>
      <c r="BT65" s="40">
        <v>2286006895</v>
      </c>
      <c r="BU65" s="40">
        <v>14038899340</v>
      </c>
      <c r="BV65" s="40">
        <v>0</v>
      </c>
      <c r="BW65" s="40">
        <v>0</v>
      </c>
      <c r="BX65" s="40">
        <v>14038899340</v>
      </c>
      <c r="BY65" s="40">
        <v>0</v>
      </c>
      <c r="BZ65" s="40">
        <v>0</v>
      </c>
      <c r="CA65" s="40">
        <v>0</v>
      </c>
      <c r="CB65" s="40">
        <v>0</v>
      </c>
      <c r="CC65" s="40">
        <v>67882265</v>
      </c>
      <c r="CD65" s="40">
        <v>14106781605</v>
      </c>
      <c r="CE65" s="40">
        <v>16392788500</v>
      </c>
      <c r="CF65" s="41"/>
      <c r="CG65" s="41"/>
      <c r="CH65" s="42"/>
    </row>
    <row r="66" spans="1:86" ht="22.5">
      <c r="A66" s="38">
        <v>60</v>
      </c>
      <c r="B66" s="65" t="s">
        <v>160</v>
      </c>
      <c r="C66" s="39" t="s">
        <v>159</v>
      </c>
      <c r="D66" s="40">
        <v>116904429</v>
      </c>
      <c r="E66" s="40">
        <v>155</v>
      </c>
      <c r="F66" s="40">
        <v>0</v>
      </c>
      <c r="G66" s="40">
        <v>19518</v>
      </c>
      <c r="H66" s="40">
        <v>188824663</v>
      </c>
      <c r="I66" s="40">
        <v>8565507</v>
      </c>
      <c r="J66" s="40">
        <v>177277</v>
      </c>
      <c r="K66" s="40">
        <v>1501169</v>
      </c>
      <c r="L66" s="40">
        <v>92085</v>
      </c>
      <c r="M66" s="40">
        <v>525792</v>
      </c>
      <c r="N66" s="40">
        <v>3288471</v>
      </c>
      <c r="O66" s="40">
        <v>0</v>
      </c>
      <c r="P66" s="40">
        <v>84053</v>
      </c>
      <c r="Q66" s="40">
        <v>926</v>
      </c>
      <c r="R66" s="40">
        <v>83</v>
      </c>
      <c r="S66" s="40">
        <v>0</v>
      </c>
      <c r="T66" s="40">
        <v>3</v>
      </c>
      <c r="U66" s="40">
        <v>71996</v>
      </c>
      <c r="V66" s="40">
        <v>51</v>
      </c>
      <c r="W66" s="40">
        <v>10425</v>
      </c>
      <c r="X66" s="40">
        <v>28781</v>
      </c>
      <c r="Y66" s="40">
        <v>703</v>
      </c>
      <c r="Z66" s="40">
        <v>1342</v>
      </c>
      <c r="AA66" s="40">
        <v>8621</v>
      </c>
      <c r="AB66" s="40">
        <v>49091</v>
      </c>
      <c r="AC66" s="40">
        <v>313</v>
      </c>
      <c r="AD66" s="40">
        <v>1122</v>
      </c>
      <c r="AE66" s="40">
        <v>25185</v>
      </c>
      <c r="AF66" s="40">
        <v>0</v>
      </c>
      <c r="AG66" s="40">
        <v>7077</v>
      </c>
      <c r="AH66" s="40">
        <v>427953</v>
      </c>
      <c r="AI66" s="40">
        <v>4182</v>
      </c>
      <c r="AJ66" s="40">
        <v>5115</v>
      </c>
      <c r="AK66" s="40">
        <v>272</v>
      </c>
      <c r="AL66" s="40">
        <v>41714</v>
      </c>
      <c r="AM66" s="40">
        <v>22212</v>
      </c>
      <c r="AN66" s="40">
        <v>1522</v>
      </c>
      <c r="AO66" s="40">
        <v>453738</v>
      </c>
      <c r="AP66" s="40">
        <v>971537</v>
      </c>
      <c r="AQ66" s="40">
        <v>32269</v>
      </c>
      <c r="AR66" s="40">
        <v>12470</v>
      </c>
      <c r="AS66" s="40">
        <v>531498</v>
      </c>
      <c r="AT66" s="40">
        <v>604841</v>
      </c>
      <c r="AU66" s="40">
        <v>45893321</v>
      </c>
      <c r="AV66" s="40">
        <v>1177415017</v>
      </c>
      <c r="AW66" s="40">
        <v>587614588</v>
      </c>
      <c r="AX66" s="40">
        <v>33727116</v>
      </c>
      <c r="AY66" s="40">
        <v>81925</v>
      </c>
      <c r="AZ66" s="40">
        <v>294946</v>
      </c>
      <c r="BA66" s="40">
        <v>7192236</v>
      </c>
      <c r="BB66" s="40">
        <v>134414</v>
      </c>
      <c r="BC66" s="40">
        <v>2390306</v>
      </c>
      <c r="BD66" s="40">
        <v>8754361</v>
      </c>
      <c r="BE66" s="40">
        <v>131645611</v>
      </c>
      <c r="BF66" s="40">
        <v>49157574</v>
      </c>
      <c r="BG66" s="40">
        <v>31327883</v>
      </c>
      <c r="BH66" s="40">
        <v>14068222</v>
      </c>
      <c r="BI66" s="40">
        <v>21908867</v>
      </c>
      <c r="BJ66" s="40">
        <v>131297021</v>
      </c>
      <c r="BK66" s="40">
        <v>126022788</v>
      </c>
      <c r="BL66" s="40">
        <v>146692840</v>
      </c>
      <c r="BM66" s="40">
        <v>728079482</v>
      </c>
      <c r="BN66" s="40">
        <v>58332481</v>
      </c>
      <c r="BO66" s="40">
        <v>26117991</v>
      </c>
      <c r="BP66" s="40">
        <v>4620750</v>
      </c>
      <c r="BQ66" s="40">
        <v>50139741</v>
      </c>
      <c r="BR66" s="40">
        <v>74495779</v>
      </c>
      <c r="BS66" s="40">
        <v>0</v>
      </c>
      <c r="BT66" s="40">
        <v>3780703421</v>
      </c>
      <c r="BU66" s="40">
        <v>29163484</v>
      </c>
      <c r="BV66" s="40">
        <v>21901062</v>
      </c>
      <c r="BW66" s="40">
        <v>0</v>
      </c>
      <c r="BX66" s="40">
        <v>51064546</v>
      </c>
      <c r="BY66" s="40">
        <v>2073814570</v>
      </c>
      <c r="BZ66" s="40">
        <v>-43208</v>
      </c>
      <c r="CA66" s="40">
        <v>0</v>
      </c>
      <c r="CB66" s="40">
        <v>2073771362</v>
      </c>
      <c r="CC66" s="40">
        <v>197210208</v>
      </c>
      <c r="CD66" s="40">
        <v>2322046116</v>
      </c>
      <c r="CE66" s="40">
        <v>6102749537</v>
      </c>
      <c r="CF66" s="41"/>
      <c r="CG66" s="41"/>
      <c r="CH66" s="42"/>
    </row>
    <row r="67" spans="1:86" ht="22.5">
      <c r="A67" s="38">
        <v>61</v>
      </c>
      <c r="B67" s="65" t="s">
        <v>158</v>
      </c>
      <c r="C67" s="39" t="s">
        <v>157</v>
      </c>
      <c r="D67" s="40">
        <v>38052407</v>
      </c>
      <c r="E67" s="40">
        <v>920</v>
      </c>
      <c r="F67" s="40">
        <v>0</v>
      </c>
      <c r="G67" s="40">
        <v>644772</v>
      </c>
      <c r="H67" s="40">
        <v>175229224</v>
      </c>
      <c r="I67" s="40">
        <v>18783947</v>
      </c>
      <c r="J67" s="40">
        <v>35301</v>
      </c>
      <c r="K67" s="40">
        <v>1217747</v>
      </c>
      <c r="L67" s="40">
        <v>25750426</v>
      </c>
      <c r="M67" s="40">
        <v>160681</v>
      </c>
      <c r="N67" s="40">
        <v>7696306</v>
      </c>
      <c r="O67" s="40">
        <v>26465980</v>
      </c>
      <c r="P67" s="40">
        <v>2451</v>
      </c>
      <c r="Q67" s="40">
        <v>22270</v>
      </c>
      <c r="R67" s="40">
        <v>5571</v>
      </c>
      <c r="S67" s="40">
        <v>0</v>
      </c>
      <c r="T67" s="40">
        <v>31437</v>
      </c>
      <c r="U67" s="40">
        <v>5713</v>
      </c>
      <c r="V67" s="40">
        <v>0</v>
      </c>
      <c r="W67" s="40">
        <v>4460115</v>
      </c>
      <c r="X67" s="40">
        <v>261258</v>
      </c>
      <c r="Y67" s="40">
        <v>10951</v>
      </c>
      <c r="Z67" s="40">
        <v>549</v>
      </c>
      <c r="AA67" s="40">
        <v>112011</v>
      </c>
      <c r="AB67" s="40">
        <v>16536</v>
      </c>
      <c r="AC67" s="40">
        <v>2011</v>
      </c>
      <c r="AD67" s="40">
        <v>3672</v>
      </c>
      <c r="AE67" s="40">
        <v>164157</v>
      </c>
      <c r="AF67" s="40">
        <v>32369</v>
      </c>
      <c r="AG67" s="40">
        <v>7477</v>
      </c>
      <c r="AH67" s="40">
        <v>763</v>
      </c>
      <c r="AI67" s="40">
        <v>4419</v>
      </c>
      <c r="AJ67" s="40">
        <v>1377</v>
      </c>
      <c r="AK67" s="40">
        <v>32131</v>
      </c>
      <c r="AL67" s="40">
        <v>35073</v>
      </c>
      <c r="AM67" s="40">
        <v>66569</v>
      </c>
      <c r="AN67" s="40">
        <v>1208</v>
      </c>
      <c r="AO67" s="40">
        <v>1346470</v>
      </c>
      <c r="AP67" s="40">
        <v>1699599</v>
      </c>
      <c r="AQ67" s="40">
        <v>6275</v>
      </c>
      <c r="AR67" s="40">
        <v>78135</v>
      </c>
      <c r="AS67" s="40">
        <v>2034576</v>
      </c>
      <c r="AT67" s="40">
        <v>22600964</v>
      </c>
      <c r="AU67" s="40">
        <v>10690435</v>
      </c>
      <c r="AV67" s="40">
        <v>320792711</v>
      </c>
      <c r="AW67" s="40">
        <v>346378671</v>
      </c>
      <c r="AX67" s="40">
        <v>144672580</v>
      </c>
      <c r="AY67" s="40">
        <v>864244</v>
      </c>
      <c r="AZ67" s="40">
        <v>9483258</v>
      </c>
      <c r="BA67" s="40">
        <v>1747120</v>
      </c>
      <c r="BB67" s="40">
        <v>76903</v>
      </c>
      <c r="BC67" s="40">
        <v>4098375</v>
      </c>
      <c r="BD67" s="40">
        <v>1272769</v>
      </c>
      <c r="BE67" s="40">
        <v>9682646</v>
      </c>
      <c r="BF67" s="40">
        <v>27869692</v>
      </c>
      <c r="BG67" s="40">
        <v>143692245</v>
      </c>
      <c r="BH67" s="40">
        <v>19015675</v>
      </c>
      <c r="BI67" s="40">
        <v>34750018</v>
      </c>
      <c r="BJ67" s="40">
        <v>149143752</v>
      </c>
      <c r="BK67" s="40">
        <v>459427424</v>
      </c>
      <c r="BL67" s="40">
        <v>88660369</v>
      </c>
      <c r="BM67" s="40">
        <v>934097961</v>
      </c>
      <c r="BN67" s="40">
        <v>171219715</v>
      </c>
      <c r="BO67" s="40">
        <v>42696671</v>
      </c>
      <c r="BP67" s="40">
        <v>1338119</v>
      </c>
      <c r="BQ67" s="40">
        <v>217878808</v>
      </c>
      <c r="BR67" s="40">
        <v>65702460</v>
      </c>
      <c r="BS67" s="40">
        <v>0</v>
      </c>
      <c r="BT67" s="40">
        <v>3532336439</v>
      </c>
      <c r="BU67" s="40">
        <v>665144127</v>
      </c>
      <c r="BV67" s="40">
        <v>0</v>
      </c>
      <c r="BW67" s="40">
        <v>0</v>
      </c>
      <c r="BX67" s="40">
        <v>665144127</v>
      </c>
      <c r="BY67" s="40">
        <v>0</v>
      </c>
      <c r="BZ67" s="40">
        <v>0</v>
      </c>
      <c r="CA67" s="40">
        <v>0</v>
      </c>
      <c r="CB67" s="40">
        <v>0</v>
      </c>
      <c r="CC67" s="40">
        <v>64332535</v>
      </c>
      <c r="CD67" s="40">
        <v>729476662</v>
      </c>
      <c r="CE67" s="40">
        <v>4261813101</v>
      </c>
      <c r="CF67" s="41"/>
      <c r="CG67" s="41"/>
      <c r="CH67" s="42"/>
    </row>
    <row r="68" spans="1:86" ht="33.75">
      <c r="A68" s="38">
        <v>62</v>
      </c>
      <c r="B68" s="65" t="s">
        <v>19</v>
      </c>
      <c r="C68" s="39" t="s">
        <v>18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  <c r="AC68" s="40">
        <v>0</v>
      </c>
      <c r="AD68" s="40">
        <v>0</v>
      </c>
      <c r="AE68" s="40">
        <v>0</v>
      </c>
      <c r="AF68" s="40">
        <v>0</v>
      </c>
      <c r="AG68" s="40">
        <v>0</v>
      </c>
      <c r="AH68" s="40">
        <v>0</v>
      </c>
      <c r="AI68" s="40">
        <v>0</v>
      </c>
      <c r="AJ68" s="40">
        <v>0</v>
      </c>
      <c r="AK68" s="40">
        <v>0</v>
      </c>
      <c r="AL68" s="40">
        <v>0</v>
      </c>
      <c r="AM68" s="40">
        <v>0</v>
      </c>
      <c r="AN68" s="40">
        <v>0</v>
      </c>
      <c r="AO68" s="40">
        <v>0</v>
      </c>
      <c r="AP68" s="40">
        <v>0</v>
      </c>
      <c r="AQ68" s="40">
        <v>0</v>
      </c>
      <c r="AR68" s="40">
        <v>0</v>
      </c>
      <c r="AS68" s="40">
        <v>0</v>
      </c>
      <c r="AT68" s="40">
        <v>0</v>
      </c>
      <c r="AU68" s="40">
        <v>0</v>
      </c>
      <c r="AV68" s="40">
        <v>0</v>
      </c>
      <c r="AW68" s="40">
        <v>0</v>
      </c>
      <c r="AX68" s="40">
        <v>0</v>
      </c>
      <c r="AY68" s="40">
        <v>0</v>
      </c>
      <c r="AZ68" s="40">
        <v>0</v>
      </c>
      <c r="BA68" s="40">
        <v>0</v>
      </c>
      <c r="BB68" s="40">
        <v>0</v>
      </c>
      <c r="BC68" s="40">
        <v>0</v>
      </c>
      <c r="BD68" s="40">
        <v>0</v>
      </c>
      <c r="BE68" s="40">
        <v>0</v>
      </c>
      <c r="BF68" s="40">
        <v>0</v>
      </c>
      <c r="BG68" s="40">
        <v>0</v>
      </c>
      <c r="BH68" s="40">
        <v>0</v>
      </c>
      <c r="BI68" s="40">
        <v>0</v>
      </c>
      <c r="BJ68" s="40">
        <v>0</v>
      </c>
      <c r="BK68" s="40">
        <v>0</v>
      </c>
      <c r="BL68" s="40">
        <v>0</v>
      </c>
      <c r="BM68" s="40">
        <v>0</v>
      </c>
      <c r="BN68" s="40">
        <v>0</v>
      </c>
      <c r="BO68" s="40">
        <v>0</v>
      </c>
      <c r="BP68" s="40">
        <v>0</v>
      </c>
      <c r="BQ68" s="40">
        <v>0</v>
      </c>
      <c r="BR68" s="40">
        <v>0</v>
      </c>
      <c r="BS68" s="40">
        <v>0</v>
      </c>
      <c r="BT68" s="40">
        <v>0</v>
      </c>
      <c r="BU68" s="40">
        <v>0</v>
      </c>
      <c r="BV68" s="40">
        <v>7183532954</v>
      </c>
      <c r="BW68" s="40">
        <v>0</v>
      </c>
      <c r="BX68" s="40">
        <v>7183532954</v>
      </c>
      <c r="BY68" s="40">
        <v>0</v>
      </c>
      <c r="BZ68" s="40">
        <v>0</v>
      </c>
      <c r="CA68" s="40">
        <v>0</v>
      </c>
      <c r="CB68" s="40">
        <v>0</v>
      </c>
      <c r="CC68" s="40">
        <v>0</v>
      </c>
      <c r="CD68" s="40">
        <v>7183532954</v>
      </c>
      <c r="CE68" s="40">
        <v>7183532954</v>
      </c>
      <c r="CF68" s="41"/>
      <c r="CG68" s="41"/>
      <c r="CH68" s="42"/>
    </row>
    <row r="69" spans="1:86">
      <c r="A69" s="38">
        <v>63</v>
      </c>
      <c r="B69" s="65" t="s">
        <v>17</v>
      </c>
      <c r="C69" s="39" t="s">
        <v>16</v>
      </c>
      <c r="D69" s="40">
        <v>16268</v>
      </c>
      <c r="E69" s="40">
        <v>38</v>
      </c>
      <c r="F69" s="40">
        <v>0</v>
      </c>
      <c r="G69" s="40">
        <v>1024</v>
      </c>
      <c r="H69" s="40">
        <v>492603</v>
      </c>
      <c r="I69" s="40">
        <v>23215</v>
      </c>
      <c r="J69" s="40">
        <v>60</v>
      </c>
      <c r="K69" s="40">
        <v>5051</v>
      </c>
      <c r="L69" s="40">
        <v>1533</v>
      </c>
      <c r="M69" s="40">
        <v>17993</v>
      </c>
      <c r="N69" s="40">
        <v>38087</v>
      </c>
      <c r="O69" s="40">
        <v>1708393</v>
      </c>
      <c r="P69" s="40">
        <v>0</v>
      </c>
      <c r="Q69" s="40">
        <v>391</v>
      </c>
      <c r="R69" s="40">
        <v>0</v>
      </c>
      <c r="S69" s="40">
        <v>0</v>
      </c>
      <c r="T69" s="40">
        <v>0</v>
      </c>
      <c r="U69" s="40">
        <v>0</v>
      </c>
      <c r="V69" s="40">
        <v>0</v>
      </c>
      <c r="W69" s="40">
        <v>0</v>
      </c>
      <c r="X69" s="40">
        <v>3715</v>
      </c>
      <c r="Y69" s="40">
        <v>0</v>
      </c>
      <c r="Z69" s="40">
        <v>104</v>
      </c>
      <c r="AA69" s="40">
        <v>590</v>
      </c>
      <c r="AB69" s="40">
        <v>6001</v>
      </c>
      <c r="AC69" s="40">
        <v>117</v>
      </c>
      <c r="AD69" s="40">
        <v>0</v>
      </c>
      <c r="AE69" s="40">
        <v>58</v>
      </c>
      <c r="AF69" s="40">
        <v>0</v>
      </c>
      <c r="AG69" s="40">
        <v>0</v>
      </c>
      <c r="AH69" s="40">
        <v>0</v>
      </c>
      <c r="AI69" s="40">
        <v>14</v>
      </c>
      <c r="AJ69" s="40">
        <v>192</v>
      </c>
      <c r="AK69" s="40">
        <v>5</v>
      </c>
      <c r="AL69" s="40">
        <v>0</v>
      </c>
      <c r="AM69" s="40">
        <v>0</v>
      </c>
      <c r="AN69" s="40">
        <v>82</v>
      </c>
      <c r="AO69" s="40">
        <v>941</v>
      </c>
      <c r="AP69" s="40">
        <v>10165</v>
      </c>
      <c r="AQ69" s="40">
        <v>757</v>
      </c>
      <c r="AR69" s="40">
        <v>221</v>
      </c>
      <c r="AS69" s="40">
        <v>364</v>
      </c>
      <c r="AT69" s="40">
        <v>20859</v>
      </c>
      <c r="AU69" s="40">
        <v>1039</v>
      </c>
      <c r="AV69" s="40">
        <v>16515</v>
      </c>
      <c r="AW69" s="40">
        <v>442471</v>
      </c>
      <c r="AX69" s="40">
        <v>129797</v>
      </c>
      <c r="AY69" s="40">
        <v>0</v>
      </c>
      <c r="AZ69" s="40">
        <v>809041</v>
      </c>
      <c r="BA69" s="40">
        <v>5867</v>
      </c>
      <c r="BB69" s="40">
        <v>0</v>
      </c>
      <c r="BC69" s="40">
        <v>0</v>
      </c>
      <c r="BD69" s="40">
        <v>0</v>
      </c>
      <c r="BE69" s="40">
        <v>223</v>
      </c>
      <c r="BF69" s="40">
        <v>251341</v>
      </c>
      <c r="BG69" s="40">
        <v>6129569</v>
      </c>
      <c r="BH69" s="40">
        <v>1082979</v>
      </c>
      <c r="BI69" s="40">
        <v>755984</v>
      </c>
      <c r="BJ69" s="40">
        <v>12411</v>
      </c>
      <c r="BK69" s="40">
        <v>665615</v>
      </c>
      <c r="BL69" s="40">
        <v>1554000</v>
      </c>
      <c r="BM69" s="40">
        <v>16284997</v>
      </c>
      <c r="BN69" s="40">
        <v>7559176</v>
      </c>
      <c r="BO69" s="40">
        <v>2362403</v>
      </c>
      <c r="BP69" s="40">
        <v>557889</v>
      </c>
      <c r="BQ69" s="40">
        <v>776</v>
      </c>
      <c r="BR69" s="40">
        <v>0</v>
      </c>
      <c r="BS69" s="40">
        <v>0</v>
      </c>
      <c r="BT69" s="40">
        <v>40970934</v>
      </c>
      <c r="BU69" s="40">
        <v>3382179208</v>
      </c>
      <c r="BV69" s="40">
        <v>5382766050</v>
      </c>
      <c r="BW69" s="40">
        <v>1847401</v>
      </c>
      <c r="BX69" s="40">
        <v>8766792659</v>
      </c>
      <c r="BY69" s="40">
        <v>0</v>
      </c>
      <c r="BZ69" s="40">
        <v>0</v>
      </c>
      <c r="CA69" s="40">
        <v>0</v>
      </c>
      <c r="CB69" s="40">
        <v>0</v>
      </c>
      <c r="CC69" s="40">
        <v>16730084</v>
      </c>
      <c r="CD69" s="40">
        <v>8783522743</v>
      </c>
      <c r="CE69" s="40">
        <v>8824493677</v>
      </c>
      <c r="CF69" s="41"/>
      <c r="CG69" s="41"/>
      <c r="CH69" s="42"/>
    </row>
    <row r="70" spans="1:86">
      <c r="A70" s="38">
        <v>64</v>
      </c>
      <c r="B70" s="65" t="s">
        <v>15</v>
      </c>
      <c r="C70" s="39" t="s">
        <v>14</v>
      </c>
      <c r="D70" s="40">
        <v>644</v>
      </c>
      <c r="E70" s="40">
        <v>0</v>
      </c>
      <c r="F70" s="40">
        <v>0</v>
      </c>
      <c r="G70" s="40">
        <v>95502</v>
      </c>
      <c r="H70" s="40">
        <v>649497</v>
      </c>
      <c r="I70" s="40">
        <v>30826</v>
      </c>
      <c r="J70" s="40">
        <v>0</v>
      </c>
      <c r="K70" s="40">
        <v>37858</v>
      </c>
      <c r="L70" s="40">
        <v>0</v>
      </c>
      <c r="M70" s="40">
        <v>41682</v>
      </c>
      <c r="N70" s="40">
        <v>3530</v>
      </c>
      <c r="O70" s="40">
        <v>0</v>
      </c>
      <c r="P70" s="40">
        <v>0</v>
      </c>
      <c r="Q70" s="40">
        <v>50</v>
      </c>
      <c r="R70" s="40">
        <v>654</v>
      </c>
      <c r="S70" s="40">
        <v>0</v>
      </c>
      <c r="T70" s="40">
        <v>0</v>
      </c>
      <c r="U70" s="40">
        <v>0</v>
      </c>
      <c r="V70" s="40">
        <v>0</v>
      </c>
      <c r="W70" s="40">
        <v>351885</v>
      </c>
      <c r="X70" s="40">
        <v>8787</v>
      </c>
      <c r="Y70" s="40">
        <v>0</v>
      </c>
      <c r="Z70" s="40">
        <v>86</v>
      </c>
      <c r="AA70" s="40">
        <v>2035</v>
      </c>
      <c r="AB70" s="40">
        <v>99582</v>
      </c>
      <c r="AC70" s="40">
        <v>71</v>
      </c>
      <c r="AD70" s="40">
        <v>0</v>
      </c>
      <c r="AE70" s="40">
        <v>1508</v>
      </c>
      <c r="AF70" s="40">
        <v>0</v>
      </c>
      <c r="AG70" s="40">
        <v>12</v>
      </c>
      <c r="AH70" s="40">
        <v>0</v>
      </c>
      <c r="AI70" s="40">
        <v>17</v>
      </c>
      <c r="AJ70" s="40">
        <v>30</v>
      </c>
      <c r="AK70" s="40">
        <v>0</v>
      </c>
      <c r="AL70" s="40">
        <v>0</v>
      </c>
      <c r="AM70" s="40">
        <v>0</v>
      </c>
      <c r="AN70" s="40">
        <v>1657</v>
      </c>
      <c r="AO70" s="40">
        <v>11013</v>
      </c>
      <c r="AP70" s="40">
        <v>215178</v>
      </c>
      <c r="AQ70" s="40">
        <v>7985</v>
      </c>
      <c r="AR70" s="40">
        <v>6334</v>
      </c>
      <c r="AS70" s="40">
        <v>4937</v>
      </c>
      <c r="AT70" s="40">
        <v>193404</v>
      </c>
      <c r="AU70" s="40">
        <v>6504</v>
      </c>
      <c r="AV70" s="40">
        <v>13502</v>
      </c>
      <c r="AW70" s="40">
        <v>5964</v>
      </c>
      <c r="AX70" s="40">
        <v>408074</v>
      </c>
      <c r="AY70" s="40">
        <v>0</v>
      </c>
      <c r="AZ70" s="40">
        <v>32796</v>
      </c>
      <c r="BA70" s="40">
        <v>776341</v>
      </c>
      <c r="BB70" s="40">
        <v>0</v>
      </c>
      <c r="BC70" s="40">
        <v>1155</v>
      </c>
      <c r="BD70" s="40">
        <v>188409</v>
      </c>
      <c r="BE70" s="40">
        <v>4034</v>
      </c>
      <c r="BF70" s="40">
        <v>18755</v>
      </c>
      <c r="BG70" s="40">
        <v>0</v>
      </c>
      <c r="BH70" s="40">
        <v>0</v>
      </c>
      <c r="BI70" s="40">
        <v>0</v>
      </c>
      <c r="BJ70" s="40">
        <v>491174</v>
      </c>
      <c r="BK70" s="40">
        <v>123079</v>
      </c>
      <c r="BL70" s="40">
        <v>1195640</v>
      </c>
      <c r="BM70" s="40">
        <v>0</v>
      </c>
      <c r="BN70" s="40">
        <v>0</v>
      </c>
      <c r="BO70" s="40">
        <v>0</v>
      </c>
      <c r="BP70" s="40">
        <v>0</v>
      </c>
      <c r="BQ70" s="40">
        <v>270</v>
      </c>
      <c r="BR70" s="40">
        <v>0</v>
      </c>
      <c r="BS70" s="40">
        <v>0</v>
      </c>
      <c r="BT70" s="40">
        <v>5030461</v>
      </c>
      <c r="BU70" s="40">
        <v>4426694813</v>
      </c>
      <c r="BV70" s="40">
        <v>1617598896</v>
      </c>
      <c r="BW70" s="40">
        <v>498500</v>
      </c>
      <c r="BX70" s="40">
        <v>6044792209</v>
      </c>
      <c r="BY70" s="40">
        <v>0</v>
      </c>
      <c r="BZ70" s="40">
        <v>0</v>
      </c>
      <c r="CA70" s="40">
        <v>0</v>
      </c>
      <c r="CB70" s="40">
        <v>0</v>
      </c>
      <c r="CC70" s="40">
        <v>1042999</v>
      </c>
      <c r="CD70" s="40">
        <v>6045835208</v>
      </c>
      <c r="CE70" s="40">
        <v>6050865669</v>
      </c>
      <c r="CF70" s="41"/>
      <c r="CG70" s="41"/>
      <c r="CH70" s="42"/>
    </row>
    <row r="71" spans="1:86">
      <c r="A71" s="38">
        <v>65</v>
      </c>
      <c r="B71" s="65" t="s">
        <v>13</v>
      </c>
      <c r="C71" s="39" t="s">
        <v>12</v>
      </c>
      <c r="D71" s="40">
        <v>0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 s="40">
        <v>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  <c r="AA71" s="40">
        <v>0</v>
      </c>
      <c r="AB71" s="40">
        <v>0</v>
      </c>
      <c r="AC71" s="40">
        <v>0</v>
      </c>
      <c r="AD71" s="40">
        <v>0</v>
      </c>
      <c r="AE71" s="40">
        <v>0</v>
      </c>
      <c r="AF71" s="40">
        <v>0</v>
      </c>
      <c r="AG71" s="40">
        <v>0</v>
      </c>
      <c r="AH71" s="40">
        <v>0</v>
      </c>
      <c r="AI71" s="40">
        <v>0</v>
      </c>
      <c r="AJ71" s="40">
        <v>0</v>
      </c>
      <c r="AK71" s="40">
        <v>0</v>
      </c>
      <c r="AL71" s="40">
        <v>0</v>
      </c>
      <c r="AM71" s="40">
        <v>0</v>
      </c>
      <c r="AN71" s="40">
        <v>0</v>
      </c>
      <c r="AO71" s="40">
        <v>0</v>
      </c>
      <c r="AP71" s="40">
        <v>0</v>
      </c>
      <c r="AQ71" s="40">
        <v>0</v>
      </c>
      <c r="AR71" s="40">
        <v>0</v>
      </c>
      <c r="AS71" s="40">
        <v>0</v>
      </c>
      <c r="AT71" s="40">
        <v>0</v>
      </c>
      <c r="AU71" s="40">
        <v>0</v>
      </c>
      <c r="AV71" s="40">
        <v>0</v>
      </c>
      <c r="AW71" s="40">
        <v>0</v>
      </c>
      <c r="AX71" s="40">
        <v>0</v>
      </c>
      <c r="AY71" s="40">
        <v>0</v>
      </c>
      <c r="AZ71" s="40">
        <v>0</v>
      </c>
      <c r="BA71" s="40">
        <v>0</v>
      </c>
      <c r="BB71" s="40">
        <v>0</v>
      </c>
      <c r="BC71" s="40">
        <v>0</v>
      </c>
      <c r="BD71" s="40">
        <v>0</v>
      </c>
      <c r="BE71" s="40">
        <v>0</v>
      </c>
      <c r="BF71" s="40">
        <v>0</v>
      </c>
      <c r="BG71" s="40">
        <v>0</v>
      </c>
      <c r="BH71" s="40">
        <v>0</v>
      </c>
      <c r="BI71" s="40">
        <v>0</v>
      </c>
      <c r="BJ71" s="40">
        <v>0</v>
      </c>
      <c r="BK71" s="40">
        <v>0</v>
      </c>
      <c r="BL71" s="40">
        <v>0</v>
      </c>
      <c r="BM71" s="40">
        <v>0</v>
      </c>
      <c r="BN71" s="40">
        <v>0</v>
      </c>
      <c r="BO71" s="40">
        <v>0</v>
      </c>
      <c r="BP71" s="40">
        <v>0</v>
      </c>
      <c r="BQ71" s="40">
        <v>0</v>
      </c>
      <c r="BR71" s="40">
        <v>0</v>
      </c>
      <c r="BS71" s="40">
        <v>0</v>
      </c>
      <c r="BT71" s="40">
        <v>0</v>
      </c>
      <c r="BU71" s="40">
        <v>14930141</v>
      </c>
      <c r="BV71" s="40">
        <v>104396351</v>
      </c>
      <c r="BW71" s="40">
        <v>1528000</v>
      </c>
      <c r="BX71" s="40">
        <v>120854492</v>
      </c>
      <c r="BY71" s="40">
        <v>0</v>
      </c>
      <c r="BZ71" s="40">
        <v>0</v>
      </c>
      <c r="CA71" s="40">
        <v>0</v>
      </c>
      <c r="CB71" s="40">
        <v>0</v>
      </c>
      <c r="CC71" s="40">
        <v>0</v>
      </c>
      <c r="CD71" s="40">
        <v>120854492</v>
      </c>
      <c r="CE71" s="40">
        <v>120854492</v>
      </c>
      <c r="CF71" s="41"/>
      <c r="CG71" s="41"/>
      <c r="CH71" s="42"/>
    </row>
    <row r="72" spans="1:86" ht="22.5">
      <c r="A72" s="38">
        <v>66</v>
      </c>
      <c r="B72" s="65" t="s">
        <v>93</v>
      </c>
      <c r="C72" s="39" t="s">
        <v>156</v>
      </c>
      <c r="D72" s="40">
        <v>0</v>
      </c>
      <c r="E72" s="40">
        <v>0</v>
      </c>
      <c r="F72" s="40">
        <v>0</v>
      </c>
      <c r="G72" s="40">
        <v>0</v>
      </c>
      <c r="H72" s="40">
        <v>10565</v>
      </c>
      <c r="I72" s="40">
        <v>490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T72" s="40">
        <v>0</v>
      </c>
      <c r="U72" s="40">
        <v>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0</v>
      </c>
      <c r="AD72" s="40">
        <v>0</v>
      </c>
      <c r="AE72" s="40">
        <v>0</v>
      </c>
      <c r="AF72" s="40">
        <v>0</v>
      </c>
      <c r="AG72" s="40">
        <v>0</v>
      </c>
      <c r="AH72" s="40">
        <v>0</v>
      </c>
      <c r="AI72" s="40">
        <v>0</v>
      </c>
      <c r="AJ72" s="40">
        <v>0</v>
      </c>
      <c r="AK72" s="40">
        <v>0</v>
      </c>
      <c r="AL72" s="40">
        <v>0</v>
      </c>
      <c r="AM72" s="40">
        <v>0</v>
      </c>
      <c r="AN72" s="40">
        <v>0</v>
      </c>
      <c r="AO72" s="40">
        <v>0</v>
      </c>
      <c r="AP72" s="40">
        <v>0</v>
      </c>
      <c r="AQ72" s="40">
        <v>0</v>
      </c>
      <c r="AR72" s="40">
        <v>0</v>
      </c>
      <c r="AS72" s="40">
        <v>0</v>
      </c>
      <c r="AT72" s="40">
        <v>10144</v>
      </c>
      <c r="AU72" s="40">
        <v>0</v>
      </c>
      <c r="AV72" s="40">
        <v>677</v>
      </c>
      <c r="AW72" s="40">
        <v>0</v>
      </c>
      <c r="AX72" s="40">
        <v>6191</v>
      </c>
      <c r="AY72" s="40">
        <v>0</v>
      </c>
      <c r="AZ72" s="40">
        <v>0</v>
      </c>
      <c r="BA72" s="40">
        <v>0</v>
      </c>
      <c r="BB72" s="40">
        <v>0</v>
      </c>
      <c r="BC72" s="40">
        <v>259796</v>
      </c>
      <c r="BD72" s="40">
        <v>0</v>
      </c>
      <c r="BE72" s="40">
        <v>408576</v>
      </c>
      <c r="BF72" s="40">
        <v>84584</v>
      </c>
      <c r="BG72" s="40">
        <v>735318</v>
      </c>
      <c r="BH72" s="40">
        <v>0</v>
      </c>
      <c r="BI72" s="40">
        <v>0</v>
      </c>
      <c r="BJ72" s="40">
        <v>262090</v>
      </c>
      <c r="BK72" s="40">
        <v>11302</v>
      </c>
      <c r="BL72" s="40">
        <v>53372</v>
      </c>
      <c r="BM72" s="40">
        <v>19562585</v>
      </c>
      <c r="BN72" s="40">
        <v>16923177</v>
      </c>
      <c r="BO72" s="40">
        <v>54088</v>
      </c>
      <c r="BP72" s="40">
        <v>238089</v>
      </c>
      <c r="BQ72" s="40">
        <v>6770436</v>
      </c>
      <c r="BR72" s="40">
        <v>0</v>
      </c>
      <c r="BS72" s="40">
        <v>0</v>
      </c>
      <c r="BT72" s="40">
        <v>45391480</v>
      </c>
      <c r="BU72" s="40">
        <v>1594466525</v>
      </c>
      <c r="BV72" s="40">
        <v>405825614</v>
      </c>
      <c r="BW72" s="40">
        <v>0</v>
      </c>
      <c r="BX72" s="40">
        <v>2000292139</v>
      </c>
      <c r="BY72" s="40">
        <v>8030845</v>
      </c>
      <c r="BZ72" s="40">
        <v>0</v>
      </c>
      <c r="CA72" s="40">
        <v>1854</v>
      </c>
      <c r="CB72" s="40">
        <v>8032699</v>
      </c>
      <c r="CC72" s="40">
        <v>153748098</v>
      </c>
      <c r="CD72" s="40">
        <v>2162072936</v>
      </c>
      <c r="CE72" s="40">
        <v>2207464416</v>
      </c>
      <c r="CF72" s="41"/>
      <c r="CG72" s="41"/>
      <c r="CH72" s="42"/>
    </row>
    <row r="73" spans="1:86" ht="10.5" customHeight="1">
      <c r="A73" s="38">
        <v>67</v>
      </c>
      <c r="B73" s="65" t="s">
        <v>92</v>
      </c>
      <c r="C73" s="39" t="s">
        <v>155</v>
      </c>
      <c r="D73" s="40">
        <v>1130</v>
      </c>
      <c r="E73" s="40">
        <v>10</v>
      </c>
      <c r="F73" s="40">
        <v>0</v>
      </c>
      <c r="G73" s="40">
        <v>789</v>
      </c>
      <c r="H73" s="40">
        <v>5543</v>
      </c>
      <c r="I73" s="40">
        <v>257</v>
      </c>
      <c r="J73" s="40">
        <v>0</v>
      </c>
      <c r="K73" s="40">
        <v>4519</v>
      </c>
      <c r="L73" s="40">
        <v>0</v>
      </c>
      <c r="M73" s="40">
        <v>232</v>
      </c>
      <c r="N73" s="40">
        <v>2017</v>
      </c>
      <c r="O73" s="40">
        <v>0</v>
      </c>
      <c r="P73" s="40">
        <v>0</v>
      </c>
      <c r="Q73" s="40">
        <v>67</v>
      </c>
      <c r="R73" s="40">
        <v>11</v>
      </c>
      <c r="S73" s="40">
        <v>0</v>
      </c>
      <c r="T73" s="40">
        <v>0</v>
      </c>
      <c r="U73" s="40">
        <v>0</v>
      </c>
      <c r="V73" s="40">
        <v>0</v>
      </c>
      <c r="W73" s="40">
        <v>0</v>
      </c>
      <c r="X73" s="40">
        <v>13</v>
      </c>
      <c r="Y73" s="40">
        <v>0</v>
      </c>
      <c r="Z73" s="40">
        <v>92</v>
      </c>
      <c r="AA73" s="40">
        <v>48659</v>
      </c>
      <c r="AB73" s="40">
        <v>0</v>
      </c>
      <c r="AC73" s="40">
        <v>0</v>
      </c>
      <c r="AD73" s="40">
        <v>0</v>
      </c>
      <c r="AE73" s="40">
        <v>3</v>
      </c>
      <c r="AF73" s="40">
        <v>0</v>
      </c>
      <c r="AG73" s="40">
        <v>0</v>
      </c>
      <c r="AH73" s="40">
        <v>0</v>
      </c>
      <c r="AI73" s="40">
        <v>6619</v>
      </c>
      <c r="AJ73" s="40">
        <v>7</v>
      </c>
      <c r="AK73" s="40">
        <v>0</v>
      </c>
      <c r="AL73" s="40">
        <v>16</v>
      </c>
      <c r="AM73" s="40">
        <v>33</v>
      </c>
      <c r="AN73" s="40">
        <v>0</v>
      </c>
      <c r="AO73" s="40">
        <v>1607</v>
      </c>
      <c r="AP73" s="40">
        <v>8172</v>
      </c>
      <c r="AQ73" s="40">
        <v>0</v>
      </c>
      <c r="AR73" s="40">
        <v>51</v>
      </c>
      <c r="AS73" s="40">
        <v>8</v>
      </c>
      <c r="AT73" s="40">
        <v>31644</v>
      </c>
      <c r="AU73" s="40">
        <v>1574</v>
      </c>
      <c r="AV73" s="40">
        <v>45955</v>
      </c>
      <c r="AW73" s="40">
        <v>214848</v>
      </c>
      <c r="AX73" s="40">
        <v>1081973</v>
      </c>
      <c r="AY73" s="40">
        <v>0</v>
      </c>
      <c r="AZ73" s="40">
        <v>192922</v>
      </c>
      <c r="BA73" s="40">
        <v>13177</v>
      </c>
      <c r="BB73" s="40">
        <v>0</v>
      </c>
      <c r="BC73" s="40">
        <v>3392690</v>
      </c>
      <c r="BD73" s="40">
        <v>2582</v>
      </c>
      <c r="BE73" s="40">
        <v>870934</v>
      </c>
      <c r="BF73" s="40">
        <v>11831776</v>
      </c>
      <c r="BG73" s="40">
        <v>6742591</v>
      </c>
      <c r="BH73" s="40">
        <v>6064408</v>
      </c>
      <c r="BI73" s="40">
        <v>3071099</v>
      </c>
      <c r="BJ73" s="40">
        <v>49849</v>
      </c>
      <c r="BK73" s="40">
        <v>1201592</v>
      </c>
      <c r="BL73" s="40">
        <v>10847</v>
      </c>
      <c r="BM73" s="40">
        <v>15385632</v>
      </c>
      <c r="BN73" s="40">
        <v>11115158</v>
      </c>
      <c r="BO73" s="40">
        <v>5787100</v>
      </c>
      <c r="BP73" s="40">
        <v>422159</v>
      </c>
      <c r="BQ73" s="40">
        <v>3640</v>
      </c>
      <c r="BR73" s="40">
        <v>26223</v>
      </c>
      <c r="BS73" s="40">
        <v>0</v>
      </c>
      <c r="BT73" s="40">
        <v>67640228</v>
      </c>
      <c r="BU73" s="40">
        <v>3431436402</v>
      </c>
      <c r="BV73" s="40">
        <v>0</v>
      </c>
      <c r="BW73" s="40">
        <v>320964000</v>
      </c>
      <c r="BX73" s="40">
        <v>3752400402</v>
      </c>
      <c r="BY73" s="40">
        <v>0</v>
      </c>
      <c r="BZ73" s="40">
        <v>0</v>
      </c>
      <c r="CA73" s="40">
        <v>0</v>
      </c>
      <c r="CB73" s="40">
        <v>0</v>
      </c>
      <c r="CC73" s="40">
        <v>65631939</v>
      </c>
      <c r="CD73" s="40">
        <v>3818032341</v>
      </c>
      <c r="CE73" s="40">
        <v>3885672569</v>
      </c>
      <c r="CF73" s="41"/>
      <c r="CG73" s="41"/>
      <c r="CH73" s="42"/>
    </row>
    <row r="74" spans="1:86" ht="45.75" customHeight="1">
      <c r="A74" s="38">
        <v>68</v>
      </c>
      <c r="B74" s="65" t="s">
        <v>11</v>
      </c>
      <c r="C74" s="39" t="s">
        <v>10</v>
      </c>
      <c r="D74" s="40">
        <v>0</v>
      </c>
      <c r="E74" s="40">
        <v>0</v>
      </c>
      <c r="F74" s="40">
        <v>0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T74" s="40">
        <v>0</v>
      </c>
      <c r="U74" s="40">
        <v>0</v>
      </c>
      <c r="V74" s="40">
        <v>0</v>
      </c>
      <c r="W74" s="40">
        <v>0</v>
      </c>
      <c r="X74" s="40">
        <v>0</v>
      </c>
      <c r="Y74" s="40">
        <v>0</v>
      </c>
      <c r="Z74" s="40">
        <v>0</v>
      </c>
      <c r="AA74" s="40">
        <v>0</v>
      </c>
      <c r="AB74" s="40">
        <v>0</v>
      </c>
      <c r="AC74" s="40">
        <v>0</v>
      </c>
      <c r="AD74" s="40">
        <v>0</v>
      </c>
      <c r="AE74" s="40">
        <v>0</v>
      </c>
      <c r="AF74" s="40">
        <v>0</v>
      </c>
      <c r="AG74" s="40">
        <v>0</v>
      </c>
      <c r="AH74" s="40">
        <v>0</v>
      </c>
      <c r="AI74" s="40">
        <v>0</v>
      </c>
      <c r="AJ74" s="40">
        <v>0</v>
      </c>
      <c r="AK74" s="40">
        <v>0</v>
      </c>
      <c r="AL74" s="40">
        <v>0</v>
      </c>
      <c r="AM74" s="40">
        <v>0</v>
      </c>
      <c r="AN74" s="40">
        <v>0</v>
      </c>
      <c r="AO74" s="40">
        <v>0</v>
      </c>
      <c r="AP74" s="40">
        <v>0</v>
      </c>
      <c r="AQ74" s="40">
        <v>0</v>
      </c>
      <c r="AR74" s="40">
        <v>0</v>
      </c>
      <c r="AS74" s="40">
        <v>0</v>
      </c>
      <c r="AT74" s="40">
        <v>0</v>
      </c>
      <c r="AU74" s="40">
        <v>0</v>
      </c>
      <c r="AV74" s="40">
        <v>0</v>
      </c>
      <c r="AW74" s="40">
        <v>0</v>
      </c>
      <c r="AX74" s="40">
        <v>0</v>
      </c>
      <c r="AY74" s="40">
        <v>0</v>
      </c>
      <c r="AZ74" s="40">
        <v>0</v>
      </c>
      <c r="BA74" s="40">
        <v>0</v>
      </c>
      <c r="BB74" s="40">
        <v>0</v>
      </c>
      <c r="BC74" s="40">
        <v>0</v>
      </c>
      <c r="BD74" s="40">
        <v>0</v>
      </c>
      <c r="BE74" s="40">
        <v>0</v>
      </c>
      <c r="BF74" s="40">
        <v>0</v>
      </c>
      <c r="BG74" s="40">
        <v>0</v>
      </c>
      <c r="BH74" s="40">
        <v>0</v>
      </c>
      <c r="BI74" s="40">
        <v>0</v>
      </c>
      <c r="BJ74" s="40">
        <v>0</v>
      </c>
      <c r="BK74" s="40">
        <v>0</v>
      </c>
      <c r="BL74" s="40">
        <v>0</v>
      </c>
      <c r="BM74" s="40">
        <v>0</v>
      </c>
      <c r="BN74" s="40">
        <v>0</v>
      </c>
      <c r="BO74" s="40">
        <v>0</v>
      </c>
      <c r="BP74" s="40">
        <v>0</v>
      </c>
      <c r="BQ74" s="40">
        <v>0</v>
      </c>
      <c r="BR74" s="40">
        <v>0</v>
      </c>
      <c r="BS74" s="40">
        <v>0</v>
      </c>
      <c r="BT74" s="40">
        <v>0</v>
      </c>
      <c r="BU74" s="40">
        <v>293201329</v>
      </c>
      <c r="BV74" s="40">
        <v>0</v>
      </c>
      <c r="BW74" s="40">
        <v>0</v>
      </c>
      <c r="BX74" s="40">
        <v>293201329</v>
      </c>
      <c r="BY74" s="40">
        <v>0</v>
      </c>
      <c r="BZ74" s="40">
        <v>0</v>
      </c>
      <c r="CA74" s="40">
        <v>0</v>
      </c>
      <c r="CB74" s="40">
        <v>0</v>
      </c>
      <c r="CC74" s="40">
        <v>0</v>
      </c>
      <c r="CD74" s="40">
        <v>293201329</v>
      </c>
      <c r="CE74" s="40">
        <v>293201329</v>
      </c>
      <c r="CF74" s="41"/>
      <c r="CG74" s="41"/>
      <c r="CH74" s="42"/>
    </row>
    <row r="75" spans="1:86" ht="22.5">
      <c r="A75" s="38">
        <v>69</v>
      </c>
      <c r="B75" s="65"/>
      <c r="C75" s="39" t="s">
        <v>9</v>
      </c>
      <c r="D75" s="40">
        <v>0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40">
        <v>0</v>
      </c>
      <c r="S75" s="40">
        <v>0</v>
      </c>
      <c r="T75" s="40">
        <v>0</v>
      </c>
      <c r="U75" s="40">
        <v>0</v>
      </c>
      <c r="V75" s="40">
        <v>0</v>
      </c>
      <c r="W75" s="40">
        <v>0</v>
      </c>
      <c r="X75" s="40">
        <v>0</v>
      </c>
      <c r="Y75" s="40">
        <v>0</v>
      </c>
      <c r="Z75" s="40">
        <v>0</v>
      </c>
      <c r="AA75" s="40">
        <v>0</v>
      </c>
      <c r="AB75" s="40">
        <v>0</v>
      </c>
      <c r="AC75" s="40">
        <v>0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  <c r="AI75" s="40">
        <v>0</v>
      </c>
      <c r="AJ75" s="40">
        <v>0</v>
      </c>
      <c r="AK75" s="40">
        <v>0</v>
      </c>
      <c r="AL75" s="40">
        <v>0</v>
      </c>
      <c r="AM75" s="40">
        <v>0</v>
      </c>
      <c r="AN75" s="40">
        <v>0</v>
      </c>
      <c r="AO75" s="40">
        <v>0</v>
      </c>
      <c r="AP75" s="40">
        <v>0</v>
      </c>
      <c r="AQ75" s="40">
        <v>0</v>
      </c>
      <c r="AR75" s="40">
        <v>0</v>
      </c>
      <c r="AS75" s="40">
        <v>0</v>
      </c>
      <c r="AT75" s="40">
        <v>0</v>
      </c>
      <c r="AU75" s="40">
        <v>0</v>
      </c>
      <c r="AV75" s="40">
        <v>0</v>
      </c>
      <c r="AW75" s="40">
        <v>0</v>
      </c>
      <c r="AX75" s="40">
        <v>0</v>
      </c>
      <c r="AY75" s="40">
        <v>0</v>
      </c>
      <c r="AZ75" s="40">
        <v>0</v>
      </c>
      <c r="BA75" s="40">
        <v>0</v>
      </c>
      <c r="BB75" s="40">
        <v>0</v>
      </c>
      <c r="BC75" s="40">
        <v>0</v>
      </c>
      <c r="BD75" s="40">
        <v>0</v>
      </c>
      <c r="BE75" s="40">
        <v>0</v>
      </c>
      <c r="BF75" s="40">
        <v>0</v>
      </c>
      <c r="BG75" s="40">
        <v>0</v>
      </c>
      <c r="BH75" s="40">
        <v>0</v>
      </c>
      <c r="BI75" s="40">
        <v>0</v>
      </c>
      <c r="BJ75" s="40">
        <v>0</v>
      </c>
      <c r="BK75" s="40">
        <v>0</v>
      </c>
      <c r="BL75" s="40">
        <v>0</v>
      </c>
      <c r="BM75" s="40">
        <v>0</v>
      </c>
      <c r="BN75" s="40">
        <v>0</v>
      </c>
      <c r="BO75" s="40">
        <v>0</v>
      </c>
      <c r="BP75" s="40">
        <v>0</v>
      </c>
      <c r="BQ75" s="40">
        <v>0</v>
      </c>
      <c r="BR75" s="40">
        <v>0</v>
      </c>
      <c r="BS75" s="40">
        <v>0</v>
      </c>
      <c r="BT75" s="40">
        <v>0</v>
      </c>
      <c r="BU75" s="40">
        <v>0</v>
      </c>
      <c r="BV75" s="40">
        <v>0</v>
      </c>
      <c r="BW75" s="40">
        <v>0</v>
      </c>
      <c r="BX75" s="40">
        <v>0</v>
      </c>
      <c r="BY75" s="40">
        <v>0</v>
      </c>
      <c r="BZ75" s="40">
        <v>0</v>
      </c>
      <c r="CA75" s="40">
        <v>0</v>
      </c>
      <c r="CB75" s="40">
        <v>0</v>
      </c>
      <c r="CC75" s="40">
        <v>0</v>
      </c>
      <c r="CD75" s="40">
        <v>0</v>
      </c>
      <c r="CE75" s="40">
        <v>0</v>
      </c>
      <c r="CF75" s="41"/>
      <c r="CG75" s="41"/>
      <c r="CH75" s="42"/>
    </row>
    <row r="76" spans="1:86" ht="22.5">
      <c r="A76" s="38">
        <v>70</v>
      </c>
      <c r="B76" s="65"/>
      <c r="C76" s="39" t="s">
        <v>8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40">
        <v>0</v>
      </c>
      <c r="AJ76" s="40">
        <v>0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0</v>
      </c>
      <c r="AQ76" s="40">
        <v>0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40">
        <v>0</v>
      </c>
      <c r="BH76" s="40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  <c r="BO76" s="40">
        <v>0</v>
      </c>
      <c r="BP76" s="40">
        <v>0</v>
      </c>
      <c r="BQ76" s="40">
        <v>0</v>
      </c>
      <c r="BR76" s="40">
        <v>0</v>
      </c>
      <c r="BS76" s="40">
        <v>0</v>
      </c>
      <c r="BT76" s="40">
        <v>0</v>
      </c>
      <c r="BU76" s="40">
        <v>0</v>
      </c>
      <c r="BV76" s="40">
        <v>0</v>
      </c>
      <c r="BW76" s="40">
        <v>0</v>
      </c>
      <c r="BX76" s="40">
        <v>0</v>
      </c>
      <c r="BY76" s="40">
        <v>0</v>
      </c>
      <c r="BZ76" s="40">
        <v>0</v>
      </c>
      <c r="CA76" s="40">
        <v>0</v>
      </c>
      <c r="CB76" s="40">
        <v>0</v>
      </c>
      <c r="CC76" s="40">
        <v>0</v>
      </c>
      <c r="CD76" s="40">
        <v>0</v>
      </c>
      <c r="CE76" s="40">
        <v>0</v>
      </c>
      <c r="CF76" s="41"/>
      <c r="CG76" s="41"/>
      <c r="CH76" s="42"/>
    </row>
    <row r="77" spans="1:86">
      <c r="A77" s="43">
        <v>71</v>
      </c>
      <c r="B77" s="66"/>
      <c r="C77" s="59" t="s">
        <v>7</v>
      </c>
      <c r="D77" s="47">
        <v>2978661012</v>
      </c>
      <c r="E77" s="47">
        <v>9377898</v>
      </c>
      <c r="F77" s="47">
        <v>28078771</v>
      </c>
      <c r="G77" s="47">
        <v>255482932</v>
      </c>
      <c r="H77" s="47">
        <v>4190155959</v>
      </c>
      <c r="I77" s="47">
        <v>119843227</v>
      </c>
      <c r="J77" s="47">
        <v>277836846</v>
      </c>
      <c r="K77" s="47">
        <v>2793782197</v>
      </c>
      <c r="L77" s="47">
        <v>183609558</v>
      </c>
      <c r="M77" s="47">
        <v>334260919</v>
      </c>
      <c r="N77" s="47">
        <v>2122790815</v>
      </c>
      <c r="O77" s="47">
        <v>91627873</v>
      </c>
      <c r="P77" s="47">
        <v>63352219</v>
      </c>
      <c r="Q77" s="47">
        <v>12740406</v>
      </c>
      <c r="R77" s="47">
        <v>2780365</v>
      </c>
      <c r="S77" s="47">
        <v>19794522</v>
      </c>
      <c r="T77" s="47">
        <v>37103303</v>
      </c>
      <c r="U77" s="47">
        <v>17905584</v>
      </c>
      <c r="V77" s="47">
        <v>105680959</v>
      </c>
      <c r="W77" s="47">
        <v>588964776</v>
      </c>
      <c r="X77" s="47">
        <v>631392036</v>
      </c>
      <c r="Y77" s="47">
        <v>49675416</v>
      </c>
      <c r="Z77" s="47">
        <v>65657855</v>
      </c>
      <c r="AA77" s="47">
        <v>745870861</v>
      </c>
      <c r="AB77" s="47">
        <v>2403432484</v>
      </c>
      <c r="AC77" s="47">
        <v>101955399</v>
      </c>
      <c r="AD77" s="47">
        <v>92837909</v>
      </c>
      <c r="AE77" s="47">
        <v>5669633281</v>
      </c>
      <c r="AF77" s="47">
        <v>27206743</v>
      </c>
      <c r="AG77" s="47">
        <v>314193930</v>
      </c>
      <c r="AH77" s="47">
        <v>42218480</v>
      </c>
      <c r="AI77" s="47">
        <v>244629145</v>
      </c>
      <c r="AJ77" s="47">
        <v>244646507</v>
      </c>
      <c r="AK77" s="47">
        <v>435948274</v>
      </c>
      <c r="AL77" s="47">
        <v>278063522</v>
      </c>
      <c r="AM77" s="47">
        <v>39653726</v>
      </c>
      <c r="AN77" s="47">
        <v>35253159</v>
      </c>
      <c r="AO77" s="47">
        <v>553140316</v>
      </c>
      <c r="AP77" s="47">
        <v>1155560779</v>
      </c>
      <c r="AQ77" s="47">
        <v>62754419</v>
      </c>
      <c r="AR77" s="47">
        <v>283984318</v>
      </c>
      <c r="AS77" s="47">
        <v>292822810</v>
      </c>
      <c r="AT77" s="47">
        <v>6875309829</v>
      </c>
      <c r="AU77" s="47">
        <v>640774437</v>
      </c>
      <c r="AV77" s="47">
        <v>4055475940</v>
      </c>
      <c r="AW77" s="47">
        <v>1986282163</v>
      </c>
      <c r="AX77" s="47">
        <v>1707393907</v>
      </c>
      <c r="AY77" s="47">
        <v>22963488</v>
      </c>
      <c r="AZ77" s="47">
        <v>368545180</v>
      </c>
      <c r="BA77" s="47">
        <v>539804616</v>
      </c>
      <c r="BB77" s="47">
        <v>14205405</v>
      </c>
      <c r="BC77" s="47">
        <v>140093909</v>
      </c>
      <c r="BD77" s="47">
        <v>1010452017</v>
      </c>
      <c r="BE77" s="47">
        <v>746645238</v>
      </c>
      <c r="BF77" s="47">
        <v>286340645</v>
      </c>
      <c r="BG77" s="47">
        <v>1211609318</v>
      </c>
      <c r="BH77" s="47">
        <v>468561068</v>
      </c>
      <c r="BI77" s="47">
        <v>231525197</v>
      </c>
      <c r="BJ77" s="47">
        <v>2639453033</v>
      </c>
      <c r="BK77" s="47">
        <v>1722432780</v>
      </c>
      <c r="BL77" s="47">
        <v>1072964218</v>
      </c>
      <c r="BM77" s="47">
        <v>3869304691</v>
      </c>
      <c r="BN77" s="47">
        <v>2411981392</v>
      </c>
      <c r="BO77" s="47">
        <v>2081507806</v>
      </c>
      <c r="BP77" s="47">
        <v>59351899</v>
      </c>
      <c r="BQ77" s="47">
        <v>772446667</v>
      </c>
      <c r="BR77" s="47">
        <v>1219419822</v>
      </c>
      <c r="BS77" s="47">
        <v>0</v>
      </c>
      <c r="BT77" s="47">
        <v>64159206175</v>
      </c>
      <c r="BU77" s="47">
        <v>60320248883</v>
      </c>
      <c r="BV77" s="47">
        <v>14749596727</v>
      </c>
      <c r="BW77" s="47">
        <v>324837901</v>
      </c>
      <c r="BX77" s="47">
        <v>75394683511</v>
      </c>
      <c r="BY77" s="47">
        <v>22546085839</v>
      </c>
      <c r="BZ77" s="47">
        <v>1560974802</v>
      </c>
      <c r="CA77" s="47">
        <v>69913465</v>
      </c>
      <c r="CB77" s="47">
        <v>24176974106</v>
      </c>
      <c r="CC77" s="47">
        <v>40316065562</v>
      </c>
      <c r="CD77" s="47">
        <v>139887723179</v>
      </c>
      <c r="CE77" s="47">
        <v>204046929354</v>
      </c>
      <c r="CF77" s="41"/>
      <c r="CG77" s="41"/>
      <c r="CH77" s="42"/>
    </row>
  </sheetData>
  <mergeCells count="1">
    <mergeCell ref="A2:K2"/>
  </mergeCells>
  <pageMargins left="0.78740157480314965" right="0.39370078740157483" top="0.39370078740157483" bottom="0.39370078740157483" header="0.11811023622047245" footer="0.11811023622047245"/>
  <pageSetup paperSize="9" firstPageNumber="469" orientation="landscape" useFirstPageNumber="1" r:id="rId1"/>
  <headerFooter>
    <oddFooter>&amp;R&amp;P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T79"/>
  <sheetViews>
    <sheetView workbookViewId="0">
      <pane xSplit="4" ySplit="7" topLeftCell="E8" activePane="bottomRight" state="frozen"/>
      <selection pane="topRight" activeCell="E1" sqref="E1"/>
      <selection pane="bottomLeft" activeCell="A9" sqref="A9"/>
      <selection pane="bottomRight" activeCell="B4" sqref="B4:J28"/>
    </sheetView>
  </sheetViews>
  <sheetFormatPr defaultColWidth="8" defaultRowHeight="11.25"/>
  <cols>
    <col min="1" max="1" width="3.28515625" style="24" customWidth="1"/>
    <col min="2" max="2" width="8.5703125" style="62" customWidth="1"/>
    <col min="3" max="3" width="33.85546875" style="27" customWidth="1"/>
    <col min="4" max="4" width="13.85546875" style="24" customWidth="1"/>
    <col min="5" max="5" width="12" style="24" bestFit="1" customWidth="1"/>
    <col min="6" max="6" width="11.28515625" style="24" bestFit="1" customWidth="1"/>
    <col min="7" max="7" width="11" style="24" bestFit="1" customWidth="1"/>
    <col min="8" max="8" width="12.5703125" style="24" bestFit="1" customWidth="1"/>
    <col min="9" max="9" width="11.7109375" style="24" bestFit="1" customWidth="1"/>
    <col min="10" max="11" width="14.140625" style="24" bestFit="1" customWidth="1"/>
    <col min="12" max="12" width="11.85546875" style="24" bestFit="1" customWidth="1"/>
    <col min="13" max="13" width="11" style="24" bestFit="1" customWidth="1"/>
    <col min="14" max="15" width="10.85546875" style="24" bestFit="1" customWidth="1"/>
    <col min="16" max="16" width="12.140625" style="24" customWidth="1"/>
    <col min="17" max="17" width="12.85546875" style="24" customWidth="1"/>
    <col min="18" max="18" width="16.42578125" style="24" customWidth="1"/>
    <col min="19" max="19" width="14.140625" style="24" customWidth="1"/>
    <col min="20" max="24" width="14.28515625" style="24" customWidth="1"/>
    <col min="25" max="25" width="13.7109375" style="24" customWidth="1"/>
    <col min="26" max="26" width="14.28515625" style="24" customWidth="1"/>
    <col min="27" max="27" width="14" style="24" customWidth="1"/>
    <col min="28" max="28" width="12.5703125" style="24" bestFit="1" customWidth="1"/>
    <col min="29" max="29" width="11.28515625" style="24" bestFit="1" customWidth="1"/>
    <col min="30" max="30" width="12.5703125" style="24" customWidth="1"/>
    <col min="31" max="31" width="12.5703125" style="24" bestFit="1" customWidth="1"/>
    <col min="32" max="32" width="14.5703125" style="24" bestFit="1" customWidth="1"/>
    <col min="33" max="33" width="10.85546875" style="24" bestFit="1" customWidth="1"/>
    <col min="34" max="34" width="11.7109375" style="24" customWidth="1"/>
    <col min="35" max="35" width="14" style="24" customWidth="1"/>
    <col min="36" max="36" width="13.5703125" style="24" customWidth="1"/>
    <col min="37" max="37" width="15.5703125" style="24" bestFit="1" customWidth="1"/>
    <col min="38" max="38" width="14.28515625" style="24" customWidth="1"/>
    <col min="39" max="39" width="13.5703125" style="24" customWidth="1"/>
    <col min="40" max="40" width="14.28515625" style="24" customWidth="1"/>
    <col min="41" max="41" width="13.7109375" style="24" customWidth="1"/>
    <col min="42" max="42" width="12.5703125" style="24" bestFit="1" customWidth="1"/>
    <col min="43" max="43" width="15.28515625" style="24" bestFit="1" customWidth="1"/>
    <col min="44" max="44" width="10" style="24" bestFit="1" customWidth="1"/>
    <col min="45" max="45" width="11" style="24" bestFit="1" customWidth="1"/>
    <col min="46" max="46" width="14.28515625" style="24" bestFit="1" customWidth="1"/>
    <col min="47" max="47" width="11.42578125" style="24" customWidth="1"/>
    <col min="48" max="48" width="11" style="24" bestFit="1" customWidth="1"/>
    <col min="49" max="49" width="13.5703125" style="24" customWidth="1"/>
    <col min="50" max="50" width="12.42578125" style="24" customWidth="1"/>
    <col min="51" max="51" width="11.28515625" style="24" customWidth="1"/>
    <col min="52" max="52" width="11.5703125" style="24" customWidth="1"/>
    <col min="53" max="53" width="15.140625" style="24" customWidth="1"/>
    <col min="54" max="54" width="13.42578125" style="24" customWidth="1"/>
    <col min="55" max="55" width="11.28515625" style="24" bestFit="1" customWidth="1"/>
    <col min="56" max="56" width="12.5703125" style="24" bestFit="1" customWidth="1"/>
    <col min="57" max="57" width="12.42578125" style="24" customWidth="1"/>
    <col min="58" max="58" width="17" style="24" bestFit="1" customWidth="1"/>
    <col min="59" max="64" width="13.7109375" style="24" customWidth="1"/>
    <col min="65" max="65" width="16.42578125" style="24" bestFit="1" customWidth="1"/>
    <col min="66" max="66" width="12.5703125" style="24" customWidth="1"/>
    <col min="67" max="67" width="12.7109375" style="24" customWidth="1"/>
    <col min="68" max="68" width="14.7109375" style="24" customWidth="1"/>
    <col min="69" max="69" width="14" style="24" customWidth="1"/>
    <col min="70" max="70" width="11.85546875" style="24" customWidth="1"/>
    <col min="71" max="72" width="15.28515625" style="24" customWidth="1"/>
    <col min="73" max="16384" width="8" style="24"/>
  </cols>
  <sheetData>
    <row r="2" spans="1:72" ht="12.75">
      <c r="A2" s="122" t="s">
        <v>191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</row>
    <row r="3" spans="1:72">
      <c r="A3" s="26"/>
      <c r="D3" s="28"/>
      <c r="E3" s="28"/>
      <c r="F3" s="28"/>
      <c r="G3" s="28"/>
      <c r="H3" s="28"/>
      <c r="I3" s="28"/>
      <c r="J3" s="28"/>
      <c r="L3" s="28"/>
      <c r="M3" s="28"/>
      <c r="N3" s="28"/>
      <c r="O3" s="28"/>
      <c r="P3" s="28"/>
      <c r="Q3" s="28"/>
      <c r="R3" s="28"/>
      <c r="S3" s="29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9"/>
      <c r="BN3" s="28"/>
      <c r="BO3" s="28"/>
      <c r="BP3" s="28"/>
      <c r="BQ3" s="28"/>
      <c r="BR3" s="28"/>
      <c r="BS3" s="28"/>
      <c r="BT3" s="28"/>
    </row>
    <row r="4" spans="1:72" ht="93" customHeight="1">
      <c r="A4" s="30"/>
      <c r="B4" s="63"/>
      <c r="C4" s="31"/>
      <c r="D4" s="32" t="s">
        <v>189</v>
      </c>
      <c r="E4" s="33" t="s">
        <v>134</v>
      </c>
      <c r="F4" s="33" t="s">
        <v>89</v>
      </c>
      <c r="G4" s="33" t="s">
        <v>87</v>
      </c>
      <c r="H4" s="33" t="s">
        <v>187</v>
      </c>
      <c r="I4" s="33" t="s">
        <v>185</v>
      </c>
      <c r="J4" s="33" t="s">
        <v>183</v>
      </c>
      <c r="K4" s="33" t="s">
        <v>181</v>
      </c>
      <c r="L4" s="33" t="s">
        <v>180</v>
      </c>
      <c r="M4" s="33" t="s">
        <v>85</v>
      </c>
      <c r="N4" s="33" t="s">
        <v>178</v>
      </c>
      <c r="O4" s="33" t="s">
        <v>83</v>
      </c>
      <c r="P4" s="33" t="s">
        <v>177</v>
      </c>
      <c r="Q4" s="33" t="s">
        <v>82</v>
      </c>
      <c r="R4" s="33" t="s">
        <v>80</v>
      </c>
      <c r="S4" s="33" t="s">
        <v>78</v>
      </c>
      <c r="T4" s="33" t="s">
        <v>76</v>
      </c>
      <c r="U4" s="33" t="s">
        <v>74</v>
      </c>
      <c r="V4" s="33" t="s">
        <v>72</v>
      </c>
      <c r="W4" s="33" t="s">
        <v>70</v>
      </c>
      <c r="X4" s="33" t="s">
        <v>176</v>
      </c>
      <c r="Y4" s="33" t="s">
        <v>68</v>
      </c>
      <c r="Z4" s="33" t="s">
        <v>175</v>
      </c>
      <c r="AA4" s="33" t="s">
        <v>67</v>
      </c>
      <c r="AB4" s="33" t="s">
        <v>173</v>
      </c>
      <c r="AC4" s="33" t="s">
        <v>171</v>
      </c>
      <c r="AD4" s="33" t="s">
        <v>169</v>
      </c>
      <c r="AE4" s="33" t="s">
        <v>167</v>
      </c>
      <c r="AF4" s="33" t="s">
        <v>165</v>
      </c>
      <c r="AG4" s="33" t="s">
        <v>65</v>
      </c>
      <c r="AH4" s="33" t="s">
        <v>135</v>
      </c>
      <c r="AI4" s="33" t="s">
        <v>164</v>
      </c>
      <c r="AJ4" s="33" t="s">
        <v>163</v>
      </c>
      <c r="AK4" s="33" t="s">
        <v>62</v>
      </c>
      <c r="AL4" s="33" t="s">
        <v>60</v>
      </c>
      <c r="AM4" s="33" t="s">
        <v>58</v>
      </c>
      <c r="AN4" s="33" t="s">
        <v>56</v>
      </c>
      <c r="AO4" s="33" t="s">
        <v>136</v>
      </c>
      <c r="AP4" s="33" t="s">
        <v>53</v>
      </c>
      <c r="AQ4" s="33" t="s">
        <v>51</v>
      </c>
      <c r="AR4" s="33" t="s">
        <v>49</v>
      </c>
      <c r="AS4" s="33" t="s">
        <v>162</v>
      </c>
      <c r="AT4" s="33" t="s">
        <v>47</v>
      </c>
      <c r="AU4" s="33" t="s">
        <v>137</v>
      </c>
      <c r="AV4" s="33" t="s">
        <v>44</v>
      </c>
      <c r="AW4" s="33" t="s">
        <v>42</v>
      </c>
      <c r="AX4" s="33" t="s">
        <v>40</v>
      </c>
      <c r="AY4" s="33" t="s">
        <v>38</v>
      </c>
      <c r="AZ4" s="33" t="s">
        <v>36</v>
      </c>
      <c r="BA4" s="33" t="s">
        <v>34</v>
      </c>
      <c r="BB4" s="33" t="s">
        <v>32</v>
      </c>
      <c r="BC4" s="33" t="s">
        <v>30</v>
      </c>
      <c r="BD4" s="33" t="s">
        <v>28</v>
      </c>
      <c r="BE4" s="33" t="s">
        <v>161</v>
      </c>
      <c r="BF4" s="33" t="s">
        <v>26</v>
      </c>
      <c r="BG4" s="33" t="s">
        <v>24</v>
      </c>
      <c r="BH4" s="33" t="s">
        <v>138</v>
      </c>
      <c r="BI4" s="33" t="s">
        <v>139</v>
      </c>
      <c r="BJ4" s="33" t="s">
        <v>20</v>
      </c>
      <c r="BK4" s="33" t="s">
        <v>159</v>
      </c>
      <c r="BL4" s="33" t="s">
        <v>157</v>
      </c>
      <c r="BM4" s="33" t="s">
        <v>18</v>
      </c>
      <c r="BN4" s="33" t="s">
        <v>16</v>
      </c>
      <c r="BO4" s="33" t="s">
        <v>14</v>
      </c>
      <c r="BP4" s="33" t="s">
        <v>12</v>
      </c>
      <c r="BQ4" s="33" t="s">
        <v>156</v>
      </c>
      <c r="BR4" s="33" t="s">
        <v>155</v>
      </c>
      <c r="BS4" s="33" t="s">
        <v>10</v>
      </c>
      <c r="BT4" s="33" t="s">
        <v>123</v>
      </c>
    </row>
    <row r="5" spans="1:72" s="25" customFormat="1" ht="16.5" customHeight="1">
      <c r="A5" s="36"/>
      <c r="B5" s="64" t="s">
        <v>148</v>
      </c>
      <c r="C5" s="37"/>
      <c r="D5" s="32" t="s">
        <v>103</v>
      </c>
      <c r="E5" s="33" t="s">
        <v>91</v>
      </c>
      <c r="F5" s="33" t="s">
        <v>90</v>
      </c>
      <c r="G5" s="33" t="s">
        <v>88</v>
      </c>
      <c r="H5" s="33" t="s">
        <v>188</v>
      </c>
      <c r="I5" s="33" t="s">
        <v>186</v>
      </c>
      <c r="J5" s="33" t="s">
        <v>184</v>
      </c>
      <c r="K5" s="33" t="s">
        <v>182</v>
      </c>
      <c r="L5" s="33" t="s">
        <v>102</v>
      </c>
      <c r="M5" s="33" t="s">
        <v>86</v>
      </c>
      <c r="N5" s="33" t="s">
        <v>179</v>
      </c>
      <c r="O5" s="33" t="s">
        <v>84</v>
      </c>
      <c r="P5" s="33" t="s">
        <v>101</v>
      </c>
      <c r="Q5" s="33" t="s">
        <v>100</v>
      </c>
      <c r="R5" s="33" t="s">
        <v>81</v>
      </c>
      <c r="S5" s="33" t="s">
        <v>79</v>
      </c>
      <c r="T5" s="33" t="s">
        <v>77</v>
      </c>
      <c r="U5" s="33" t="s">
        <v>75</v>
      </c>
      <c r="V5" s="33" t="s">
        <v>73</v>
      </c>
      <c r="W5" s="33" t="s">
        <v>71</v>
      </c>
      <c r="X5" s="33" t="s">
        <v>99</v>
      </c>
      <c r="Y5" s="33" t="s">
        <v>69</v>
      </c>
      <c r="Z5" s="33" t="s">
        <v>98</v>
      </c>
      <c r="AA5" s="33" t="s">
        <v>97</v>
      </c>
      <c r="AB5" s="33">
        <v>241</v>
      </c>
      <c r="AC5" s="33">
        <v>242</v>
      </c>
      <c r="AD5" s="33">
        <v>243</v>
      </c>
      <c r="AE5" s="33">
        <v>244</v>
      </c>
      <c r="AF5" s="33">
        <v>245</v>
      </c>
      <c r="AG5" s="33" t="s">
        <v>66</v>
      </c>
      <c r="AH5" s="33" t="s">
        <v>64</v>
      </c>
      <c r="AI5" s="33" t="s">
        <v>96</v>
      </c>
      <c r="AJ5" s="33" t="s">
        <v>95</v>
      </c>
      <c r="AK5" s="33" t="s">
        <v>63</v>
      </c>
      <c r="AL5" s="33" t="s">
        <v>61</v>
      </c>
      <c r="AM5" s="33" t="s">
        <v>59</v>
      </c>
      <c r="AN5" s="33" t="s">
        <v>57</v>
      </c>
      <c r="AO5" s="33" t="s">
        <v>55</v>
      </c>
      <c r="AP5" s="33">
        <v>351</v>
      </c>
      <c r="AQ5" s="33">
        <v>352</v>
      </c>
      <c r="AR5" s="33">
        <v>353</v>
      </c>
      <c r="AS5" s="33" t="s">
        <v>94</v>
      </c>
      <c r="AT5" s="33" t="s">
        <v>48</v>
      </c>
      <c r="AU5" s="33" t="s">
        <v>46</v>
      </c>
      <c r="AV5" s="33" t="s">
        <v>45</v>
      </c>
      <c r="AW5" s="33" t="s">
        <v>43</v>
      </c>
      <c r="AX5" s="33" t="s">
        <v>41</v>
      </c>
      <c r="AY5" s="33" t="s">
        <v>39</v>
      </c>
      <c r="AZ5" s="33" t="s">
        <v>37</v>
      </c>
      <c r="BA5" s="33" t="s">
        <v>35</v>
      </c>
      <c r="BB5" s="33" t="s">
        <v>33</v>
      </c>
      <c r="BC5" s="33" t="s">
        <v>31</v>
      </c>
      <c r="BD5" s="33" t="s">
        <v>29</v>
      </c>
      <c r="BE5" s="33" t="s">
        <v>198</v>
      </c>
      <c r="BF5" s="33" t="s">
        <v>27</v>
      </c>
      <c r="BG5" s="33" t="s">
        <v>25</v>
      </c>
      <c r="BH5" s="33" t="s">
        <v>23</v>
      </c>
      <c r="BI5" s="33" t="s">
        <v>22</v>
      </c>
      <c r="BJ5" s="33" t="s">
        <v>21</v>
      </c>
      <c r="BK5" s="33" t="s">
        <v>160</v>
      </c>
      <c r="BL5" s="33" t="s">
        <v>158</v>
      </c>
      <c r="BM5" s="33" t="s">
        <v>19</v>
      </c>
      <c r="BN5" s="33" t="s">
        <v>17</v>
      </c>
      <c r="BO5" s="33" t="s">
        <v>15</v>
      </c>
      <c r="BP5" s="33" t="s">
        <v>13</v>
      </c>
      <c r="BQ5" s="33" t="s">
        <v>93</v>
      </c>
      <c r="BR5" s="33" t="s">
        <v>92</v>
      </c>
      <c r="BS5" s="33" t="s">
        <v>11</v>
      </c>
      <c r="BT5" s="33"/>
    </row>
    <row r="6" spans="1:72" ht="11.25" customHeight="1">
      <c r="A6" s="30" t="s">
        <v>147</v>
      </c>
      <c r="B6" s="63"/>
      <c r="C6" s="30"/>
      <c r="D6" s="35">
        <v>1</v>
      </c>
      <c r="E6" s="35">
        <v>2</v>
      </c>
      <c r="F6" s="35">
        <v>3</v>
      </c>
      <c r="G6" s="35">
        <v>4</v>
      </c>
      <c r="H6" s="35">
        <v>5</v>
      </c>
      <c r="I6" s="35">
        <v>6</v>
      </c>
      <c r="J6" s="35">
        <v>7</v>
      </c>
      <c r="K6" s="35">
        <v>8</v>
      </c>
      <c r="L6" s="35">
        <v>9</v>
      </c>
      <c r="M6" s="35">
        <v>10</v>
      </c>
      <c r="N6" s="35">
        <v>11</v>
      </c>
      <c r="O6" s="35">
        <v>12</v>
      </c>
      <c r="P6" s="35">
        <v>13</v>
      </c>
      <c r="Q6" s="35">
        <v>14</v>
      </c>
      <c r="R6" s="35">
        <v>15</v>
      </c>
      <c r="S6" s="35">
        <v>16</v>
      </c>
      <c r="T6" s="35">
        <v>17</v>
      </c>
      <c r="U6" s="35">
        <v>18</v>
      </c>
      <c r="V6" s="35">
        <v>19</v>
      </c>
      <c r="W6" s="35">
        <v>20</v>
      </c>
      <c r="X6" s="35">
        <v>21</v>
      </c>
      <c r="Y6" s="35">
        <v>22</v>
      </c>
      <c r="Z6" s="35">
        <v>23</v>
      </c>
      <c r="AA6" s="35">
        <v>24</v>
      </c>
      <c r="AB6" s="35">
        <v>25</v>
      </c>
      <c r="AC6" s="35">
        <v>26</v>
      </c>
      <c r="AD6" s="35">
        <v>27</v>
      </c>
      <c r="AE6" s="35">
        <v>28</v>
      </c>
      <c r="AF6" s="35">
        <v>29</v>
      </c>
      <c r="AG6" s="35">
        <v>30</v>
      </c>
      <c r="AH6" s="35">
        <v>31</v>
      </c>
      <c r="AI6" s="35">
        <v>32</v>
      </c>
      <c r="AJ6" s="35">
        <v>33</v>
      </c>
      <c r="AK6" s="35">
        <v>34</v>
      </c>
      <c r="AL6" s="35">
        <v>35</v>
      </c>
      <c r="AM6" s="35">
        <v>36</v>
      </c>
      <c r="AN6" s="35">
        <v>37</v>
      </c>
      <c r="AO6" s="35">
        <v>38</v>
      </c>
      <c r="AP6" s="35">
        <v>39</v>
      </c>
      <c r="AQ6" s="35">
        <v>40</v>
      </c>
      <c r="AR6" s="35">
        <v>41</v>
      </c>
      <c r="AS6" s="35">
        <v>42</v>
      </c>
      <c r="AT6" s="35">
        <v>43</v>
      </c>
      <c r="AU6" s="35">
        <v>44</v>
      </c>
      <c r="AV6" s="35">
        <v>45</v>
      </c>
      <c r="AW6" s="35">
        <v>46</v>
      </c>
      <c r="AX6" s="35">
        <v>47</v>
      </c>
      <c r="AY6" s="35">
        <v>48</v>
      </c>
      <c r="AZ6" s="35">
        <v>49</v>
      </c>
      <c r="BA6" s="35">
        <v>50</v>
      </c>
      <c r="BB6" s="35">
        <v>51</v>
      </c>
      <c r="BC6" s="35">
        <v>52</v>
      </c>
      <c r="BD6" s="35">
        <v>53</v>
      </c>
      <c r="BE6" s="35">
        <v>54</v>
      </c>
      <c r="BF6" s="35">
        <v>55</v>
      </c>
      <c r="BG6" s="35">
        <v>56</v>
      </c>
      <c r="BH6" s="35">
        <v>57</v>
      </c>
      <c r="BI6" s="35">
        <v>58</v>
      </c>
      <c r="BJ6" s="35">
        <v>59</v>
      </c>
      <c r="BK6" s="35">
        <v>60</v>
      </c>
      <c r="BL6" s="35">
        <v>61</v>
      </c>
      <c r="BM6" s="35">
        <v>62</v>
      </c>
      <c r="BN6" s="35">
        <v>63</v>
      </c>
      <c r="BO6" s="35">
        <v>64</v>
      </c>
      <c r="BP6" s="35">
        <v>65</v>
      </c>
      <c r="BQ6" s="35">
        <v>66</v>
      </c>
      <c r="BR6" s="35">
        <v>67</v>
      </c>
      <c r="BS6" s="35">
        <v>68</v>
      </c>
      <c r="BT6" s="35">
        <v>69</v>
      </c>
    </row>
    <row r="7" spans="1:72" ht="24.75" customHeight="1">
      <c r="A7" s="38">
        <v>1</v>
      </c>
      <c r="B7" s="65" t="s">
        <v>103</v>
      </c>
      <c r="C7" s="39" t="s">
        <v>189</v>
      </c>
      <c r="D7" s="57">
        <v>0.11250006971901674</v>
      </c>
      <c r="E7" s="57">
        <v>4.74439053857755E-3</v>
      </c>
      <c r="F7" s="57">
        <v>0</v>
      </c>
      <c r="G7" s="57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7">
        <v>0.16390534743215807</v>
      </c>
      <c r="O7" s="57">
        <v>6.1599404648212286E-2</v>
      </c>
      <c r="P7" s="57">
        <v>7.0187627641974748E-3</v>
      </c>
      <c r="Q7" s="57">
        <v>0</v>
      </c>
      <c r="R7" s="57">
        <v>0</v>
      </c>
      <c r="S7" s="57">
        <v>0</v>
      </c>
      <c r="T7" s="57">
        <v>0</v>
      </c>
      <c r="U7" s="57">
        <v>0</v>
      </c>
      <c r="V7" s="57">
        <v>0</v>
      </c>
      <c r="W7" s="57">
        <v>0</v>
      </c>
      <c r="X7" s="57">
        <v>1.3209347050370092E-3</v>
      </c>
      <c r="Y7" s="57">
        <v>3.5307844370607085E-4</v>
      </c>
      <c r="Z7" s="57">
        <v>1.2775983802485169E-3</v>
      </c>
      <c r="AA7" s="57">
        <v>0</v>
      </c>
      <c r="AB7" s="57">
        <v>0</v>
      </c>
      <c r="AC7" s="57">
        <v>0</v>
      </c>
      <c r="AD7" s="57">
        <v>0</v>
      </c>
      <c r="AE7" s="57">
        <v>0</v>
      </c>
      <c r="AF7" s="57">
        <v>0</v>
      </c>
      <c r="AG7" s="57">
        <v>0</v>
      </c>
      <c r="AH7" s="57">
        <v>0</v>
      </c>
      <c r="AI7" s="57">
        <v>0</v>
      </c>
      <c r="AJ7" s="57">
        <v>0</v>
      </c>
      <c r="AK7" s="57">
        <v>0</v>
      </c>
      <c r="AL7" s="57">
        <v>0</v>
      </c>
      <c r="AM7" s="57">
        <v>0</v>
      </c>
      <c r="AN7" s="57">
        <v>0</v>
      </c>
      <c r="AO7" s="57">
        <v>0</v>
      </c>
      <c r="AP7" s="57">
        <v>8.8288842833835459E-8</v>
      </c>
      <c r="AQ7" s="57">
        <v>0</v>
      </c>
      <c r="AR7" s="57">
        <v>0</v>
      </c>
      <c r="AS7" s="57">
        <v>1.4035791321122487E-4</v>
      </c>
      <c r="AT7" s="57">
        <v>0</v>
      </c>
      <c r="AU7" s="57">
        <v>0</v>
      </c>
      <c r="AV7" s="57">
        <v>2.4621234666398337E-4</v>
      </c>
      <c r="AW7" s="57">
        <v>0</v>
      </c>
      <c r="AX7" s="57">
        <v>0</v>
      </c>
      <c r="AY7" s="57">
        <v>0</v>
      </c>
      <c r="AZ7" s="57">
        <v>0</v>
      </c>
      <c r="BA7" s="57">
        <v>0</v>
      </c>
      <c r="BB7" s="57">
        <v>0</v>
      </c>
      <c r="BC7" s="57">
        <v>6.5357288800383826E-3</v>
      </c>
      <c r="BD7" s="57">
        <v>0.13138905970100423</v>
      </c>
      <c r="BE7" s="57">
        <v>0</v>
      </c>
      <c r="BF7" s="57">
        <v>0</v>
      </c>
      <c r="BG7" s="57">
        <v>0</v>
      </c>
      <c r="BH7" s="57">
        <v>0</v>
      </c>
      <c r="BI7" s="57">
        <v>0</v>
      </c>
      <c r="BJ7" s="57">
        <v>0</v>
      </c>
      <c r="BK7" s="57">
        <v>1.2000307165075596E-3</v>
      </c>
      <c r="BL7" s="57">
        <v>1.5031027896991529E-3</v>
      </c>
      <c r="BM7" s="57">
        <v>2.0854661760350297E-3</v>
      </c>
      <c r="BN7" s="57">
        <v>5.8280902356385176E-3</v>
      </c>
      <c r="BO7" s="57">
        <v>4.7430648263490352E-3</v>
      </c>
      <c r="BP7" s="57">
        <v>6.1700561365977194E-3</v>
      </c>
      <c r="BQ7" s="57">
        <v>6.1002328385456888E-4</v>
      </c>
      <c r="BR7" s="57">
        <v>0</v>
      </c>
      <c r="BS7" s="57">
        <v>0</v>
      </c>
      <c r="BT7" s="57">
        <v>1.2267641028902255E-2</v>
      </c>
    </row>
    <row r="8" spans="1:72" ht="22.5">
      <c r="A8" s="38">
        <v>2</v>
      </c>
      <c r="B8" s="65" t="s">
        <v>91</v>
      </c>
      <c r="C8" s="39" t="s">
        <v>134</v>
      </c>
      <c r="D8" s="57">
        <v>4.1724707834431785E-6</v>
      </c>
      <c r="E8" s="57">
        <v>0.31346298168583314</v>
      </c>
      <c r="F8" s="57">
        <v>0</v>
      </c>
      <c r="G8" s="57">
        <v>0</v>
      </c>
      <c r="H8" s="57">
        <v>5.2616257541653768E-7</v>
      </c>
      <c r="I8" s="57">
        <v>4.9307941058566595E-7</v>
      </c>
      <c r="J8" s="57">
        <v>0</v>
      </c>
      <c r="K8" s="57">
        <v>0</v>
      </c>
      <c r="L8" s="57">
        <v>0</v>
      </c>
      <c r="M8" s="57">
        <v>0</v>
      </c>
      <c r="N8" s="57">
        <v>0</v>
      </c>
      <c r="O8" s="57">
        <v>0</v>
      </c>
      <c r="P8" s="57">
        <v>0</v>
      </c>
      <c r="Q8" s="57">
        <v>0</v>
      </c>
      <c r="R8" s="57">
        <v>0</v>
      </c>
      <c r="S8" s="57">
        <v>3.4096259533131459E-2</v>
      </c>
      <c r="T8" s="57">
        <v>0</v>
      </c>
      <c r="U8" s="57">
        <v>0</v>
      </c>
      <c r="V8" s="57">
        <v>0</v>
      </c>
      <c r="W8" s="57">
        <v>0</v>
      </c>
      <c r="X8" s="57">
        <v>3.741615322850582E-5</v>
      </c>
      <c r="Y8" s="57">
        <v>0</v>
      </c>
      <c r="Z8" s="57">
        <v>0</v>
      </c>
      <c r="AA8" s="57">
        <v>0</v>
      </c>
      <c r="AB8" s="57">
        <v>0</v>
      </c>
      <c r="AC8" s="57">
        <v>0</v>
      </c>
      <c r="AD8" s="57">
        <v>0</v>
      </c>
      <c r="AE8" s="57">
        <v>0</v>
      </c>
      <c r="AF8" s="57">
        <v>0</v>
      </c>
      <c r="AG8" s="57">
        <v>0</v>
      </c>
      <c r="AH8" s="57">
        <v>0</v>
      </c>
      <c r="AI8" s="57">
        <v>0</v>
      </c>
      <c r="AJ8" s="57">
        <v>0</v>
      </c>
      <c r="AK8" s="57">
        <v>0</v>
      </c>
      <c r="AL8" s="57">
        <v>0</v>
      </c>
      <c r="AM8" s="57">
        <v>0</v>
      </c>
      <c r="AN8" s="57">
        <v>0</v>
      </c>
      <c r="AO8" s="57">
        <v>0</v>
      </c>
      <c r="AP8" s="57">
        <v>0</v>
      </c>
      <c r="AQ8" s="57">
        <v>0</v>
      </c>
      <c r="AR8" s="57">
        <v>0</v>
      </c>
      <c r="AS8" s="57">
        <v>0</v>
      </c>
      <c r="AT8" s="57">
        <v>4.494401346371491E-6</v>
      </c>
      <c r="AU8" s="57">
        <v>0</v>
      </c>
      <c r="AV8" s="57">
        <v>0</v>
      </c>
      <c r="AW8" s="57">
        <v>0</v>
      </c>
      <c r="AX8" s="57">
        <v>0</v>
      </c>
      <c r="AY8" s="57">
        <v>0</v>
      </c>
      <c r="AZ8" s="57">
        <v>0</v>
      </c>
      <c r="BA8" s="57">
        <v>0</v>
      </c>
      <c r="BB8" s="57">
        <v>0</v>
      </c>
      <c r="BC8" s="57">
        <v>0</v>
      </c>
      <c r="BD8" s="57">
        <v>0</v>
      </c>
      <c r="BE8" s="57">
        <v>0</v>
      </c>
      <c r="BF8" s="57">
        <v>0</v>
      </c>
      <c r="BG8" s="57">
        <v>0</v>
      </c>
      <c r="BH8" s="57">
        <v>0</v>
      </c>
      <c r="BI8" s="57">
        <v>0</v>
      </c>
      <c r="BJ8" s="57">
        <v>0</v>
      </c>
      <c r="BK8" s="57">
        <v>1.8866189468032335E-7</v>
      </c>
      <c r="BL8" s="57">
        <v>1.4721681856486716E-4</v>
      </c>
      <c r="BM8" s="57">
        <v>5.2279414934803398E-4</v>
      </c>
      <c r="BN8" s="57">
        <v>8.2582833489816777E-6</v>
      </c>
      <c r="BO8" s="57">
        <v>0</v>
      </c>
      <c r="BP8" s="57">
        <v>3.1442770037873311E-7</v>
      </c>
      <c r="BQ8" s="57">
        <v>0</v>
      </c>
      <c r="BR8" s="57">
        <v>0</v>
      </c>
      <c r="BS8" s="57">
        <v>0</v>
      </c>
      <c r="BT8" s="57">
        <v>1.104075706415921E-4</v>
      </c>
    </row>
    <row r="9" spans="1:72" ht="33.75">
      <c r="A9" s="38">
        <v>3</v>
      </c>
      <c r="B9" s="65" t="s">
        <v>90</v>
      </c>
      <c r="C9" s="39" t="s">
        <v>89</v>
      </c>
      <c r="D9" s="57">
        <v>0</v>
      </c>
      <c r="E9" s="57">
        <v>0</v>
      </c>
      <c r="F9" s="57">
        <v>2.5711960225408801E-4</v>
      </c>
      <c r="G9" s="57">
        <v>0</v>
      </c>
      <c r="H9" s="57">
        <v>0</v>
      </c>
      <c r="I9" s="57">
        <v>0</v>
      </c>
      <c r="J9" s="57">
        <v>0</v>
      </c>
      <c r="K9" s="57">
        <v>0</v>
      </c>
      <c r="L9" s="57">
        <v>0</v>
      </c>
      <c r="M9" s="57">
        <v>0</v>
      </c>
      <c r="N9" s="57">
        <v>8.5023748541410106E-4</v>
      </c>
      <c r="O9" s="57">
        <v>0</v>
      </c>
      <c r="P9" s="57">
        <v>0</v>
      </c>
      <c r="Q9" s="57">
        <v>0</v>
      </c>
      <c r="R9" s="57">
        <v>0</v>
      </c>
      <c r="S9" s="57">
        <v>0</v>
      </c>
      <c r="T9" s="57">
        <v>0</v>
      </c>
      <c r="U9" s="57">
        <v>0</v>
      </c>
      <c r="V9" s="57">
        <v>0</v>
      </c>
      <c r="W9" s="57">
        <v>0</v>
      </c>
      <c r="X9" s="57">
        <v>0</v>
      </c>
      <c r="Y9" s="57">
        <v>0</v>
      </c>
      <c r="Z9" s="57">
        <v>0</v>
      </c>
      <c r="AA9" s="57">
        <v>0</v>
      </c>
      <c r="AB9" s="57">
        <v>0</v>
      </c>
      <c r="AC9" s="57">
        <v>0</v>
      </c>
      <c r="AD9" s="57">
        <v>0</v>
      </c>
      <c r="AE9" s="57">
        <v>0</v>
      </c>
      <c r="AF9" s="57">
        <v>0</v>
      </c>
      <c r="AG9" s="57">
        <v>0</v>
      </c>
      <c r="AH9" s="57">
        <v>0</v>
      </c>
      <c r="AI9" s="57">
        <v>0</v>
      </c>
      <c r="AJ9" s="57">
        <v>0</v>
      </c>
      <c r="AK9" s="57">
        <v>0</v>
      </c>
      <c r="AL9" s="57">
        <v>0</v>
      </c>
      <c r="AM9" s="57">
        <v>0</v>
      </c>
      <c r="AN9" s="57">
        <v>0</v>
      </c>
      <c r="AO9" s="57">
        <v>0</v>
      </c>
      <c r="AP9" s="57">
        <v>0</v>
      </c>
      <c r="AQ9" s="57">
        <v>0</v>
      </c>
      <c r="AR9" s="57">
        <v>0</v>
      </c>
      <c r="AS9" s="57">
        <v>0</v>
      </c>
      <c r="AT9" s="57">
        <v>0</v>
      </c>
      <c r="AU9" s="57">
        <v>0</v>
      </c>
      <c r="AV9" s="57">
        <v>0</v>
      </c>
      <c r="AW9" s="57">
        <v>0</v>
      </c>
      <c r="AX9" s="57">
        <v>0</v>
      </c>
      <c r="AY9" s="57">
        <v>0</v>
      </c>
      <c r="AZ9" s="57">
        <v>0</v>
      </c>
      <c r="BA9" s="57">
        <v>0</v>
      </c>
      <c r="BB9" s="57">
        <v>0</v>
      </c>
      <c r="BC9" s="57">
        <v>1.0138641234454648E-4</v>
      </c>
      <c r="BD9" s="57">
        <v>4.2417185121856951E-3</v>
      </c>
      <c r="BE9" s="57">
        <v>0</v>
      </c>
      <c r="BF9" s="57">
        <v>0</v>
      </c>
      <c r="BG9" s="57">
        <v>0</v>
      </c>
      <c r="BH9" s="57">
        <v>0</v>
      </c>
      <c r="BI9" s="57">
        <v>0</v>
      </c>
      <c r="BJ9" s="57">
        <v>0</v>
      </c>
      <c r="BK9" s="57">
        <v>0</v>
      </c>
      <c r="BL9" s="57">
        <v>0</v>
      </c>
      <c r="BM9" s="57">
        <v>6.4655330876066863E-4</v>
      </c>
      <c r="BN9" s="57">
        <v>7.0188540777723794E-4</v>
      </c>
      <c r="BO9" s="57">
        <v>4.5486168765969642E-4</v>
      </c>
      <c r="BP9" s="57">
        <v>1.2769322633038745E-3</v>
      </c>
      <c r="BQ9" s="57">
        <v>0</v>
      </c>
      <c r="BR9" s="57">
        <v>0</v>
      </c>
      <c r="BS9" s="57">
        <v>0</v>
      </c>
      <c r="BT9" s="57">
        <v>1.3266453226281E-4</v>
      </c>
    </row>
    <row r="10" spans="1:72">
      <c r="A10" s="38">
        <v>4</v>
      </c>
      <c r="B10" s="65" t="s">
        <v>88</v>
      </c>
      <c r="C10" s="39" t="s">
        <v>87</v>
      </c>
      <c r="D10" s="57">
        <v>1.1527164045543802E-4</v>
      </c>
      <c r="E10" s="57">
        <v>0</v>
      </c>
      <c r="F10" s="57">
        <v>0</v>
      </c>
      <c r="G10" s="57">
        <v>1.4057977200269696E-2</v>
      </c>
      <c r="H10" s="57">
        <v>3.1240139918582824E-7</v>
      </c>
      <c r="I10" s="57">
        <v>2.9681684421004466E-7</v>
      </c>
      <c r="J10" s="57">
        <v>1.627072693712817E-3</v>
      </c>
      <c r="K10" s="57">
        <v>1.2342017629658308E-4</v>
      </c>
      <c r="L10" s="57">
        <v>5.0825500825461764E-6</v>
      </c>
      <c r="M10" s="57">
        <v>7.567609516880968E-6</v>
      </c>
      <c r="N10" s="57">
        <v>5.5868685010425666E-6</v>
      </c>
      <c r="O10" s="57">
        <v>0</v>
      </c>
      <c r="P10" s="57">
        <v>0</v>
      </c>
      <c r="Q10" s="57">
        <v>0</v>
      </c>
      <c r="R10" s="57">
        <v>0</v>
      </c>
      <c r="S10" s="57">
        <v>0</v>
      </c>
      <c r="T10" s="57">
        <v>2.502578113139902E-6</v>
      </c>
      <c r="U10" s="57">
        <v>0</v>
      </c>
      <c r="V10" s="57">
        <v>0.17268988356025622</v>
      </c>
      <c r="W10" s="57">
        <v>0</v>
      </c>
      <c r="X10" s="57">
        <v>1.5812777554171964E-6</v>
      </c>
      <c r="Y10" s="57">
        <v>0</v>
      </c>
      <c r="Z10" s="57">
        <v>0</v>
      </c>
      <c r="AA10" s="57">
        <v>4.4359063122683595E-3</v>
      </c>
      <c r="AB10" s="57">
        <v>9.168624714919818E-4</v>
      </c>
      <c r="AC10" s="57">
        <v>0</v>
      </c>
      <c r="AD10" s="57">
        <v>0</v>
      </c>
      <c r="AE10" s="57">
        <v>4.6539610259259795E-5</v>
      </c>
      <c r="AF10" s="57">
        <v>0</v>
      </c>
      <c r="AG10" s="57">
        <v>5.5677731649670985E-7</v>
      </c>
      <c r="AH10" s="57">
        <v>0</v>
      </c>
      <c r="AI10" s="57">
        <v>0</v>
      </c>
      <c r="AJ10" s="57">
        <v>3.2348876354374174E-6</v>
      </c>
      <c r="AK10" s="57">
        <v>0</v>
      </c>
      <c r="AL10" s="57">
        <v>2.586091620388624E-6</v>
      </c>
      <c r="AM10" s="57">
        <v>0</v>
      </c>
      <c r="AN10" s="57">
        <v>2.8555156337141618E-7</v>
      </c>
      <c r="AO10" s="57">
        <v>1.2960208274159425E-5</v>
      </c>
      <c r="AP10" s="57">
        <v>4.3266122944685736E-2</v>
      </c>
      <c r="AQ10" s="57">
        <v>0</v>
      </c>
      <c r="AR10" s="57">
        <v>3.4606886737720687E-2</v>
      </c>
      <c r="AS10" s="57">
        <v>4.1777041735776834E-3</v>
      </c>
      <c r="AT10" s="57">
        <v>7.7893042516228542E-6</v>
      </c>
      <c r="AU10" s="57">
        <v>0</v>
      </c>
      <c r="AV10" s="57">
        <v>2.0339182091468039E-6</v>
      </c>
      <c r="AW10" s="57">
        <v>2.3043969687621581E-6</v>
      </c>
      <c r="AX10" s="57">
        <v>1.2269009921298405E-2</v>
      </c>
      <c r="AY10" s="57">
        <v>0</v>
      </c>
      <c r="AZ10" s="57">
        <v>0</v>
      </c>
      <c r="BA10" s="57">
        <v>3.793854316707378E-5</v>
      </c>
      <c r="BB10" s="57">
        <v>0</v>
      </c>
      <c r="BC10" s="57">
        <v>0</v>
      </c>
      <c r="BD10" s="57">
        <v>0</v>
      </c>
      <c r="BE10" s="57">
        <v>0</v>
      </c>
      <c r="BF10" s="57">
        <v>0</v>
      </c>
      <c r="BG10" s="57">
        <v>0</v>
      </c>
      <c r="BH10" s="57">
        <v>0</v>
      </c>
      <c r="BI10" s="57">
        <v>0</v>
      </c>
      <c r="BJ10" s="57">
        <v>5.932677220573236E-7</v>
      </c>
      <c r="BK10" s="57">
        <v>3.2312076826666229E-5</v>
      </c>
      <c r="BL10" s="57">
        <v>2.5174852940345309E-5</v>
      </c>
      <c r="BM10" s="57">
        <v>3.0857349916738478E-3</v>
      </c>
      <c r="BN10" s="57">
        <v>8.2591075838332681E-3</v>
      </c>
      <c r="BO10" s="57">
        <v>9.0817386873529651E-3</v>
      </c>
      <c r="BP10" s="57">
        <v>3.01992912270071E-3</v>
      </c>
      <c r="BQ10" s="57">
        <v>1.1071725686325388E-4</v>
      </c>
      <c r="BR10" s="57">
        <v>0</v>
      </c>
      <c r="BS10" s="57">
        <v>0</v>
      </c>
      <c r="BT10" s="57">
        <v>1.9865199236863626E-3</v>
      </c>
    </row>
    <row r="11" spans="1:72">
      <c r="A11" s="38">
        <v>5</v>
      </c>
      <c r="B11" s="65" t="s">
        <v>188</v>
      </c>
      <c r="C11" s="39" t="s">
        <v>187</v>
      </c>
      <c r="D11" s="57">
        <v>0</v>
      </c>
      <c r="E11" s="57">
        <v>0</v>
      </c>
      <c r="F11" s="57">
        <v>0</v>
      </c>
      <c r="G11" s="57">
        <v>0</v>
      </c>
      <c r="H11" s="57">
        <v>3.2723002785128548E-3</v>
      </c>
      <c r="I11" s="57">
        <v>0</v>
      </c>
      <c r="J11" s="57">
        <v>0</v>
      </c>
      <c r="K11" s="57">
        <v>0</v>
      </c>
      <c r="L11" s="57">
        <v>0</v>
      </c>
      <c r="M11" s="57">
        <v>0</v>
      </c>
      <c r="N11" s="57">
        <v>0</v>
      </c>
      <c r="O11" s="57">
        <v>0</v>
      </c>
      <c r="P11" s="57">
        <v>0</v>
      </c>
      <c r="Q11" s="57">
        <v>0</v>
      </c>
      <c r="R11" s="57">
        <v>0</v>
      </c>
      <c r="S11" s="57">
        <v>0</v>
      </c>
      <c r="T11" s="57">
        <v>0</v>
      </c>
      <c r="U11" s="57">
        <v>0</v>
      </c>
      <c r="V11" s="57">
        <v>0</v>
      </c>
      <c r="W11" s="57">
        <v>0.11692132819904115</v>
      </c>
      <c r="X11" s="57">
        <v>1.5151952525729661E-5</v>
      </c>
      <c r="Y11" s="57">
        <v>0</v>
      </c>
      <c r="Z11" s="57">
        <v>4.530658248508953E-5</v>
      </c>
      <c r="AA11" s="57">
        <v>0</v>
      </c>
      <c r="AB11" s="57">
        <v>0</v>
      </c>
      <c r="AC11" s="57">
        <v>0</v>
      </c>
      <c r="AD11" s="57">
        <v>0</v>
      </c>
      <c r="AE11" s="57">
        <v>0</v>
      </c>
      <c r="AF11" s="57">
        <v>0</v>
      </c>
      <c r="AG11" s="57">
        <v>0</v>
      </c>
      <c r="AH11" s="57">
        <v>0</v>
      </c>
      <c r="AI11" s="57">
        <v>0</v>
      </c>
      <c r="AJ11" s="57">
        <v>0</v>
      </c>
      <c r="AK11" s="57">
        <v>0</v>
      </c>
      <c r="AL11" s="57">
        <v>0</v>
      </c>
      <c r="AM11" s="57">
        <v>0</v>
      </c>
      <c r="AN11" s="57">
        <v>0</v>
      </c>
      <c r="AO11" s="57">
        <v>0</v>
      </c>
      <c r="AP11" s="57">
        <v>0</v>
      </c>
      <c r="AQ11" s="57">
        <v>0</v>
      </c>
      <c r="AR11" s="57">
        <v>0</v>
      </c>
      <c r="AS11" s="57">
        <v>0</v>
      </c>
      <c r="AT11" s="57">
        <v>0</v>
      </c>
      <c r="AU11" s="57">
        <v>0</v>
      </c>
      <c r="AV11" s="57">
        <v>0</v>
      </c>
      <c r="AW11" s="57">
        <v>0</v>
      </c>
      <c r="AX11" s="57">
        <v>0</v>
      </c>
      <c r="AY11" s="57">
        <v>0</v>
      </c>
      <c r="AZ11" s="57">
        <v>0</v>
      </c>
      <c r="BA11" s="57">
        <v>0</v>
      </c>
      <c r="BB11" s="57">
        <v>0</v>
      </c>
      <c r="BC11" s="57">
        <v>0</v>
      </c>
      <c r="BD11" s="57">
        <v>0</v>
      </c>
      <c r="BE11" s="57">
        <v>0</v>
      </c>
      <c r="BF11" s="57">
        <v>0</v>
      </c>
      <c r="BG11" s="57">
        <v>0</v>
      </c>
      <c r="BH11" s="57">
        <v>0</v>
      </c>
      <c r="BI11" s="57">
        <v>0</v>
      </c>
      <c r="BJ11" s="57">
        <v>0</v>
      </c>
      <c r="BK11" s="57">
        <v>0</v>
      </c>
      <c r="BL11" s="57">
        <v>0</v>
      </c>
      <c r="BM11" s="57">
        <v>0</v>
      </c>
      <c r="BN11" s="57">
        <v>0</v>
      </c>
      <c r="BO11" s="57">
        <v>0</v>
      </c>
      <c r="BP11" s="57">
        <v>0</v>
      </c>
      <c r="BQ11" s="57">
        <v>0</v>
      </c>
      <c r="BR11" s="57">
        <v>0</v>
      </c>
      <c r="BS11" s="57">
        <v>0</v>
      </c>
      <c r="BT11" s="57">
        <v>1.1154462784663689E-3</v>
      </c>
    </row>
    <row r="12" spans="1:72" ht="22.5">
      <c r="A12" s="38">
        <v>6</v>
      </c>
      <c r="B12" s="65" t="s">
        <v>186</v>
      </c>
      <c r="C12" s="39" t="s">
        <v>185</v>
      </c>
      <c r="D12" s="57">
        <v>5.5407660537432056E-5</v>
      </c>
      <c r="E12" s="57">
        <v>0</v>
      </c>
      <c r="F12" s="57">
        <v>0</v>
      </c>
      <c r="G12" s="57">
        <v>0</v>
      </c>
      <c r="H12" s="57">
        <v>8.725866721964636E-4</v>
      </c>
      <c r="I12" s="57">
        <v>8.2223475284672585E-4</v>
      </c>
      <c r="J12" s="57">
        <v>3.1099627298861914E-4</v>
      </c>
      <c r="K12" s="57">
        <v>7.9855493698539387E-8</v>
      </c>
      <c r="L12" s="57">
        <v>2.1351750251428731E-5</v>
      </c>
      <c r="M12" s="57">
        <v>4.9903858636134754E-4</v>
      </c>
      <c r="N12" s="57">
        <v>1.604691593037791E-4</v>
      </c>
      <c r="O12" s="57">
        <v>0</v>
      </c>
      <c r="P12" s="57">
        <v>1.3093652150788849E-6</v>
      </c>
      <c r="Q12" s="57">
        <v>4.7548148000891242E-7</v>
      </c>
      <c r="R12" s="57">
        <v>2.2544032954540886E-6</v>
      </c>
      <c r="S12" s="57">
        <v>0</v>
      </c>
      <c r="T12" s="57">
        <v>7.2293246832167018E-5</v>
      </c>
      <c r="U12" s="57">
        <v>0</v>
      </c>
      <c r="V12" s="57">
        <v>0</v>
      </c>
      <c r="W12" s="57">
        <v>1.6049263424832711E-3</v>
      </c>
      <c r="X12" s="57">
        <v>5.348630737399767E-5</v>
      </c>
      <c r="Y12" s="57">
        <v>6.3051238089676856E-5</v>
      </c>
      <c r="Z12" s="57">
        <v>2.5912892006848043E-8</v>
      </c>
      <c r="AA12" s="57">
        <v>7.2464341699965336E-5</v>
      </c>
      <c r="AB12" s="57">
        <v>6.9704112377799335E-7</v>
      </c>
      <c r="AC12" s="57">
        <v>0</v>
      </c>
      <c r="AD12" s="57">
        <v>4.1065043611882949E-7</v>
      </c>
      <c r="AE12" s="57">
        <v>1.0795000148499107E-8</v>
      </c>
      <c r="AF12" s="57">
        <v>0</v>
      </c>
      <c r="AG12" s="57">
        <v>1.2507232650201559E-6</v>
      </c>
      <c r="AH12" s="57">
        <v>0</v>
      </c>
      <c r="AI12" s="57">
        <v>0</v>
      </c>
      <c r="AJ12" s="57">
        <v>5.2983567584591406E-8</v>
      </c>
      <c r="AK12" s="57">
        <v>3.6111788570050318E-7</v>
      </c>
      <c r="AL12" s="57">
        <v>0</v>
      </c>
      <c r="AM12" s="57">
        <v>0</v>
      </c>
      <c r="AN12" s="57">
        <v>0</v>
      </c>
      <c r="AO12" s="57">
        <v>4.0731503298211662E-6</v>
      </c>
      <c r="AP12" s="57">
        <v>8.3950963783842921E-3</v>
      </c>
      <c r="AQ12" s="57">
        <v>0.21306667117939523</v>
      </c>
      <c r="AR12" s="57">
        <v>5.4937110777553344E-3</v>
      </c>
      <c r="AS12" s="57">
        <v>5.1955566587635404E-5</v>
      </c>
      <c r="AT12" s="57">
        <v>3.8304042946653312E-6</v>
      </c>
      <c r="AU12" s="57">
        <v>0</v>
      </c>
      <c r="AV12" s="57">
        <v>5.0421162016296286E-6</v>
      </c>
      <c r="AW12" s="57">
        <v>2.3849638463461569E-6</v>
      </c>
      <c r="AX12" s="57">
        <v>4.4862004587524372E-3</v>
      </c>
      <c r="AY12" s="57">
        <v>0</v>
      </c>
      <c r="AZ12" s="57">
        <v>0</v>
      </c>
      <c r="BA12" s="57">
        <v>1.8482101229687891E-5</v>
      </c>
      <c r="BB12" s="57">
        <v>0</v>
      </c>
      <c r="BC12" s="57">
        <v>3.1239629862178951E-4</v>
      </c>
      <c r="BD12" s="57">
        <v>6.488176613822982E-7</v>
      </c>
      <c r="BE12" s="57">
        <v>0</v>
      </c>
      <c r="BF12" s="57">
        <v>0</v>
      </c>
      <c r="BG12" s="57">
        <v>0</v>
      </c>
      <c r="BH12" s="57">
        <v>0</v>
      </c>
      <c r="BI12" s="57">
        <v>0</v>
      </c>
      <c r="BJ12" s="57">
        <v>3.0587043829932888E-4</v>
      </c>
      <c r="BK12" s="57">
        <v>5.9838506716996171E-7</v>
      </c>
      <c r="BL12" s="57">
        <v>3.776367876695872E-5</v>
      </c>
      <c r="BM12" s="57">
        <v>0</v>
      </c>
      <c r="BN12" s="57">
        <v>0</v>
      </c>
      <c r="BO12" s="57">
        <v>0</v>
      </c>
      <c r="BP12" s="57">
        <v>0</v>
      </c>
      <c r="BQ12" s="57">
        <v>0</v>
      </c>
      <c r="BR12" s="57">
        <v>0</v>
      </c>
      <c r="BS12" s="57">
        <v>0</v>
      </c>
      <c r="BT12" s="57">
        <v>6.787579894636628E-4</v>
      </c>
    </row>
    <row r="13" spans="1:72">
      <c r="A13" s="38">
        <v>7</v>
      </c>
      <c r="B13" s="65" t="s">
        <v>184</v>
      </c>
      <c r="C13" s="39" t="s">
        <v>183</v>
      </c>
      <c r="D13" s="57">
        <v>0</v>
      </c>
      <c r="E13" s="57">
        <v>0</v>
      </c>
      <c r="F13" s="57">
        <v>0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57">
        <v>0</v>
      </c>
      <c r="M13" s="57">
        <v>0</v>
      </c>
      <c r="N13" s="57">
        <v>0</v>
      </c>
      <c r="O13" s="57">
        <v>0</v>
      </c>
      <c r="P13" s="57">
        <v>0</v>
      </c>
      <c r="Q13" s="57">
        <v>0</v>
      </c>
      <c r="R13" s="57">
        <v>0</v>
      </c>
      <c r="S13" s="57">
        <v>0</v>
      </c>
      <c r="T13" s="57">
        <v>0</v>
      </c>
      <c r="U13" s="57">
        <v>0</v>
      </c>
      <c r="V13" s="57">
        <v>0</v>
      </c>
      <c r="W13" s="57">
        <v>0</v>
      </c>
      <c r="X13" s="57">
        <v>0</v>
      </c>
      <c r="Y13" s="57">
        <v>0</v>
      </c>
      <c r="Z13" s="57">
        <v>0</v>
      </c>
      <c r="AA13" s="57">
        <v>0</v>
      </c>
      <c r="AB13" s="57">
        <v>0.11592111985072409</v>
      </c>
      <c r="AC13" s="57">
        <v>0</v>
      </c>
      <c r="AD13" s="57">
        <v>0</v>
      </c>
      <c r="AE13" s="57">
        <v>0</v>
      </c>
      <c r="AF13" s="57">
        <v>0</v>
      </c>
      <c r="AG13" s="57">
        <v>0</v>
      </c>
      <c r="AH13" s="57">
        <v>0</v>
      </c>
      <c r="AI13" s="57">
        <v>0</v>
      </c>
      <c r="AJ13" s="57">
        <v>0</v>
      </c>
      <c r="AK13" s="57">
        <v>0</v>
      </c>
      <c r="AL13" s="57">
        <v>0</v>
      </c>
      <c r="AM13" s="57">
        <v>0</v>
      </c>
      <c r="AN13" s="57">
        <v>0</v>
      </c>
      <c r="AO13" s="57">
        <v>0</v>
      </c>
      <c r="AP13" s="57">
        <v>0</v>
      </c>
      <c r="AQ13" s="57">
        <v>0</v>
      </c>
      <c r="AR13" s="57">
        <v>0</v>
      </c>
      <c r="AS13" s="57">
        <v>0</v>
      </c>
      <c r="AT13" s="57">
        <v>0</v>
      </c>
      <c r="AU13" s="57">
        <v>0</v>
      </c>
      <c r="AV13" s="57">
        <v>0</v>
      </c>
      <c r="AW13" s="57">
        <v>0</v>
      </c>
      <c r="AX13" s="57">
        <v>0</v>
      </c>
      <c r="AY13" s="57">
        <v>0</v>
      </c>
      <c r="AZ13" s="57">
        <v>0</v>
      </c>
      <c r="BA13" s="57">
        <v>0</v>
      </c>
      <c r="BB13" s="57">
        <v>0</v>
      </c>
      <c r="BC13" s="57">
        <v>0</v>
      </c>
      <c r="BD13" s="57">
        <v>0</v>
      </c>
      <c r="BE13" s="57">
        <v>0</v>
      </c>
      <c r="BF13" s="57">
        <v>0</v>
      </c>
      <c r="BG13" s="57">
        <v>0</v>
      </c>
      <c r="BH13" s="57">
        <v>0</v>
      </c>
      <c r="BI13" s="57">
        <v>0</v>
      </c>
      <c r="BJ13" s="57">
        <v>0</v>
      </c>
      <c r="BK13" s="57">
        <v>0</v>
      </c>
      <c r="BL13" s="57">
        <v>0</v>
      </c>
      <c r="BM13" s="57">
        <v>0</v>
      </c>
      <c r="BN13" s="57">
        <v>0</v>
      </c>
      <c r="BO13" s="57">
        <v>0</v>
      </c>
      <c r="BP13" s="57">
        <v>0</v>
      </c>
      <c r="BQ13" s="57">
        <v>0</v>
      </c>
      <c r="BR13" s="57">
        <v>0</v>
      </c>
      <c r="BS13" s="57">
        <v>0</v>
      </c>
      <c r="BT13" s="57">
        <v>2.325269555180056E-3</v>
      </c>
    </row>
    <row r="14" spans="1:72">
      <c r="A14" s="38">
        <v>8</v>
      </c>
      <c r="B14" s="65" t="s">
        <v>182</v>
      </c>
      <c r="C14" s="39" t="s">
        <v>181</v>
      </c>
      <c r="D14" s="57">
        <v>0</v>
      </c>
      <c r="E14" s="57">
        <v>0</v>
      </c>
      <c r="F14" s="57">
        <v>0</v>
      </c>
      <c r="G14" s="57">
        <v>0</v>
      </c>
      <c r="H14" s="57">
        <v>0</v>
      </c>
      <c r="I14" s="57">
        <v>0</v>
      </c>
      <c r="J14" s="57">
        <v>0</v>
      </c>
      <c r="K14" s="57">
        <v>2.7424936434244526E-2</v>
      </c>
      <c r="L14" s="57">
        <v>0</v>
      </c>
      <c r="M14" s="57">
        <v>0</v>
      </c>
      <c r="N14" s="57">
        <v>0</v>
      </c>
      <c r="O14" s="57">
        <v>0</v>
      </c>
      <c r="P14" s="57">
        <v>0</v>
      </c>
      <c r="Q14" s="57">
        <v>0</v>
      </c>
      <c r="R14" s="57">
        <v>0</v>
      </c>
      <c r="S14" s="57">
        <v>0</v>
      </c>
      <c r="T14" s="57">
        <v>0</v>
      </c>
      <c r="U14" s="57">
        <v>0</v>
      </c>
      <c r="V14" s="57">
        <v>0</v>
      </c>
      <c r="W14" s="57">
        <v>0</v>
      </c>
      <c r="X14" s="57">
        <v>0.11327006766595667</v>
      </c>
      <c r="Y14" s="57">
        <v>0</v>
      </c>
      <c r="Z14" s="57">
        <v>0</v>
      </c>
      <c r="AA14" s="57">
        <v>0</v>
      </c>
      <c r="AB14" s="57">
        <v>4.431467013608241E-2</v>
      </c>
      <c r="AC14" s="57">
        <v>0</v>
      </c>
      <c r="AD14" s="57">
        <v>0</v>
      </c>
      <c r="AE14" s="57">
        <v>0.50520587627885161</v>
      </c>
      <c r="AF14" s="57">
        <v>0</v>
      </c>
      <c r="AG14" s="57">
        <v>0</v>
      </c>
      <c r="AH14" s="57">
        <v>0</v>
      </c>
      <c r="AI14" s="57">
        <v>0</v>
      </c>
      <c r="AJ14" s="57">
        <v>0</v>
      </c>
      <c r="AK14" s="57">
        <v>0</v>
      </c>
      <c r="AL14" s="57">
        <v>0</v>
      </c>
      <c r="AM14" s="57">
        <v>0</v>
      </c>
      <c r="AN14" s="57">
        <v>0</v>
      </c>
      <c r="AO14" s="57">
        <v>0</v>
      </c>
      <c r="AP14" s="57">
        <v>0</v>
      </c>
      <c r="AQ14" s="57">
        <v>0</v>
      </c>
      <c r="AR14" s="57">
        <v>0</v>
      </c>
      <c r="AS14" s="57">
        <v>0</v>
      </c>
      <c r="AT14" s="57">
        <v>0</v>
      </c>
      <c r="AU14" s="57">
        <v>0</v>
      </c>
      <c r="AV14" s="57">
        <v>0</v>
      </c>
      <c r="AW14" s="57">
        <v>0</v>
      </c>
      <c r="AX14" s="57">
        <v>0</v>
      </c>
      <c r="AY14" s="57">
        <v>0</v>
      </c>
      <c r="AZ14" s="57">
        <v>0</v>
      </c>
      <c r="BA14" s="57">
        <v>0</v>
      </c>
      <c r="BB14" s="57">
        <v>0</v>
      </c>
      <c r="BC14" s="57">
        <v>0</v>
      </c>
      <c r="BD14" s="57">
        <v>0</v>
      </c>
      <c r="BE14" s="57">
        <v>0</v>
      </c>
      <c r="BF14" s="57">
        <v>0</v>
      </c>
      <c r="BG14" s="57">
        <v>0</v>
      </c>
      <c r="BH14" s="57">
        <v>0</v>
      </c>
      <c r="BI14" s="57">
        <v>0</v>
      </c>
      <c r="BJ14" s="57">
        <v>0</v>
      </c>
      <c r="BK14" s="57">
        <v>0</v>
      </c>
      <c r="BL14" s="57">
        <v>0</v>
      </c>
      <c r="BM14" s="57">
        <v>0</v>
      </c>
      <c r="BN14" s="57">
        <v>0</v>
      </c>
      <c r="BO14" s="57">
        <v>0</v>
      </c>
      <c r="BP14" s="57">
        <v>0</v>
      </c>
      <c r="BQ14" s="57">
        <v>0</v>
      </c>
      <c r="BR14" s="57">
        <v>0</v>
      </c>
      <c r="BS14" s="57">
        <v>0</v>
      </c>
      <c r="BT14" s="57">
        <v>2.428544512302144E-2</v>
      </c>
    </row>
    <row r="15" spans="1:72" ht="22.5">
      <c r="A15" s="38">
        <v>9</v>
      </c>
      <c r="B15" s="65" t="s">
        <v>102</v>
      </c>
      <c r="C15" s="39" t="s">
        <v>180</v>
      </c>
      <c r="D15" s="57">
        <v>1.8543259081468591E-4</v>
      </c>
      <c r="E15" s="57">
        <v>2.6741515482823205E-6</v>
      </c>
      <c r="F15" s="57">
        <v>6.5748723779375797E-5</v>
      </c>
      <c r="G15" s="57">
        <v>0</v>
      </c>
      <c r="H15" s="57">
        <v>3.7479732209964988E-3</v>
      </c>
      <c r="I15" s="57">
        <v>3.5390623257620765E-3</v>
      </c>
      <c r="J15" s="57">
        <v>0</v>
      </c>
      <c r="K15" s="57">
        <v>1.4340666155997012E-7</v>
      </c>
      <c r="L15" s="57">
        <v>1.9456895329864742E-2</v>
      </c>
      <c r="M15" s="57">
        <v>4.7410546445741773E-4</v>
      </c>
      <c r="N15" s="57">
        <v>6.0386401256909517E-6</v>
      </c>
      <c r="O15" s="57">
        <v>0</v>
      </c>
      <c r="P15" s="57">
        <v>0</v>
      </c>
      <c r="Q15" s="57">
        <v>0</v>
      </c>
      <c r="R15" s="57">
        <v>0</v>
      </c>
      <c r="S15" s="57">
        <v>0</v>
      </c>
      <c r="T15" s="57">
        <v>2.322230140931279E-3</v>
      </c>
      <c r="U15" s="57">
        <v>0</v>
      </c>
      <c r="V15" s="57">
        <v>0</v>
      </c>
      <c r="W15" s="57">
        <v>2.1945714919371723E-8</v>
      </c>
      <c r="X15" s="57">
        <v>6.1277557019613991E-3</v>
      </c>
      <c r="Y15" s="57">
        <v>3.7548270837463676E-5</v>
      </c>
      <c r="Z15" s="57">
        <v>2.5033842342420386E-4</v>
      </c>
      <c r="AA15" s="57">
        <v>4.2208958045570844E-2</v>
      </c>
      <c r="AB15" s="57">
        <v>7.0529017308318788E-4</v>
      </c>
      <c r="AC15" s="57">
        <v>1.0708213837391739E-7</v>
      </c>
      <c r="AD15" s="57">
        <v>6.0864261067612231E-7</v>
      </c>
      <c r="AE15" s="57">
        <v>1.9842238368193594E-7</v>
      </c>
      <c r="AF15" s="57">
        <v>0</v>
      </c>
      <c r="AG15" s="57">
        <v>0</v>
      </c>
      <c r="AH15" s="57">
        <v>0</v>
      </c>
      <c r="AI15" s="57">
        <v>3.0336980824543424E-8</v>
      </c>
      <c r="AJ15" s="57">
        <v>4.3591026058232024E-8</v>
      </c>
      <c r="AK15" s="57">
        <v>1.2293133470286238E-6</v>
      </c>
      <c r="AL15" s="57">
        <v>1.2365935944947157E-6</v>
      </c>
      <c r="AM15" s="57">
        <v>0</v>
      </c>
      <c r="AN15" s="57">
        <v>7.4894683696103792E-4</v>
      </c>
      <c r="AO15" s="57">
        <v>0</v>
      </c>
      <c r="AP15" s="57">
        <v>1.5144408592697374E-4</v>
      </c>
      <c r="AQ15" s="57">
        <v>0</v>
      </c>
      <c r="AR15" s="57">
        <v>2.7210951485672201E-4</v>
      </c>
      <c r="AS15" s="57">
        <v>6.8603448149499489E-4</v>
      </c>
      <c r="AT15" s="57">
        <v>5.0520202315514299E-3</v>
      </c>
      <c r="AU15" s="57">
        <v>0</v>
      </c>
      <c r="AV15" s="57">
        <v>0</v>
      </c>
      <c r="AW15" s="57">
        <v>0</v>
      </c>
      <c r="AX15" s="57">
        <v>0</v>
      </c>
      <c r="AY15" s="57">
        <v>0</v>
      </c>
      <c r="AZ15" s="57">
        <v>0</v>
      </c>
      <c r="BA15" s="57">
        <v>0</v>
      </c>
      <c r="BB15" s="57">
        <v>0</v>
      </c>
      <c r="BC15" s="57">
        <v>0</v>
      </c>
      <c r="BD15" s="57">
        <v>0</v>
      </c>
      <c r="BE15" s="57">
        <v>0</v>
      </c>
      <c r="BF15" s="57">
        <v>0</v>
      </c>
      <c r="BG15" s="57">
        <v>0</v>
      </c>
      <c r="BH15" s="57">
        <v>0</v>
      </c>
      <c r="BI15" s="57">
        <v>0</v>
      </c>
      <c r="BJ15" s="57">
        <v>0</v>
      </c>
      <c r="BK15" s="57">
        <v>5.8297385616833954E-4</v>
      </c>
      <c r="BL15" s="57">
        <v>1.690713215997168E-4</v>
      </c>
      <c r="BM15" s="57">
        <v>1.0853016266402444E-5</v>
      </c>
      <c r="BN15" s="57">
        <v>2.5319439799806868E-4</v>
      </c>
      <c r="BO15" s="57">
        <v>8.0611655634377406E-4</v>
      </c>
      <c r="BP15" s="57">
        <v>3.4355363472960523E-5</v>
      </c>
      <c r="BQ15" s="57">
        <v>1.4647338050708546E-3</v>
      </c>
      <c r="BR15" s="57">
        <v>0</v>
      </c>
      <c r="BS15" s="57">
        <v>0</v>
      </c>
      <c r="BT15" s="57">
        <v>1.2587185050753167E-3</v>
      </c>
    </row>
    <row r="16" spans="1:72" ht="22.5">
      <c r="A16" s="38">
        <v>10</v>
      </c>
      <c r="B16" s="65" t="s">
        <v>86</v>
      </c>
      <c r="C16" s="39" t="s">
        <v>85</v>
      </c>
      <c r="D16" s="57">
        <v>0</v>
      </c>
      <c r="E16" s="57">
        <v>0</v>
      </c>
      <c r="F16" s="57">
        <v>0</v>
      </c>
      <c r="G16" s="57">
        <v>0.12462939872111845</v>
      </c>
      <c r="H16" s="57">
        <v>4.374663270524972E-2</v>
      </c>
      <c r="I16" s="57">
        <v>4.1149518186363601E-2</v>
      </c>
      <c r="J16" s="57">
        <v>2.647061748083478E-2</v>
      </c>
      <c r="K16" s="57">
        <v>1.0450090436697692E-2</v>
      </c>
      <c r="L16" s="57">
        <v>0.13649919808234262</v>
      </c>
      <c r="M16" s="57">
        <v>0</v>
      </c>
      <c r="N16" s="57">
        <v>0</v>
      </c>
      <c r="O16" s="57">
        <v>0</v>
      </c>
      <c r="P16" s="57">
        <v>0</v>
      </c>
      <c r="Q16" s="57">
        <v>0</v>
      </c>
      <c r="R16" s="57">
        <v>0</v>
      </c>
      <c r="S16" s="57">
        <v>0</v>
      </c>
      <c r="T16" s="57">
        <v>0</v>
      </c>
      <c r="U16" s="57">
        <v>0</v>
      </c>
      <c r="V16" s="57">
        <v>0</v>
      </c>
      <c r="W16" s="57">
        <v>0</v>
      </c>
      <c r="X16" s="57">
        <v>0</v>
      </c>
      <c r="Y16" s="57">
        <v>0</v>
      </c>
      <c r="Z16" s="57">
        <v>0</v>
      </c>
      <c r="AA16" s="57">
        <v>0</v>
      </c>
      <c r="AB16" s="57">
        <v>0</v>
      </c>
      <c r="AC16" s="57">
        <v>0</v>
      </c>
      <c r="AD16" s="57">
        <v>0</v>
      </c>
      <c r="AE16" s="57">
        <v>0</v>
      </c>
      <c r="AF16" s="57">
        <v>0</v>
      </c>
      <c r="AG16" s="57">
        <v>0</v>
      </c>
      <c r="AH16" s="57">
        <v>0</v>
      </c>
      <c r="AI16" s="57">
        <v>0</v>
      </c>
      <c r="AJ16" s="57">
        <v>0</v>
      </c>
      <c r="AK16" s="57">
        <v>0</v>
      </c>
      <c r="AL16" s="57">
        <v>0</v>
      </c>
      <c r="AM16" s="57">
        <v>0</v>
      </c>
      <c r="AN16" s="57">
        <v>0</v>
      </c>
      <c r="AO16" s="57">
        <v>0</v>
      </c>
      <c r="AP16" s="57">
        <v>0</v>
      </c>
      <c r="AQ16" s="57">
        <v>0</v>
      </c>
      <c r="AR16" s="57">
        <v>0</v>
      </c>
      <c r="AS16" s="57">
        <v>0</v>
      </c>
      <c r="AT16" s="57">
        <v>0</v>
      </c>
      <c r="AU16" s="57">
        <v>0</v>
      </c>
      <c r="AV16" s="57">
        <v>0</v>
      </c>
      <c r="AW16" s="57">
        <v>0</v>
      </c>
      <c r="AX16" s="57">
        <v>0</v>
      </c>
      <c r="AY16" s="57">
        <v>0</v>
      </c>
      <c r="AZ16" s="57">
        <v>0</v>
      </c>
      <c r="BA16" s="57">
        <v>0</v>
      </c>
      <c r="BB16" s="57">
        <v>0</v>
      </c>
      <c r="BC16" s="57">
        <v>0</v>
      </c>
      <c r="BD16" s="57">
        <v>0</v>
      </c>
      <c r="BE16" s="57">
        <v>0</v>
      </c>
      <c r="BF16" s="57">
        <v>0</v>
      </c>
      <c r="BG16" s="57">
        <v>0</v>
      </c>
      <c r="BH16" s="57">
        <v>0</v>
      </c>
      <c r="BI16" s="57">
        <v>0</v>
      </c>
      <c r="BJ16" s="57">
        <v>0</v>
      </c>
      <c r="BK16" s="57">
        <v>0</v>
      </c>
      <c r="BL16" s="57">
        <v>0</v>
      </c>
      <c r="BM16" s="57">
        <v>0</v>
      </c>
      <c r="BN16" s="57">
        <v>0</v>
      </c>
      <c r="BO16" s="57">
        <v>0</v>
      </c>
      <c r="BP16" s="57">
        <v>0</v>
      </c>
      <c r="BQ16" s="57">
        <v>0</v>
      </c>
      <c r="BR16" s="57">
        <v>0</v>
      </c>
      <c r="BS16" s="57">
        <v>0</v>
      </c>
      <c r="BT16" s="57">
        <v>4.3768083926022531E-3</v>
      </c>
    </row>
    <row r="17" spans="1:72">
      <c r="A17" s="38">
        <v>11</v>
      </c>
      <c r="B17" s="65" t="s">
        <v>179</v>
      </c>
      <c r="C17" s="39" t="s">
        <v>178</v>
      </c>
      <c r="D17" s="57">
        <v>2.0825652707984404E-2</v>
      </c>
      <c r="E17" s="57">
        <v>0</v>
      </c>
      <c r="F17" s="57">
        <v>1.0790810474576194E-2</v>
      </c>
      <c r="G17" s="57">
        <v>1.058722747003689E-4</v>
      </c>
      <c r="H17" s="57">
        <v>6.0384785496788656E-5</v>
      </c>
      <c r="I17" s="57">
        <v>4.0654215678189664E-5</v>
      </c>
      <c r="J17" s="57">
        <v>2.3782319942529491E-5</v>
      </c>
      <c r="K17" s="57">
        <v>5.0235175029941071E-6</v>
      </c>
      <c r="L17" s="57">
        <v>1.8802721510563659E-6</v>
      </c>
      <c r="M17" s="57">
        <v>9.6981665830745187E-7</v>
      </c>
      <c r="N17" s="57">
        <v>4.1972030802887743E-2</v>
      </c>
      <c r="O17" s="57">
        <v>0</v>
      </c>
      <c r="P17" s="57">
        <v>1.7117043914695051E-3</v>
      </c>
      <c r="Q17" s="57">
        <v>0</v>
      </c>
      <c r="R17" s="57">
        <v>9.7067043009437881E-4</v>
      </c>
      <c r="S17" s="57">
        <v>0</v>
      </c>
      <c r="T17" s="57">
        <v>4.8762794983277686E-4</v>
      </c>
      <c r="U17" s="57">
        <v>0</v>
      </c>
      <c r="V17" s="57">
        <v>0</v>
      </c>
      <c r="W17" s="57">
        <v>1.7808947657070154E-6</v>
      </c>
      <c r="X17" s="57">
        <v>7.1715558476725672E-3</v>
      </c>
      <c r="Y17" s="57">
        <v>1.8524971285346869E-2</v>
      </c>
      <c r="Z17" s="57">
        <v>3.0131269775404704E-9</v>
      </c>
      <c r="AA17" s="57">
        <v>3.3396151685177247E-7</v>
      </c>
      <c r="AB17" s="57">
        <v>1.7656291305742715E-6</v>
      </c>
      <c r="AC17" s="57">
        <v>1.8924770156500833E-5</v>
      </c>
      <c r="AD17" s="57">
        <v>7.6483643727132003E-6</v>
      </c>
      <c r="AE17" s="57">
        <v>2.4681482720477908E-6</v>
      </c>
      <c r="AF17" s="57">
        <v>1.0456314285347233E-5</v>
      </c>
      <c r="AG17" s="57">
        <v>5.6024994009232342E-6</v>
      </c>
      <c r="AH17" s="57">
        <v>0</v>
      </c>
      <c r="AI17" s="57">
        <v>9.7861228466269107E-9</v>
      </c>
      <c r="AJ17" s="57">
        <v>0</v>
      </c>
      <c r="AK17" s="57">
        <v>0</v>
      </c>
      <c r="AL17" s="57">
        <v>6.9259951593496882E-7</v>
      </c>
      <c r="AM17" s="57">
        <v>2.4669219434315732E-6</v>
      </c>
      <c r="AN17" s="57">
        <v>0</v>
      </c>
      <c r="AO17" s="57">
        <v>1.7358750616710037E-6</v>
      </c>
      <c r="AP17" s="57">
        <v>1.5048106385011953E-6</v>
      </c>
      <c r="AQ17" s="57">
        <v>2.5018657171645868E-7</v>
      </c>
      <c r="AR17" s="57">
        <v>1.0053824584102105E-6</v>
      </c>
      <c r="AS17" s="57">
        <v>1.2737068574005553E-4</v>
      </c>
      <c r="AT17" s="57">
        <v>3.2047846140971061E-6</v>
      </c>
      <c r="AU17" s="57">
        <v>1.2095845268072931E-5</v>
      </c>
      <c r="AV17" s="57">
        <v>1.2624525308346323E-5</v>
      </c>
      <c r="AW17" s="57">
        <v>5.1290082261276823E-5</v>
      </c>
      <c r="AX17" s="57">
        <v>1.7296612601009805E-6</v>
      </c>
      <c r="AY17" s="57">
        <v>5.6380679578310903E-4</v>
      </c>
      <c r="AZ17" s="57">
        <v>5.4806121162350582E-7</v>
      </c>
      <c r="BA17" s="57">
        <v>4.189027226553347E-5</v>
      </c>
      <c r="BB17" s="57">
        <v>0</v>
      </c>
      <c r="BC17" s="57">
        <v>2.5619498405937927E-2</v>
      </c>
      <c r="BD17" s="57">
        <v>0.14311396894606287</v>
      </c>
      <c r="BE17" s="57">
        <v>1.288938610226802E-4</v>
      </c>
      <c r="BF17" s="57">
        <v>0</v>
      </c>
      <c r="BG17" s="57">
        <v>4.5373569160445477E-3</v>
      </c>
      <c r="BH17" s="57">
        <v>0</v>
      </c>
      <c r="BI17" s="57">
        <v>8.9931547097986689E-7</v>
      </c>
      <c r="BJ17" s="57">
        <v>1.5572621891169717E-4</v>
      </c>
      <c r="BK17" s="57">
        <v>7.6776111435467084E-3</v>
      </c>
      <c r="BL17" s="57">
        <v>6.6959550146964645E-4</v>
      </c>
      <c r="BM17" s="57">
        <v>1.2725921992060511E-3</v>
      </c>
      <c r="BN17" s="57">
        <v>1.7650861643718204E-2</v>
      </c>
      <c r="BO17" s="57">
        <v>1.4233145527836924E-2</v>
      </c>
      <c r="BP17" s="57">
        <v>2.5638368493576556E-2</v>
      </c>
      <c r="BQ17" s="57">
        <v>1.0232929260390159E-2</v>
      </c>
      <c r="BR17" s="57">
        <v>4.8095589049126743E-5</v>
      </c>
      <c r="BS17" s="57">
        <v>0</v>
      </c>
      <c r="BT17" s="57">
        <v>5.7037096672459793E-3</v>
      </c>
    </row>
    <row r="18" spans="1:72">
      <c r="A18" s="38">
        <v>12</v>
      </c>
      <c r="B18" s="65" t="s">
        <v>84</v>
      </c>
      <c r="C18" s="39" t="s">
        <v>83</v>
      </c>
      <c r="D18" s="57">
        <v>0</v>
      </c>
      <c r="E18" s="57">
        <v>0</v>
      </c>
      <c r="F18" s="57">
        <v>0</v>
      </c>
      <c r="G18" s="57">
        <v>0</v>
      </c>
      <c r="H18" s="57">
        <v>0</v>
      </c>
      <c r="I18" s="57">
        <v>0</v>
      </c>
      <c r="J18" s="57">
        <v>0</v>
      </c>
      <c r="K18" s="57">
        <v>0</v>
      </c>
      <c r="L18" s="57">
        <v>0</v>
      </c>
      <c r="M18" s="57">
        <v>0</v>
      </c>
      <c r="N18" s="57">
        <v>0</v>
      </c>
      <c r="O18" s="57">
        <v>7.2264138066912348E-3</v>
      </c>
      <c r="P18" s="57">
        <v>0</v>
      </c>
      <c r="Q18" s="57">
        <v>0</v>
      </c>
      <c r="R18" s="57">
        <v>0</v>
      </c>
      <c r="S18" s="57">
        <v>0</v>
      </c>
      <c r="T18" s="57">
        <v>0</v>
      </c>
      <c r="U18" s="57">
        <v>0</v>
      </c>
      <c r="V18" s="57">
        <v>0</v>
      </c>
      <c r="W18" s="57">
        <v>0</v>
      </c>
      <c r="X18" s="57">
        <v>0</v>
      </c>
      <c r="Y18" s="57">
        <v>0</v>
      </c>
      <c r="Z18" s="57">
        <v>0</v>
      </c>
      <c r="AA18" s="57">
        <v>0</v>
      </c>
      <c r="AB18" s="57">
        <v>0</v>
      </c>
      <c r="AC18" s="57">
        <v>0</v>
      </c>
      <c r="AD18" s="57">
        <v>0</v>
      </c>
      <c r="AE18" s="57">
        <v>0</v>
      </c>
      <c r="AF18" s="57">
        <v>0</v>
      </c>
      <c r="AG18" s="57">
        <v>0</v>
      </c>
      <c r="AH18" s="57">
        <v>0</v>
      </c>
      <c r="AI18" s="57">
        <v>0</v>
      </c>
      <c r="AJ18" s="57">
        <v>0</v>
      </c>
      <c r="AK18" s="57">
        <v>0</v>
      </c>
      <c r="AL18" s="57">
        <v>0</v>
      </c>
      <c r="AM18" s="57">
        <v>0</v>
      </c>
      <c r="AN18" s="57">
        <v>0</v>
      </c>
      <c r="AO18" s="57">
        <v>0</v>
      </c>
      <c r="AP18" s="57">
        <v>0</v>
      </c>
      <c r="AQ18" s="57">
        <v>0</v>
      </c>
      <c r="AR18" s="57">
        <v>0</v>
      </c>
      <c r="AS18" s="57">
        <v>0</v>
      </c>
      <c r="AT18" s="57">
        <v>0</v>
      </c>
      <c r="AU18" s="57">
        <v>0</v>
      </c>
      <c r="AV18" s="57">
        <v>0</v>
      </c>
      <c r="AW18" s="57">
        <v>0</v>
      </c>
      <c r="AX18" s="57">
        <v>0</v>
      </c>
      <c r="AY18" s="57">
        <v>0</v>
      </c>
      <c r="AZ18" s="57">
        <v>0</v>
      </c>
      <c r="BA18" s="57">
        <v>0</v>
      </c>
      <c r="BB18" s="57">
        <v>0</v>
      </c>
      <c r="BC18" s="57">
        <v>0</v>
      </c>
      <c r="BD18" s="57">
        <v>0</v>
      </c>
      <c r="BE18" s="57">
        <v>0</v>
      </c>
      <c r="BF18" s="57">
        <v>0</v>
      </c>
      <c r="BG18" s="57">
        <v>0</v>
      </c>
      <c r="BH18" s="57">
        <v>0</v>
      </c>
      <c r="BI18" s="57">
        <v>0</v>
      </c>
      <c r="BJ18" s="57">
        <v>0</v>
      </c>
      <c r="BK18" s="57">
        <v>0</v>
      </c>
      <c r="BL18" s="57">
        <v>0</v>
      </c>
      <c r="BM18" s="57">
        <v>0</v>
      </c>
      <c r="BN18" s="57">
        <v>0</v>
      </c>
      <c r="BO18" s="57">
        <v>0</v>
      </c>
      <c r="BP18" s="57">
        <v>0</v>
      </c>
      <c r="BQ18" s="57">
        <v>0</v>
      </c>
      <c r="BR18" s="57">
        <v>0</v>
      </c>
      <c r="BS18" s="57">
        <v>0</v>
      </c>
      <c r="BT18" s="57">
        <v>1.4803141342704089E-5</v>
      </c>
    </row>
    <row r="19" spans="1:72">
      <c r="A19" s="38">
        <v>13</v>
      </c>
      <c r="B19" s="65" t="s">
        <v>101</v>
      </c>
      <c r="C19" s="39" t="s">
        <v>177</v>
      </c>
      <c r="D19" s="57">
        <v>3.9813526223524614E-4</v>
      </c>
      <c r="E19" s="57">
        <v>5.2584790317377218E-4</v>
      </c>
      <c r="F19" s="57">
        <v>8.1891174854364281E-3</v>
      </c>
      <c r="G19" s="57">
        <v>1.7807059487550431E-4</v>
      </c>
      <c r="H19" s="57">
        <v>2.4846648125878426E-4</v>
      </c>
      <c r="I19" s="57">
        <v>2.3278678767865984E-4</v>
      </c>
      <c r="J19" s="57">
        <v>3.9977431847550362E-5</v>
      </c>
      <c r="K19" s="57">
        <v>1.4230344184821832E-5</v>
      </c>
      <c r="L19" s="57">
        <v>1.0581861518161548E-5</v>
      </c>
      <c r="M19" s="57">
        <v>1.7182187592677272E-5</v>
      </c>
      <c r="N19" s="57">
        <v>1.826518767019792E-4</v>
      </c>
      <c r="O19" s="57">
        <v>0</v>
      </c>
      <c r="P19" s="57">
        <v>6.8941186002377905E-2</v>
      </c>
      <c r="Q19" s="57">
        <v>1.5233135693108626E-2</v>
      </c>
      <c r="R19" s="57">
        <v>2.2372876011403893E-3</v>
      </c>
      <c r="S19" s="57">
        <v>0</v>
      </c>
      <c r="T19" s="57">
        <v>0</v>
      </c>
      <c r="U19" s="57">
        <v>0</v>
      </c>
      <c r="V19" s="57">
        <v>0</v>
      </c>
      <c r="W19" s="57">
        <v>3.598565063190168E-4</v>
      </c>
      <c r="X19" s="57">
        <v>2.5944018130177374E-3</v>
      </c>
      <c r="Y19" s="57">
        <v>1.7122026937512743E-4</v>
      </c>
      <c r="Z19" s="57">
        <v>2.5831115740677598E-4</v>
      </c>
      <c r="AA19" s="57">
        <v>1.1947044586163486E-4</v>
      </c>
      <c r="AB19" s="57">
        <v>1.9567163384978648E-6</v>
      </c>
      <c r="AC19" s="57">
        <v>0</v>
      </c>
      <c r="AD19" s="57">
        <v>0</v>
      </c>
      <c r="AE19" s="57">
        <v>9.3484701286002262E-7</v>
      </c>
      <c r="AF19" s="57">
        <v>0</v>
      </c>
      <c r="AG19" s="57">
        <v>5.9613371724699699E-8</v>
      </c>
      <c r="AH19" s="57">
        <v>0</v>
      </c>
      <c r="AI19" s="57">
        <v>3.9144491386507639E-9</v>
      </c>
      <c r="AJ19" s="57">
        <v>2.6788010101973194E-6</v>
      </c>
      <c r="AK19" s="57">
        <v>3.0577787427889655E-3</v>
      </c>
      <c r="AL19" s="57">
        <v>3.7474899710463277E-5</v>
      </c>
      <c r="AM19" s="57">
        <v>8.7978230546011463E-3</v>
      </c>
      <c r="AN19" s="57">
        <v>1.4891514029819354E-5</v>
      </c>
      <c r="AO19" s="57">
        <v>4.0113867315629581E-5</v>
      </c>
      <c r="AP19" s="57">
        <v>1.0415601438730588E-5</v>
      </c>
      <c r="AQ19" s="57">
        <v>0</v>
      </c>
      <c r="AR19" s="57">
        <v>3.3507919687360478E-6</v>
      </c>
      <c r="AS19" s="57">
        <v>2.196711976158832E-7</v>
      </c>
      <c r="AT19" s="57">
        <v>3.3333316746542152E-4</v>
      </c>
      <c r="AU19" s="57">
        <v>0</v>
      </c>
      <c r="AV19" s="57">
        <v>2.5495609906380374E-4</v>
      </c>
      <c r="AW19" s="57">
        <v>3.7488597354203782E-4</v>
      </c>
      <c r="AX19" s="57">
        <v>3.05642204017554E-5</v>
      </c>
      <c r="AY19" s="57">
        <v>1.425042068782844E-2</v>
      </c>
      <c r="AZ19" s="57">
        <v>0</v>
      </c>
      <c r="BA19" s="57">
        <v>1.473687283171569E-4</v>
      </c>
      <c r="BB19" s="57">
        <v>3.1752967909357624E-3</v>
      </c>
      <c r="BC19" s="57">
        <v>3.4233988155037434E-2</v>
      </c>
      <c r="BD19" s="57">
        <v>5.4680954322804617E-5</v>
      </c>
      <c r="BE19" s="57">
        <v>1.6118873901082339E-7</v>
      </c>
      <c r="BF19" s="57">
        <v>0</v>
      </c>
      <c r="BG19" s="57">
        <v>8.594125323080392E-6</v>
      </c>
      <c r="BH19" s="57">
        <v>0</v>
      </c>
      <c r="BI19" s="57">
        <v>0</v>
      </c>
      <c r="BJ19" s="57">
        <v>8.0317822969697744E-5</v>
      </c>
      <c r="BK19" s="57">
        <v>3.9958331245108267E-5</v>
      </c>
      <c r="BL19" s="57">
        <v>1.1005852292273849E-4</v>
      </c>
      <c r="BM19" s="57">
        <v>2.4545583785735635E-3</v>
      </c>
      <c r="BN19" s="57">
        <v>2.2217184777606537E-3</v>
      </c>
      <c r="BO19" s="57">
        <v>6.7649229883037388E-3</v>
      </c>
      <c r="BP19" s="57">
        <v>2.4249168992411137E-2</v>
      </c>
      <c r="BQ19" s="57">
        <v>1.2962948133049263E-2</v>
      </c>
      <c r="BR19" s="57">
        <v>6.6121425260711841E-4</v>
      </c>
      <c r="BS19" s="57">
        <v>0</v>
      </c>
      <c r="BT19" s="57">
        <v>1.2148297588324927E-3</v>
      </c>
    </row>
    <row r="20" spans="1:72">
      <c r="A20" s="38">
        <v>14</v>
      </c>
      <c r="B20" s="65" t="s">
        <v>100</v>
      </c>
      <c r="C20" s="39" t="s">
        <v>82</v>
      </c>
      <c r="D20" s="57">
        <v>1.7346567899178437E-5</v>
      </c>
      <c r="E20" s="57">
        <v>1.0148062285789319E-4</v>
      </c>
      <c r="F20" s="57">
        <v>0</v>
      </c>
      <c r="G20" s="57">
        <v>9.8920055359124709E-5</v>
      </c>
      <c r="H20" s="57">
        <v>1.9826629878211163E-4</v>
      </c>
      <c r="I20" s="57">
        <v>1.865088014256823E-4</v>
      </c>
      <c r="J20" s="57">
        <v>2.9830451476664326E-5</v>
      </c>
      <c r="K20" s="57">
        <v>1.2607528220480129E-5</v>
      </c>
      <c r="L20" s="57">
        <v>1.1310709279808138E-5</v>
      </c>
      <c r="M20" s="57">
        <v>5.5521766220751397E-5</v>
      </c>
      <c r="N20" s="57">
        <v>5.8592709604329809E-6</v>
      </c>
      <c r="O20" s="57">
        <v>0</v>
      </c>
      <c r="P20" s="57">
        <v>6.1704298542831517E-9</v>
      </c>
      <c r="Q20" s="57">
        <v>0</v>
      </c>
      <c r="R20" s="57">
        <v>0</v>
      </c>
      <c r="S20" s="57">
        <v>0</v>
      </c>
      <c r="T20" s="57">
        <v>5.4922004139302194E-7</v>
      </c>
      <c r="U20" s="57">
        <v>0</v>
      </c>
      <c r="V20" s="57">
        <v>3.4350407405963274E-6</v>
      </c>
      <c r="W20" s="57">
        <v>1.041999003657959E-4</v>
      </c>
      <c r="X20" s="57">
        <v>2.058612533721242E-5</v>
      </c>
      <c r="Y20" s="57">
        <v>3.9527228769286655E-4</v>
      </c>
      <c r="Z20" s="57">
        <v>6.2100547007109093E-6</v>
      </c>
      <c r="AA20" s="57">
        <v>1.3241696622946684E-5</v>
      </c>
      <c r="AB20" s="57">
        <v>6.2056456400922697E-7</v>
      </c>
      <c r="AC20" s="57">
        <v>4.58695130049467E-7</v>
      </c>
      <c r="AD20" s="57">
        <v>0</v>
      </c>
      <c r="AE20" s="57">
        <v>5.7007881736597666E-7</v>
      </c>
      <c r="AF20" s="57">
        <v>0</v>
      </c>
      <c r="AG20" s="57">
        <v>3.0061344926028182E-6</v>
      </c>
      <c r="AH20" s="57">
        <v>0</v>
      </c>
      <c r="AI20" s="57">
        <v>1.9425453850554418E-7</v>
      </c>
      <c r="AJ20" s="57">
        <v>6.2327942231328437E-7</v>
      </c>
      <c r="AK20" s="57">
        <v>0</v>
      </c>
      <c r="AL20" s="57">
        <v>1.1082484780108902E-5</v>
      </c>
      <c r="AM20" s="57">
        <v>0</v>
      </c>
      <c r="AN20" s="57">
        <v>0</v>
      </c>
      <c r="AO20" s="57">
        <v>1.2713492126462071E-4</v>
      </c>
      <c r="AP20" s="57">
        <v>5.916167989298774E-5</v>
      </c>
      <c r="AQ20" s="57">
        <v>9.754465211866422E-6</v>
      </c>
      <c r="AR20" s="57">
        <v>3.1691277608331077E-5</v>
      </c>
      <c r="AS20" s="57">
        <v>9.2854349561938019E-5</v>
      </c>
      <c r="AT20" s="57">
        <v>1.4286983812088571E-4</v>
      </c>
      <c r="AU20" s="57">
        <v>2.7575529507655034E-6</v>
      </c>
      <c r="AV20" s="57">
        <v>1.8670971476470718E-6</v>
      </c>
      <c r="AW20" s="57">
        <v>3.4236418598849277E-5</v>
      </c>
      <c r="AX20" s="57">
        <v>9.2034609859924598E-5</v>
      </c>
      <c r="AY20" s="57">
        <v>5.9695899140461965E-5</v>
      </c>
      <c r="AZ20" s="57">
        <v>8.030938819581331E-4</v>
      </c>
      <c r="BA20" s="57">
        <v>1.628454987168349E-4</v>
      </c>
      <c r="BB20" s="57">
        <v>1.2014933470791387E-4</v>
      </c>
      <c r="BC20" s="57">
        <v>9.6474048856947411E-4</v>
      </c>
      <c r="BD20" s="57">
        <v>9.1855614191338919E-6</v>
      </c>
      <c r="BE20" s="57">
        <v>1.6093029293139674E-5</v>
      </c>
      <c r="BF20" s="57">
        <v>2.209624914682559E-5</v>
      </c>
      <c r="BG20" s="57">
        <v>2.6645905351138066E-5</v>
      </c>
      <c r="BH20" s="57">
        <v>6.943006287804586E-5</v>
      </c>
      <c r="BI20" s="57">
        <v>3.1796548032472143E-4</v>
      </c>
      <c r="BJ20" s="57">
        <v>8.4291380792447494E-6</v>
      </c>
      <c r="BK20" s="57">
        <v>7.2716257990053989E-5</v>
      </c>
      <c r="BL20" s="57">
        <v>1.1722094587196348E-3</v>
      </c>
      <c r="BM20" s="57">
        <v>8.1863896743529854E-4</v>
      </c>
      <c r="BN20" s="57">
        <v>1.4110961256487092E-3</v>
      </c>
      <c r="BO20" s="57">
        <v>1.1745551551332345E-3</v>
      </c>
      <c r="BP20" s="57">
        <v>9.4210813446636305E-4</v>
      </c>
      <c r="BQ20" s="57">
        <v>1.1012321779653412E-2</v>
      </c>
      <c r="BR20" s="57">
        <v>4.5520972875552008E-5</v>
      </c>
      <c r="BS20" s="57">
        <v>0</v>
      </c>
      <c r="BT20" s="57">
        <v>2.9716596654013515E-4</v>
      </c>
    </row>
    <row r="21" spans="1:72">
      <c r="A21" s="38">
        <v>15</v>
      </c>
      <c r="B21" s="65" t="s">
        <v>81</v>
      </c>
      <c r="C21" s="39" t="s">
        <v>80</v>
      </c>
      <c r="D21" s="57">
        <v>2.6509801461953706E-7</v>
      </c>
      <c r="E21" s="57">
        <v>3.0169914903697976E-6</v>
      </c>
      <c r="F21" s="57">
        <v>0</v>
      </c>
      <c r="G21" s="57">
        <v>0</v>
      </c>
      <c r="H21" s="57">
        <v>6.4268744275646456E-7</v>
      </c>
      <c r="I21" s="57">
        <v>5.5971176336751279E-7</v>
      </c>
      <c r="J21" s="57">
        <v>0</v>
      </c>
      <c r="K21" s="57">
        <v>3.4084371676992072E-7</v>
      </c>
      <c r="L21" s="57">
        <v>6.2029596735880106E-8</v>
      </c>
      <c r="M21" s="57">
        <v>1.6603717127536002E-6</v>
      </c>
      <c r="N21" s="57">
        <v>0</v>
      </c>
      <c r="O21" s="57">
        <v>0</v>
      </c>
      <c r="P21" s="57">
        <v>0</v>
      </c>
      <c r="Q21" s="57">
        <v>0</v>
      </c>
      <c r="R21" s="57">
        <v>1.4204683143668483E-3</v>
      </c>
      <c r="S21" s="57">
        <v>0</v>
      </c>
      <c r="T21" s="57">
        <v>0</v>
      </c>
      <c r="U21" s="57">
        <v>0</v>
      </c>
      <c r="V21" s="57">
        <v>0</v>
      </c>
      <c r="W21" s="57">
        <v>9.4366574153298409E-8</v>
      </c>
      <c r="X21" s="57">
        <v>1.3864319200059347E-6</v>
      </c>
      <c r="Y21" s="57">
        <v>0</v>
      </c>
      <c r="Z21" s="57">
        <v>1.1751195212407835E-7</v>
      </c>
      <c r="AA21" s="57">
        <v>3.3722764415594627E-7</v>
      </c>
      <c r="AB21" s="57">
        <v>1.8754469698062604E-8</v>
      </c>
      <c r="AC21" s="57">
        <v>0</v>
      </c>
      <c r="AD21" s="57">
        <v>0</v>
      </c>
      <c r="AE21" s="57">
        <v>8.9444286944706879E-8</v>
      </c>
      <c r="AF21" s="57">
        <v>0</v>
      </c>
      <c r="AG21" s="57">
        <v>8.4500507493263663E-8</v>
      </c>
      <c r="AH21" s="57">
        <v>0</v>
      </c>
      <c r="AI21" s="57">
        <v>1.7125714981597093E-8</v>
      </c>
      <c r="AJ21" s="57">
        <v>2.8900127773413497E-8</v>
      </c>
      <c r="AK21" s="57">
        <v>0</v>
      </c>
      <c r="AL21" s="57">
        <v>0</v>
      </c>
      <c r="AM21" s="57">
        <v>0</v>
      </c>
      <c r="AN21" s="57">
        <v>0</v>
      </c>
      <c r="AO21" s="57">
        <v>3.1064451610262075E-6</v>
      </c>
      <c r="AP21" s="57">
        <v>2.9461525907885093E-6</v>
      </c>
      <c r="AQ21" s="57">
        <v>0</v>
      </c>
      <c r="AR21" s="57">
        <v>1.6992991696184107E-6</v>
      </c>
      <c r="AS21" s="57">
        <v>1.7280800879116144E-6</v>
      </c>
      <c r="AT21" s="57">
        <v>1.8864259720812037E-5</v>
      </c>
      <c r="AU21" s="57">
        <v>0</v>
      </c>
      <c r="AV21" s="57">
        <v>0</v>
      </c>
      <c r="AW21" s="57">
        <v>0</v>
      </c>
      <c r="AX21" s="57">
        <v>1.1832398457527645E-6</v>
      </c>
      <c r="AY21" s="57">
        <v>0</v>
      </c>
      <c r="AZ21" s="57">
        <v>0</v>
      </c>
      <c r="BA21" s="57">
        <v>0</v>
      </c>
      <c r="BB21" s="57">
        <v>0</v>
      </c>
      <c r="BC21" s="57">
        <v>2.4669896235186214E-5</v>
      </c>
      <c r="BD21" s="57">
        <v>0</v>
      </c>
      <c r="BE21" s="57">
        <v>5.1549450966058452E-5</v>
      </c>
      <c r="BF21" s="57">
        <v>0</v>
      </c>
      <c r="BG21" s="57">
        <v>0</v>
      </c>
      <c r="BH21" s="57">
        <v>0</v>
      </c>
      <c r="BI21" s="57">
        <v>0</v>
      </c>
      <c r="BJ21" s="57">
        <v>0</v>
      </c>
      <c r="BK21" s="57">
        <v>1.9327235557159932E-5</v>
      </c>
      <c r="BL21" s="57">
        <v>2.6452142442342698E-5</v>
      </c>
      <c r="BM21" s="57">
        <v>2.0887396349514957E-4</v>
      </c>
      <c r="BN21" s="57">
        <v>2.6765200471550268E-4</v>
      </c>
      <c r="BO21" s="57">
        <v>6.0503898689970287E-5</v>
      </c>
      <c r="BP21" s="57">
        <v>2.9780440432449959E-4</v>
      </c>
      <c r="BQ21" s="57">
        <v>5.4065137739751167E-6</v>
      </c>
      <c r="BR21" s="57">
        <v>0</v>
      </c>
      <c r="BS21" s="57">
        <v>0</v>
      </c>
      <c r="BT21" s="57">
        <v>2.4011532689489809E-5</v>
      </c>
    </row>
    <row r="22" spans="1:72" ht="33.75">
      <c r="A22" s="38">
        <v>16</v>
      </c>
      <c r="B22" s="65" t="s">
        <v>79</v>
      </c>
      <c r="C22" s="39" t="s">
        <v>78</v>
      </c>
      <c r="D22" s="57">
        <v>1.0576416277285785E-4</v>
      </c>
      <c r="E22" s="57">
        <v>0</v>
      </c>
      <c r="F22" s="57">
        <v>1.2262575533499463E-5</v>
      </c>
      <c r="G22" s="57">
        <v>1.1483559726409842E-3</v>
      </c>
      <c r="H22" s="57">
        <v>1.4176296943476174E-5</v>
      </c>
      <c r="I22" s="57">
        <v>1.3384622427888054E-5</v>
      </c>
      <c r="J22" s="57">
        <v>1.3085577588914325E-4</v>
      </c>
      <c r="K22" s="57">
        <v>6.9666480147122914E-5</v>
      </c>
      <c r="L22" s="57">
        <v>1.3155508255231174E-4</v>
      </c>
      <c r="M22" s="57">
        <v>1.185219492216403E-3</v>
      </c>
      <c r="N22" s="57">
        <v>4.2094764854400647E-5</v>
      </c>
      <c r="O22" s="57">
        <v>0</v>
      </c>
      <c r="P22" s="57">
        <v>0</v>
      </c>
      <c r="Q22" s="57">
        <v>0</v>
      </c>
      <c r="R22" s="57">
        <v>0</v>
      </c>
      <c r="S22" s="57">
        <v>1.8751880818561717E-2</v>
      </c>
      <c r="T22" s="57">
        <v>1.6769845020432418E-2</v>
      </c>
      <c r="U22" s="57">
        <v>1.4285280562734757E-5</v>
      </c>
      <c r="V22" s="57">
        <v>0</v>
      </c>
      <c r="W22" s="57">
        <v>0</v>
      </c>
      <c r="X22" s="57">
        <v>1.3931852416440658E-7</v>
      </c>
      <c r="Y22" s="57">
        <v>0</v>
      </c>
      <c r="Z22" s="57">
        <v>0</v>
      </c>
      <c r="AA22" s="57">
        <v>5.2880805690504358E-4</v>
      </c>
      <c r="AB22" s="57">
        <v>8.8752402101131586E-6</v>
      </c>
      <c r="AC22" s="57">
        <v>2.5571853940039972E-8</v>
      </c>
      <c r="AD22" s="57">
        <v>6.929726109505248E-6</v>
      </c>
      <c r="AE22" s="57">
        <v>1.3281962563662852E-6</v>
      </c>
      <c r="AF22" s="57">
        <v>0</v>
      </c>
      <c r="AG22" s="57">
        <v>3.421633905817982E-5</v>
      </c>
      <c r="AH22" s="57">
        <v>0</v>
      </c>
      <c r="AI22" s="57">
        <v>2.8585264834997205E-6</v>
      </c>
      <c r="AJ22" s="57">
        <v>7.6224087002378099E-7</v>
      </c>
      <c r="AK22" s="57">
        <v>4.2914417642041997E-6</v>
      </c>
      <c r="AL22" s="57">
        <v>1.362439640560219E-6</v>
      </c>
      <c r="AM22" s="57">
        <v>6.6750212295317732E-2</v>
      </c>
      <c r="AN22" s="57">
        <v>6.6503860833959098E-5</v>
      </c>
      <c r="AO22" s="57">
        <v>7.2351353749327939E-5</v>
      </c>
      <c r="AP22" s="57">
        <v>2.5599935026219487E-4</v>
      </c>
      <c r="AQ22" s="57">
        <v>0</v>
      </c>
      <c r="AR22" s="57">
        <v>3.6690665020396833E-5</v>
      </c>
      <c r="AS22" s="57">
        <v>3.765963131491205E-5</v>
      </c>
      <c r="AT22" s="57">
        <v>1.4541903512472728E-2</v>
      </c>
      <c r="AU22" s="57">
        <v>0</v>
      </c>
      <c r="AV22" s="57">
        <v>9.5109770165153183E-5</v>
      </c>
      <c r="AW22" s="57">
        <v>9.9450648070529687E-5</v>
      </c>
      <c r="AX22" s="57">
        <v>1.4135642023080054E-5</v>
      </c>
      <c r="AY22" s="57">
        <v>0</v>
      </c>
      <c r="AZ22" s="57">
        <v>0</v>
      </c>
      <c r="BA22" s="57">
        <v>4.78964084652837E-4</v>
      </c>
      <c r="BB22" s="57">
        <v>9.8840475475832205E-4</v>
      </c>
      <c r="BC22" s="57">
        <v>0</v>
      </c>
      <c r="BD22" s="57">
        <v>5.7485323347825296E-4</v>
      </c>
      <c r="BE22" s="57">
        <v>1.8023213433699663E-8</v>
      </c>
      <c r="BF22" s="57">
        <v>0</v>
      </c>
      <c r="BG22" s="57">
        <v>3.0702818453328579E-6</v>
      </c>
      <c r="BH22" s="57">
        <v>0</v>
      </c>
      <c r="BI22" s="57">
        <v>0</v>
      </c>
      <c r="BJ22" s="57">
        <v>1.0724391916725174E-4</v>
      </c>
      <c r="BK22" s="57">
        <v>7.3069210562016722E-6</v>
      </c>
      <c r="BL22" s="57">
        <v>1.2516059291694291E-5</v>
      </c>
      <c r="BM22" s="57">
        <v>4.021363886681211E-5</v>
      </c>
      <c r="BN22" s="57">
        <v>3.7305015265274392E-5</v>
      </c>
      <c r="BO22" s="57">
        <v>2.0303725797208709E-5</v>
      </c>
      <c r="BP22" s="57">
        <v>1.4705287081923278E-4</v>
      </c>
      <c r="BQ22" s="57">
        <v>2.7136681995089965E-4</v>
      </c>
      <c r="BR22" s="57">
        <v>0</v>
      </c>
      <c r="BS22" s="57">
        <v>0</v>
      </c>
      <c r="BT22" s="57">
        <v>1.1433172597386265E-3</v>
      </c>
    </row>
    <row r="23" spans="1:72">
      <c r="A23" s="38">
        <v>17</v>
      </c>
      <c r="B23" s="65" t="s">
        <v>77</v>
      </c>
      <c r="C23" s="39" t="s">
        <v>76</v>
      </c>
      <c r="D23" s="57">
        <v>3.7267538979954056E-4</v>
      </c>
      <c r="E23" s="57">
        <v>1.995328462949116E-5</v>
      </c>
      <c r="F23" s="57">
        <v>1.3395667728586683E-5</v>
      </c>
      <c r="G23" s="57">
        <v>0</v>
      </c>
      <c r="H23" s="57">
        <v>1.2259832166173037E-6</v>
      </c>
      <c r="I23" s="57">
        <v>1.1339614946147011E-6</v>
      </c>
      <c r="J23" s="57">
        <v>1.9814137308569944E-7</v>
      </c>
      <c r="K23" s="57">
        <v>3.5952823615989192E-7</v>
      </c>
      <c r="L23" s="57">
        <v>4.3440101964096043E-6</v>
      </c>
      <c r="M23" s="57">
        <v>9.2992214347012271E-7</v>
      </c>
      <c r="N23" s="57">
        <v>1.4956379413014747E-3</v>
      </c>
      <c r="O23" s="57">
        <v>3.7760938661170418E-2</v>
      </c>
      <c r="P23" s="57">
        <v>6.5036330664144422E-7</v>
      </c>
      <c r="Q23" s="57">
        <v>6.3021740636562117E-6</v>
      </c>
      <c r="R23" s="57">
        <v>2.5374538577009273E-4</v>
      </c>
      <c r="S23" s="57">
        <v>0</v>
      </c>
      <c r="T23" s="57">
        <v>3.2327490598121456E-2</v>
      </c>
      <c r="U23" s="57">
        <v>0.19691574825825753</v>
      </c>
      <c r="V23" s="57">
        <v>0</v>
      </c>
      <c r="W23" s="57">
        <v>6.5151341166884809E-5</v>
      </c>
      <c r="X23" s="57">
        <v>3.5817616984457847E-5</v>
      </c>
      <c r="Y23" s="57">
        <v>5.3837269937554355E-4</v>
      </c>
      <c r="Z23" s="57">
        <v>7.066807225504767E-5</v>
      </c>
      <c r="AA23" s="57">
        <v>1.635284618653745E-4</v>
      </c>
      <c r="AB23" s="57">
        <v>1.4913345920902736E-5</v>
      </c>
      <c r="AC23" s="57">
        <v>1.0228741576015989E-7</v>
      </c>
      <c r="AD23" s="57">
        <v>2.9332174008487823E-8</v>
      </c>
      <c r="AE23" s="57">
        <v>1.5729857359241556E-8</v>
      </c>
      <c r="AF23" s="57">
        <v>0</v>
      </c>
      <c r="AG23" s="57">
        <v>4.3900907495746813E-5</v>
      </c>
      <c r="AH23" s="57">
        <v>1.5788839190691433E-4</v>
      </c>
      <c r="AI23" s="57">
        <v>3.1731503330187755E-5</v>
      </c>
      <c r="AJ23" s="57">
        <v>5.8656662666512479E-5</v>
      </c>
      <c r="AK23" s="57">
        <v>0</v>
      </c>
      <c r="AL23" s="57">
        <v>5.0427670941141419E-8</v>
      </c>
      <c r="AM23" s="57">
        <v>4.2902990320549098E-7</v>
      </c>
      <c r="AN23" s="57">
        <v>9.2804258095710269E-7</v>
      </c>
      <c r="AO23" s="57">
        <v>5.5455999242222213E-5</v>
      </c>
      <c r="AP23" s="57">
        <v>6.2811661210784942E-5</v>
      </c>
      <c r="AQ23" s="57">
        <v>6.1843871660248209E-8</v>
      </c>
      <c r="AR23" s="57">
        <v>5.6310109738335565E-6</v>
      </c>
      <c r="AS23" s="57">
        <v>5.330022058516293E-5</v>
      </c>
      <c r="AT23" s="57">
        <v>1.7012370641514179E-3</v>
      </c>
      <c r="AU23" s="57">
        <v>1.7321767499883328E-5</v>
      </c>
      <c r="AV23" s="57">
        <v>3.6020543696203872E-3</v>
      </c>
      <c r="AW23" s="57">
        <v>2.8533582768413631E-3</v>
      </c>
      <c r="AX23" s="57">
        <v>1.5555669124604414E-5</v>
      </c>
      <c r="AY23" s="57">
        <v>0</v>
      </c>
      <c r="AZ23" s="57">
        <v>7.9560979150256877E-5</v>
      </c>
      <c r="BA23" s="57">
        <v>1.4105577198557484E-3</v>
      </c>
      <c r="BB23" s="57">
        <v>4.0963708577814582E-2</v>
      </c>
      <c r="BC23" s="57">
        <v>9.5416686053553905E-3</v>
      </c>
      <c r="BD23" s="57">
        <v>7.4844769785394137E-4</v>
      </c>
      <c r="BE23" s="57">
        <v>4.645043564140432E-3</v>
      </c>
      <c r="BF23" s="57">
        <v>2.8377049065607331E-4</v>
      </c>
      <c r="BG23" s="57">
        <v>2.7321783078197229E-3</v>
      </c>
      <c r="BH23" s="57">
        <v>1.6913000920335661E-3</v>
      </c>
      <c r="BI23" s="57">
        <v>2.1479137610385776E-3</v>
      </c>
      <c r="BJ23" s="57">
        <v>9.0205415925950969E-5</v>
      </c>
      <c r="BK23" s="57">
        <v>7.0851059909742492E-3</v>
      </c>
      <c r="BL23" s="57">
        <v>1.1712212977868575E-3</v>
      </c>
      <c r="BM23" s="57">
        <v>9.5607997401552674E-4</v>
      </c>
      <c r="BN23" s="57">
        <v>1.634743078877143E-3</v>
      </c>
      <c r="BO23" s="57">
        <v>3.6611415746067434E-3</v>
      </c>
      <c r="BP23" s="57">
        <v>6.438416041664384E-2</v>
      </c>
      <c r="BQ23" s="57">
        <v>1.3372708948982904E-3</v>
      </c>
      <c r="BR23" s="57">
        <v>2.1676223814881251E-3</v>
      </c>
      <c r="BS23" s="57">
        <v>0</v>
      </c>
      <c r="BT23" s="57">
        <v>1.573055661294004E-3</v>
      </c>
    </row>
    <row r="24" spans="1:72">
      <c r="A24" s="38">
        <v>18</v>
      </c>
      <c r="B24" s="65" t="s">
        <v>75</v>
      </c>
      <c r="C24" s="39" t="s">
        <v>74</v>
      </c>
      <c r="D24" s="57">
        <v>1.9890120674853893E-8</v>
      </c>
      <c r="E24" s="57">
        <v>6.2054029517833337E-6</v>
      </c>
      <c r="F24" s="57">
        <v>0</v>
      </c>
      <c r="G24" s="57">
        <v>0</v>
      </c>
      <c r="H24" s="57">
        <v>2.9048813183379382E-7</v>
      </c>
      <c r="I24" s="57">
        <v>2.7379839506722485E-7</v>
      </c>
      <c r="J24" s="57">
        <v>0</v>
      </c>
      <c r="K24" s="57">
        <v>4.4033580727957632E-9</v>
      </c>
      <c r="L24" s="57">
        <v>0</v>
      </c>
      <c r="M24" s="57">
        <v>1.2386296987589786E-6</v>
      </c>
      <c r="N24" s="57">
        <v>1.4457787930694918E-5</v>
      </c>
      <c r="O24" s="57">
        <v>0</v>
      </c>
      <c r="P24" s="57">
        <v>0</v>
      </c>
      <c r="Q24" s="57">
        <v>0</v>
      </c>
      <c r="R24" s="57">
        <v>0</v>
      </c>
      <c r="S24" s="57">
        <v>0</v>
      </c>
      <c r="T24" s="57">
        <v>0</v>
      </c>
      <c r="U24" s="57">
        <v>4.6444079532158816E-2</v>
      </c>
      <c r="V24" s="57">
        <v>0</v>
      </c>
      <c r="W24" s="57">
        <v>0</v>
      </c>
      <c r="X24" s="57">
        <v>1.4757258394434448E-7</v>
      </c>
      <c r="Y24" s="57">
        <v>0</v>
      </c>
      <c r="Z24" s="57">
        <v>0</v>
      </c>
      <c r="AA24" s="57">
        <v>1.6330636520869069E-9</v>
      </c>
      <c r="AB24" s="57">
        <v>0</v>
      </c>
      <c r="AC24" s="57">
        <v>0</v>
      </c>
      <c r="AD24" s="57">
        <v>0</v>
      </c>
      <c r="AE24" s="57">
        <v>0</v>
      </c>
      <c r="AF24" s="57">
        <v>0</v>
      </c>
      <c r="AG24" s="57">
        <v>0</v>
      </c>
      <c r="AH24" s="57">
        <v>0</v>
      </c>
      <c r="AI24" s="57">
        <v>0</v>
      </c>
      <c r="AJ24" s="57">
        <v>0</v>
      </c>
      <c r="AK24" s="57">
        <v>0</v>
      </c>
      <c r="AL24" s="57">
        <v>0</v>
      </c>
      <c r="AM24" s="57">
        <v>0</v>
      </c>
      <c r="AN24" s="57">
        <v>0</v>
      </c>
      <c r="AO24" s="57">
        <v>6.3590123069787347E-8</v>
      </c>
      <c r="AP24" s="57">
        <v>2.7688657577888397E-6</v>
      </c>
      <c r="AQ24" s="57">
        <v>0</v>
      </c>
      <c r="AR24" s="57">
        <v>0</v>
      </c>
      <c r="AS24" s="57">
        <v>0</v>
      </c>
      <c r="AT24" s="57">
        <v>3.8206523305351024E-5</v>
      </c>
      <c r="AU24" s="57">
        <v>6.8389987710033923E-6</v>
      </c>
      <c r="AV24" s="57">
        <v>2.2747630377748337E-5</v>
      </c>
      <c r="AW24" s="57">
        <v>3.5282047680987731E-5</v>
      </c>
      <c r="AX24" s="57">
        <v>0</v>
      </c>
      <c r="AY24" s="57">
        <v>0</v>
      </c>
      <c r="AZ24" s="57">
        <v>0</v>
      </c>
      <c r="BA24" s="57">
        <v>3.0223696435079729E-5</v>
      </c>
      <c r="BB24" s="57">
        <v>0</v>
      </c>
      <c r="BC24" s="57">
        <v>4.3495036842513642E-5</v>
      </c>
      <c r="BD24" s="57">
        <v>7.3365096335480205E-7</v>
      </c>
      <c r="BE24" s="57">
        <v>7.4214594028702092E-4</v>
      </c>
      <c r="BF24" s="57">
        <v>1.4109953320097084E-4</v>
      </c>
      <c r="BG24" s="57">
        <v>1.4595684798216643E-4</v>
      </c>
      <c r="BH24" s="57">
        <v>3.3980213364498716E-4</v>
      </c>
      <c r="BI24" s="57">
        <v>3.270658961900852E-3</v>
      </c>
      <c r="BJ24" s="57">
        <v>5.3633527393354824E-5</v>
      </c>
      <c r="BK24" s="57">
        <v>5.0165570531764063E-5</v>
      </c>
      <c r="BL24" s="57">
        <v>7.5675258745424632E-5</v>
      </c>
      <c r="BM24" s="57">
        <v>4.8007528079615737E-3</v>
      </c>
      <c r="BN24" s="57">
        <v>3.0063428130615495E-3</v>
      </c>
      <c r="BO24" s="57">
        <v>1.3062904326776473E-3</v>
      </c>
      <c r="BP24" s="57">
        <v>9.6868554956153392E-4</v>
      </c>
      <c r="BQ24" s="57">
        <v>2.1160160745626066E-5</v>
      </c>
      <c r="BR24" s="57">
        <v>8.2651865150625752E-4</v>
      </c>
      <c r="BS24" s="57">
        <v>0</v>
      </c>
      <c r="BT24" s="57">
        <v>3.5706103717954128E-4</v>
      </c>
    </row>
    <row r="25" spans="1:72">
      <c r="A25" s="38">
        <v>19</v>
      </c>
      <c r="B25" s="65" t="s">
        <v>73</v>
      </c>
      <c r="C25" s="39" t="s">
        <v>72</v>
      </c>
      <c r="D25" s="57">
        <v>0</v>
      </c>
      <c r="E25" s="57">
        <v>0</v>
      </c>
      <c r="F25" s="57">
        <v>0</v>
      </c>
      <c r="G25" s="57">
        <v>0</v>
      </c>
      <c r="H25" s="57">
        <v>0</v>
      </c>
      <c r="I25" s="57">
        <v>0</v>
      </c>
      <c r="J25" s="57">
        <v>0</v>
      </c>
      <c r="K25" s="57">
        <v>4.1534377497451926E-8</v>
      </c>
      <c r="L25" s="57">
        <v>0</v>
      </c>
      <c r="M25" s="57">
        <v>0</v>
      </c>
      <c r="N25" s="57">
        <v>0</v>
      </c>
      <c r="O25" s="57">
        <v>0</v>
      </c>
      <c r="P25" s="57">
        <v>0</v>
      </c>
      <c r="Q25" s="57">
        <v>0</v>
      </c>
      <c r="R25" s="57">
        <v>0</v>
      </c>
      <c r="S25" s="57">
        <v>0</v>
      </c>
      <c r="T25" s="57">
        <v>0</v>
      </c>
      <c r="U25" s="57">
        <v>0</v>
      </c>
      <c r="V25" s="57">
        <v>0</v>
      </c>
      <c r="W25" s="57">
        <v>0</v>
      </c>
      <c r="X25" s="57">
        <v>7.9021616979865587E-4</v>
      </c>
      <c r="Y25" s="57">
        <v>0</v>
      </c>
      <c r="Z25" s="57">
        <v>0</v>
      </c>
      <c r="AA25" s="57">
        <v>6.2726142265682433E-2</v>
      </c>
      <c r="AB25" s="57">
        <v>2.0724941398169012E-2</v>
      </c>
      <c r="AC25" s="57">
        <v>0</v>
      </c>
      <c r="AD25" s="57">
        <v>0</v>
      </c>
      <c r="AE25" s="57">
        <v>5.2306227371920358E-4</v>
      </c>
      <c r="AF25" s="57">
        <v>0</v>
      </c>
      <c r="AG25" s="57">
        <v>3.4980895019814079E-6</v>
      </c>
      <c r="AH25" s="57">
        <v>0</v>
      </c>
      <c r="AI25" s="57">
        <v>0</v>
      </c>
      <c r="AJ25" s="57">
        <v>0</v>
      </c>
      <c r="AK25" s="57">
        <v>0</v>
      </c>
      <c r="AL25" s="57">
        <v>0</v>
      </c>
      <c r="AM25" s="57">
        <v>0</v>
      </c>
      <c r="AN25" s="57">
        <v>0</v>
      </c>
      <c r="AO25" s="57">
        <v>0</v>
      </c>
      <c r="AP25" s="57">
        <v>4.7869951745729399E-3</v>
      </c>
      <c r="AQ25" s="57">
        <v>0</v>
      </c>
      <c r="AR25" s="57">
        <v>1.0490453203986717E-2</v>
      </c>
      <c r="AS25" s="57">
        <v>0</v>
      </c>
      <c r="AT25" s="57">
        <v>0</v>
      </c>
      <c r="AU25" s="57">
        <v>0</v>
      </c>
      <c r="AV25" s="57">
        <v>0</v>
      </c>
      <c r="AW25" s="57">
        <v>0</v>
      </c>
      <c r="AX25" s="57">
        <v>0</v>
      </c>
      <c r="AY25" s="57">
        <v>0</v>
      </c>
      <c r="AZ25" s="57">
        <v>0</v>
      </c>
      <c r="BA25" s="57">
        <v>0</v>
      </c>
      <c r="BB25" s="57">
        <v>0</v>
      </c>
      <c r="BC25" s="57">
        <v>0</v>
      </c>
      <c r="BD25" s="57">
        <v>0</v>
      </c>
      <c r="BE25" s="57">
        <v>0</v>
      </c>
      <c r="BF25" s="57">
        <v>0</v>
      </c>
      <c r="BG25" s="57">
        <v>0</v>
      </c>
      <c r="BH25" s="57">
        <v>0</v>
      </c>
      <c r="BI25" s="57">
        <v>0</v>
      </c>
      <c r="BJ25" s="57">
        <v>0</v>
      </c>
      <c r="BK25" s="57">
        <v>0</v>
      </c>
      <c r="BL25" s="57">
        <v>0</v>
      </c>
      <c r="BM25" s="57">
        <v>6.0972783559948567E-8</v>
      </c>
      <c r="BN25" s="57">
        <v>7.0118876380737054E-6</v>
      </c>
      <c r="BO25" s="57">
        <v>1.6495694680268684E-10</v>
      </c>
      <c r="BP25" s="57">
        <v>0</v>
      </c>
      <c r="BQ25" s="57">
        <v>0</v>
      </c>
      <c r="BR25" s="57">
        <v>0</v>
      </c>
      <c r="BS25" s="57">
        <v>0</v>
      </c>
      <c r="BT25" s="57">
        <v>1.1793983430032999E-3</v>
      </c>
    </row>
    <row r="26" spans="1:72">
      <c r="A26" s="38">
        <v>20</v>
      </c>
      <c r="B26" s="65" t="s">
        <v>71</v>
      </c>
      <c r="C26" s="39" t="s">
        <v>70</v>
      </c>
      <c r="D26" s="57">
        <v>6.539570529033617E-3</v>
      </c>
      <c r="E26" s="57">
        <v>2.6296852077935745E-3</v>
      </c>
      <c r="F26" s="57">
        <v>1.8932291924803605E-4</v>
      </c>
      <c r="G26" s="57">
        <v>1.0038704941064288E-2</v>
      </c>
      <c r="H26" s="57">
        <v>6.6602483443138774E-3</v>
      </c>
      <c r="I26" s="57">
        <v>6.4291643033433108E-3</v>
      </c>
      <c r="J26" s="57">
        <v>1.3463042259814826E-3</v>
      </c>
      <c r="K26" s="57">
        <v>2.2140084390017098E-4</v>
      </c>
      <c r="L26" s="57">
        <v>4.8170866696153856E-3</v>
      </c>
      <c r="M26" s="57">
        <v>1.4708110257652294E-3</v>
      </c>
      <c r="N26" s="57">
        <v>3.4961802340777713E-4</v>
      </c>
      <c r="O26" s="57">
        <v>0</v>
      </c>
      <c r="P26" s="57">
        <v>1.1887950157261919E-5</v>
      </c>
      <c r="Q26" s="57">
        <v>4.6917288051985069E-6</v>
      </c>
      <c r="R26" s="57">
        <v>2.1944787348966475E-6</v>
      </c>
      <c r="S26" s="57">
        <v>2.1620627776668224E-5</v>
      </c>
      <c r="T26" s="57">
        <v>3.6404480498410487E-4</v>
      </c>
      <c r="U26" s="57">
        <v>1.1606059228691957E-5</v>
      </c>
      <c r="V26" s="57">
        <v>1.2259621807224916E-3</v>
      </c>
      <c r="W26" s="57">
        <v>3.8695737940152354E-3</v>
      </c>
      <c r="X26" s="57">
        <v>1.7257112954149282E-4</v>
      </c>
      <c r="Y26" s="57">
        <v>4.2084692036686845E-5</v>
      </c>
      <c r="Z26" s="57">
        <v>1.855965693085828E-5</v>
      </c>
      <c r="AA26" s="57">
        <v>2.8613247108922502E-3</v>
      </c>
      <c r="AB26" s="57">
        <v>1.1213318270771295E-4</v>
      </c>
      <c r="AC26" s="57">
        <v>9.3816739142521652E-7</v>
      </c>
      <c r="AD26" s="57">
        <v>2.7205591392872453E-6</v>
      </c>
      <c r="AE26" s="57">
        <v>3.641009616753435E-5</v>
      </c>
      <c r="AF26" s="57">
        <v>9.5803926698207633E-6</v>
      </c>
      <c r="AG26" s="57">
        <v>1.1064357546224118E-5</v>
      </c>
      <c r="AH26" s="57">
        <v>3.346378331463709E-7</v>
      </c>
      <c r="AI26" s="57">
        <v>2.8325932579561594E-6</v>
      </c>
      <c r="AJ26" s="57">
        <v>2.4899868420776846E-6</v>
      </c>
      <c r="AK26" s="57">
        <v>1.3384995140401635E-5</v>
      </c>
      <c r="AL26" s="57">
        <v>5.2135071551945021E-5</v>
      </c>
      <c r="AM26" s="57">
        <v>3.5897885400988331E-5</v>
      </c>
      <c r="AN26" s="57">
        <v>7.1278063318480426E-6</v>
      </c>
      <c r="AO26" s="57">
        <v>4.3015606399624749E-4</v>
      </c>
      <c r="AP26" s="57">
        <v>2.1411717974908614E-3</v>
      </c>
      <c r="AQ26" s="57">
        <v>0.1108179830284674</v>
      </c>
      <c r="AR26" s="57">
        <v>4.9134388012948378E-3</v>
      </c>
      <c r="AS26" s="57">
        <v>6.2315473281695111E-3</v>
      </c>
      <c r="AT26" s="57">
        <v>6.7998895023105126E-3</v>
      </c>
      <c r="AU26" s="57">
        <v>9.3439784817573278E-4</v>
      </c>
      <c r="AV26" s="57">
        <v>3.4150356440303519E-3</v>
      </c>
      <c r="AW26" s="57">
        <v>3.8197635015572253E-3</v>
      </c>
      <c r="AX26" s="57">
        <v>3.316194889512003E-2</v>
      </c>
      <c r="AY26" s="57">
        <v>5.3675221436914429E-3</v>
      </c>
      <c r="AZ26" s="57">
        <v>0.11637711414965751</v>
      </c>
      <c r="BA26" s="57">
        <v>4.8647273744373096E-2</v>
      </c>
      <c r="BB26" s="57">
        <v>9.2347269992751856E-3</v>
      </c>
      <c r="BC26" s="57">
        <v>1.5172623728106098E-3</v>
      </c>
      <c r="BD26" s="57">
        <v>8.7978025347012389E-5</v>
      </c>
      <c r="BE26" s="57">
        <v>9.9659120639200701E-4</v>
      </c>
      <c r="BF26" s="57">
        <v>3.045727089299156E-3</v>
      </c>
      <c r="BG26" s="57">
        <v>1.684233437752104E-4</v>
      </c>
      <c r="BH26" s="57">
        <v>2.0378177130208564E-4</v>
      </c>
      <c r="BI26" s="57">
        <v>2.6166614283820695E-4</v>
      </c>
      <c r="BJ26" s="57">
        <v>1.6552545930545361E-4</v>
      </c>
      <c r="BK26" s="57">
        <v>1.5063297537256698E-3</v>
      </c>
      <c r="BL26" s="57">
        <v>3.5027947689568405E-3</v>
      </c>
      <c r="BM26" s="57">
        <v>1.2218060606393927E-2</v>
      </c>
      <c r="BN26" s="57">
        <v>2.0059844035417601E-3</v>
      </c>
      <c r="BO26" s="57">
        <v>4.7015573696528624E-3</v>
      </c>
      <c r="BP26" s="57">
        <v>5.9325639298537618E-3</v>
      </c>
      <c r="BQ26" s="57">
        <v>1.1962835788331522E-3</v>
      </c>
      <c r="BR26" s="57">
        <v>1.0429275871020464E-3</v>
      </c>
      <c r="BS26" s="57">
        <v>0</v>
      </c>
      <c r="BT26" s="57">
        <v>4.9898952761935822E-3</v>
      </c>
    </row>
    <row r="27" spans="1:72" ht="22.5">
      <c r="A27" s="38">
        <v>21</v>
      </c>
      <c r="B27" s="65" t="s">
        <v>99</v>
      </c>
      <c r="C27" s="39" t="s">
        <v>176</v>
      </c>
      <c r="D27" s="57">
        <v>3.8974141065443155E-2</v>
      </c>
      <c r="E27" s="57">
        <v>9.2566784363618783E-7</v>
      </c>
      <c r="F27" s="57">
        <v>2.0089388887875636E-3</v>
      </c>
      <c r="G27" s="57">
        <v>5.0692407663436101E-3</v>
      </c>
      <c r="H27" s="57">
        <v>1.2156597848081475E-2</v>
      </c>
      <c r="I27" s="57">
        <v>1.1473367885131997E-2</v>
      </c>
      <c r="J27" s="57">
        <v>9.9371483354779439E-2</v>
      </c>
      <c r="K27" s="57">
        <v>3.6324478343252531E-2</v>
      </c>
      <c r="L27" s="57">
        <v>7.2825460362780444E-4</v>
      </c>
      <c r="M27" s="57">
        <v>6.0058712928462588E-3</v>
      </c>
      <c r="N27" s="57">
        <v>1.7894026228860785E-3</v>
      </c>
      <c r="O27" s="57">
        <v>0</v>
      </c>
      <c r="P27" s="57">
        <v>6.6721721874543323E-4</v>
      </c>
      <c r="Q27" s="57">
        <v>1.9457356387096896E-4</v>
      </c>
      <c r="R27" s="57">
        <v>6.1189774667224708E-3</v>
      </c>
      <c r="S27" s="57">
        <v>6.2363678611838331E-3</v>
      </c>
      <c r="T27" s="57">
        <v>2.2846450100545781E-2</v>
      </c>
      <c r="U27" s="57">
        <v>2.5355460425648714E-2</v>
      </c>
      <c r="V27" s="57">
        <v>5.631794322831619E-6</v>
      </c>
      <c r="W27" s="57">
        <v>4.7462674132787618E-2</v>
      </c>
      <c r="X27" s="57">
        <v>3.7523297677771059E-2</v>
      </c>
      <c r="Y27" s="57">
        <v>1.1195327426847881E-2</v>
      </c>
      <c r="Z27" s="57">
        <v>0.10439022104030134</v>
      </c>
      <c r="AA27" s="57">
        <v>1.364767910471688E-2</v>
      </c>
      <c r="AB27" s="57">
        <v>1.2375074315367616E-4</v>
      </c>
      <c r="AC27" s="57">
        <v>1.7310546876535808E-5</v>
      </c>
      <c r="AD27" s="57">
        <v>4.8592779418986246E-4</v>
      </c>
      <c r="AE27" s="57">
        <v>5.1190692618479511E-4</v>
      </c>
      <c r="AF27" s="57">
        <v>0</v>
      </c>
      <c r="AG27" s="57">
        <v>4.3130563828119869E-5</v>
      </c>
      <c r="AH27" s="57">
        <v>1.6705277186378251E-5</v>
      </c>
      <c r="AI27" s="57">
        <v>4.4260187104581858E-4</v>
      </c>
      <c r="AJ27" s="57">
        <v>5.5986122276170398E-4</v>
      </c>
      <c r="AK27" s="57">
        <v>8.9052336129428721E-3</v>
      </c>
      <c r="AL27" s="57">
        <v>1.8461187438262781E-2</v>
      </c>
      <c r="AM27" s="57">
        <v>2.9047445761533142E-3</v>
      </c>
      <c r="AN27" s="57">
        <v>1.8060038107998338E-5</v>
      </c>
      <c r="AO27" s="57">
        <v>1.4144770498628792E-3</v>
      </c>
      <c r="AP27" s="57">
        <v>4.7571280163911517E-3</v>
      </c>
      <c r="AQ27" s="57">
        <v>9.4870888549134901E-3</v>
      </c>
      <c r="AR27" s="57">
        <v>1.0477262991762186E-2</v>
      </c>
      <c r="AS27" s="57">
        <v>1.346406041746088E-3</v>
      </c>
      <c r="AT27" s="57">
        <v>5.1699162695283841E-3</v>
      </c>
      <c r="AU27" s="57">
        <v>3.7632044850530606E-5</v>
      </c>
      <c r="AV27" s="57">
        <v>1.6003709605990433E-3</v>
      </c>
      <c r="AW27" s="57">
        <v>5.111039867355708E-4</v>
      </c>
      <c r="AX27" s="57">
        <v>6.9387066317192396E-3</v>
      </c>
      <c r="AY27" s="57">
        <v>0</v>
      </c>
      <c r="AZ27" s="57">
        <v>6.0371504942866036E-3</v>
      </c>
      <c r="BA27" s="57">
        <v>9.4824732899483673E-4</v>
      </c>
      <c r="BB27" s="57">
        <v>5.3400165014346401E-4</v>
      </c>
      <c r="BC27" s="57">
        <v>4.7690959341588337E-3</v>
      </c>
      <c r="BD27" s="57">
        <v>1.4235503294575903E-3</v>
      </c>
      <c r="BE27" s="57">
        <v>9.2558314606953863E-4</v>
      </c>
      <c r="BF27" s="57">
        <v>0</v>
      </c>
      <c r="BG27" s="57">
        <v>2.9276188806344776E-4</v>
      </c>
      <c r="BH27" s="57">
        <v>8.8703506100900901E-5</v>
      </c>
      <c r="BI27" s="57">
        <v>1.1057384703633998E-4</v>
      </c>
      <c r="BJ27" s="57">
        <v>1.1782171869832506E-3</v>
      </c>
      <c r="BK27" s="57">
        <v>1.0617725708330292E-2</v>
      </c>
      <c r="BL27" s="57">
        <v>4.6660582495935497E-3</v>
      </c>
      <c r="BM27" s="57">
        <v>2.0385197776319687E-3</v>
      </c>
      <c r="BN27" s="57">
        <v>8.2053449158655499E-3</v>
      </c>
      <c r="BO27" s="57">
        <v>3.8405824176621882E-2</v>
      </c>
      <c r="BP27" s="57">
        <v>5.5723456270040835E-3</v>
      </c>
      <c r="BQ27" s="57">
        <v>8.7227604557822552E-3</v>
      </c>
      <c r="BR27" s="57">
        <v>8.1620810061937396E-4</v>
      </c>
      <c r="BS27" s="57">
        <v>0</v>
      </c>
      <c r="BT27" s="57">
        <v>9.487246325636866E-3</v>
      </c>
    </row>
    <row r="28" spans="1:72" ht="22.5">
      <c r="A28" s="38">
        <v>22</v>
      </c>
      <c r="B28" s="65" t="s">
        <v>69</v>
      </c>
      <c r="C28" s="39" t="s">
        <v>68</v>
      </c>
      <c r="D28" s="57">
        <v>2.027390676893791E-4</v>
      </c>
      <c r="E28" s="57">
        <v>9.5995183784493549E-7</v>
      </c>
      <c r="F28" s="57">
        <v>0</v>
      </c>
      <c r="G28" s="57">
        <v>0</v>
      </c>
      <c r="H28" s="57">
        <v>4.9650336481388151E-6</v>
      </c>
      <c r="I28" s="57">
        <v>4.6860716465487865E-6</v>
      </c>
      <c r="J28" s="57">
        <v>0</v>
      </c>
      <c r="K28" s="57">
        <v>6.6031329543513546E-6</v>
      </c>
      <c r="L28" s="57">
        <v>0</v>
      </c>
      <c r="M28" s="57">
        <v>7.086025730630353E-6</v>
      </c>
      <c r="N28" s="57">
        <v>1.2856580215333998E-4</v>
      </c>
      <c r="O28" s="57">
        <v>0</v>
      </c>
      <c r="P28" s="57">
        <v>0</v>
      </c>
      <c r="Q28" s="57">
        <v>0</v>
      </c>
      <c r="R28" s="57">
        <v>0</v>
      </c>
      <c r="S28" s="57">
        <v>0</v>
      </c>
      <c r="T28" s="57">
        <v>0</v>
      </c>
      <c r="U28" s="57">
        <v>0</v>
      </c>
      <c r="V28" s="57">
        <v>0</v>
      </c>
      <c r="W28" s="57">
        <v>7.0012317021525642E-5</v>
      </c>
      <c r="X28" s="57">
        <v>1.0004920945379287E-9</v>
      </c>
      <c r="Y28" s="57">
        <v>0</v>
      </c>
      <c r="Z28" s="57">
        <v>0</v>
      </c>
      <c r="AA28" s="57">
        <v>1.2370457164558319E-7</v>
      </c>
      <c r="AB28" s="57">
        <v>2.2922129630965401E-9</v>
      </c>
      <c r="AC28" s="57">
        <v>0</v>
      </c>
      <c r="AD28" s="57">
        <v>0</v>
      </c>
      <c r="AE28" s="57">
        <v>2.436585747804084E-8</v>
      </c>
      <c r="AF28" s="57">
        <v>0</v>
      </c>
      <c r="AG28" s="57">
        <v>1.1575411985378583E-9</v>
      </c>
      <c r="AH28" s="57">
        <v>0</v>
      </c>
      <c r="AI28" s="57">
        <v>4.4037552809821101E-9</v>
      </c>
      <c r="AJ28" s="57">
        <v>6.9841975452415947E-9</v>
      </c>
      <c r="AK28" s="57">
        <v>0</v>
      </c>
      <c r="AL28" s="57">
        <v>0</v>
      </c>
      <c r="AM28" s="57">
        <v>0</v>
      </c>
      <c r="AN28" s="57">
        <v>0</v>
      </c>
      <c r="AO28" s="57">
        <v>6.2363645483345606E-5</v>
      </c>
      <c r="AP28" s="57">
        <v>5.859684404305079E-6</v>
      </c>
      <c r="AQ28" s="57">
        <v>3.3733020905589934E-7</v>
      </c>
      <c r="AR28" s="57">
        <v>3.0943759815046249E-6</v>
      </c>
      <c r="AS28" s="57">
        <v>1.0170243913378748E-4</v>
      </c>
      <c r="AT28" s="57">
        <v>4.6258438425189179E-7</v>
      </c>
      <c r="AU28" s="57">
        <v>9.107335417308982E-7</v>
      </c>
      <c r="AV28" s="57">
        <v>2.2293384464515645E-5</v>
      </c>
      <c r="AW28" s="57">
        <v>1.9134428681911119E-4</v>
      </c>
      <c r="AX28" s="57">
        <v>2.2954435147740506E-7</v>
      </c>
      <c r="AY28" s="57">
        <v>0</v>
      </c>
      <c r="AZ28" s="57">
        <v>8.1807938926363902E-6</v>
      </c>
      <c r="BA28" s="57">
        <v>2.3535430623291173E-6</v>
      </c>
      <c r="BB28" s="57">
        <v>0</v>
      </c>
      <c r="BC28" s="57">
        <v>5.6103825058607094E-7</v>
      </c>
      <c r="BD28" s="57">
        <v>9.7008451792631752E-8</v>
      </c>
      <c r="BE28" s="57">
        <v>1.598284964875253E-8</v>
      </c>
      <c r="BF28" s="57">
        <v>0</v>
      </c>
      <c r="BG28" s="57">
        <v>2.3490259418742254E-7</v>
      </c>
      <c r="BH28" s="57">
        <v>0</v>
      </c>
      <c r="BI28" s="57">
        <v>0</v>
      </c>
      <c r="BJ28" s="57">
        <v>0</v>
      </c>
      <c r="BK28" s="57">
        <v>4.5669644327051111E-3</v>
      </c>
      <c r="BL28" s="57">
        <v>2.6699720889552709E-6</v>
      </c>
      <c r="BM28" s="57">
        <v>1.3581901917171884E-3</v>
      </c>
      <c r="BN28" s="57">
        <v>5.3031539672474676E-4</v>
      </c>
      <c r="BO28" s="57">
        <v>9.3739655106544209E-2</v>
      </c>
      <c r="BP28" s="57">
        <v>9.8068841330283367E-3</v>
      </c>
      <c r="BQ28" s="57">
        <v>9.249349826408518E-5</v>
      </c>
      <c r="BR28" s="57">
        <v>3.0562638057267052E-5</v>
      </c>
      <c r="BS28" s="57">
        <v>0</v>
      </c>
      <c r="BT28" s="57">
        <v>2.6000663488426326E-3</v>
      </c>
    </row>
    <row r="29" spans="1:72">
      <c r="A29" s="38">
        <v>23</v>
      </c>
      <c r="B29" s="65" t="s">
        <v>98</v>
      </c>
      <c r="C29" s="39" t="s">
        <v>175</v>
      </c>
      <c r="D29" s="57">
        <v>1.874593112359507E-4</v>
      </c>
      <c r="E29" s="57">
        <v>2.0193272588952395E-5</v>
      </c>
      <c r="F29" s="57">
        <v>2.8579103142755425E-6</v>
      </c>
      <c r="G29" s="57">
        <v>4.5734237688040127E-3</v>
      </c>
      <c r="H29" s="57">
        <v>2.0803207761299091E-3</v>
      </c>
      <c r="I29" s="57">
        <v>2.0692543891696947E-3</v>
      </c>
      <c r="J29" s="57">
        <v>9.1801897047062058E-4</v>
      </c>
      <c r="K29" s="57">
        <v>8.1292238031886049E-4</v>
      </c>
      <c r="L29" s="57">
        <v>1.68362476042934E-3</v>
      </c>
      <c r="M29" s="57">
        <v>2.492890448378983E-3</v>
      </c>
      <c r="N29" s="57">
        <v>2.283228827850823E-3</v>
      </c>
      <c r="O29" s="57">
        <v>0</v>
      </c>
      <c r="P29" s="57">
        <v>8.7373286736649432E-7</v>
      </c>
      <c r="Q29" s="57">
        <v>1.7027377324643486E-6</v>
      </c>
      <c r="R29" s="57">
        <v>4.0086224830276858E-4</v>
      </c>
      <c r="S29" s="57">
        <v>1.7578189986332956E-6</v>
      </c>
      <c r="T29" s="57">
        <v>6.7406967384028987E-3</v>
      </c>
      <c r="U29" s="57">
        <v>1.0675936538489325E-4</v>
      </c>
      <c r="V29" s="57">
        <v>4.8196709267636672E-5</v>
      </c>
      <c r="W29" s="57">
        <v>7.7939438436126502E-4</v>
      </c>
      <c r="X29" s="57">
        <v>3.594317874232236E-5</v>
      </c>
      <c r="Y29" s="57">
        <v>1.0721753499308708E-4</v>
      </c>
      <c r="Z29" s="57">
        <v>2.1452146740973569E-2</v>
      </c>
      <c r="AA29" s="57">
        <v>3.3307100724228947E-3</v>
      </c>
      <c r="AB29" s="57">
        <v>8.1573607866706518E-6</v>
      </c>
      <c r="AC29" s="57">
        <v>2.2237923482607263E-5</v>
      </c>
      <c r="AD29" s="57">
        <v>1.4666087004243911E-8</v>
      </c>
      <c r="AE29" s="57">
        <v>1.0973888722388521E-5</v>
      </c>
      <c r="AF29" s="57">
        <v>4.0365387782178151E-5</v>
      </c>
      <c r="AG29" s="57">
        <v>4.9943619814474E-4</v>
      </c>
      <c r="AH29" s="57">
        <v>9.0757302852802595E-5</v>
      </c>
      <c r="AI29" s="57">
        <v>1.0704061169640514E-5</v>
      </c>
      <c r="AJ29" s="57">
        <v>1.2708241144083212E-3</v>
      </c>
      <c r="AK29" s="57">
        <v>2.7694408771863663E-2</v>
      </c>
      <c r="AL29" s="57">
        <v>3.8411136279055914E-3</v>
      </c>
      <c r="AM29" s="57">
        <v>7.162487389053314E-4</v>
      </c>
      <c r="AN29" s="57">
        <v>4.8173097878379781E-4</v>
      </c>
      <c r="AO29" s="57">
        <v>4.338875865372363E-4</v>
      </c>
      <c r="AP29" s="57">
        <v>5.5107130022285296E-4</v>
      </c>
      <c r="AQ29" s="57">
        <v>4.1969500176704809E-6</v>
      </c>
      <c r="AR29" s="57">
        <v>1.1139420337501038E-3</v>
      </c>
      <c r="AS29" s="57">
        <v>2.2746157702791512E-2</v>
      </c>
      <c r="AT29" s="57">
        <v>2.382057775370864E-2</v>
      </c>
      <c r="AU29" s="57">
        <v>3.1855169222535736E-4</v>
      </c>
      <c r="AV29" s="57">
        <v>1.1098352504463088E-2</v>
      </c>
      <c r="AW29" s="57">
        <v>4.4877306870881204E-3</v>
      </c>
      <c r="AX29" s="57">
        <v>4.8737165921981353E-3</v>
      </c>
      <c r="AY29" s="57">
        <v>0.12150141916758263</v>
      </c>
      <c r="AZ29" s="57">
        <v>1.1431288400014802E-2</v>
      </c>
      <c r="BA29" s="57">
        <v>7.2056382977988653E-4</v>
      </c>
      <c r="BB29" s="57">
        <v>8.83005873271818E-4</v>
      </c>
      <c r="BC29" s="57">
        <v>8.5308173301776836E-5</v>
      </c>
      <c r="BD29" s="57">
        <v>2.4074721015278676E-3</v>
      </c>
      <c r="BE29" s="57">
        <v>4.7262714666010695E-4</v>
      </c>
      <c r="BF29" s="57">
        <v>5.1199483395799996E-3</v>
      </c>
      <c r="BG29" s="57">
        <v>1.6510504192278447E-4</v>
      </c>
      <c r="BH29" s="57">
        <v>3.3342669857092995E-4</v>
      </c>
      <c r="BI29" s="57">
        <v>5.9200861194710355E-4</v>
      </c>
      <c r="BJ29" s="57">
        <v>2.1096266217599847E-4</v>
      </c>
      <c r="BK29" s="57">
        <v>1.0151965365597323E-3</v>
      </c>
      <c r="BL29" s="57">
        <v>1.0585232872170116E-2</v>
      </c>
      <c r="BM29" s="57">
        <v>2.427624277868664E-3</v>
      </c>
      <c r="BN29" s="57">
        <v>2.8183291764484037E-3</v>
      </c>
      <c r="BO29" s="57">
        <v>9.8744237892602772E-3</v>
      </c>
      <c r="BP29" s="57">
        <v>3.4177049869193112E-3</v>
      </c>
      <c r="BQ29" s="57">
        <v>3.9348699950458556E-4</v>
      </c>
      <c r="BR29" s="57">
        <v>1.129357236040402E-3</v>
      </c>
      <c r="BS29" s="57">
        <v>0</v>
      </c>
      <c r="BT29" s="57">
        <v>4.9774868346663479E-3</v>
      </c>
    </row>
    <row r="30" spans="1:72" ht="22.5">
      <c r="A30" s="38">
        <v>24</v>
      </c>
      <c r="B30" s="65" t="s">
        <v>97</v>
      </c>
      <c r="C30" s="39" t="s">
        <v>67</v>
      </c>
      <c r="D30" s="57">
        <v>2.3984108357134212E-4</v>
      </c>
      <c r="E30" s="57">
        <v>2.7427195366998159E-7</v>
      </c>
      <c r="F30" s="57">
        <v>9.3014279303381964E-5</v>
      </c>
      <c r="G30" s="57">
        <v>3.2908562504881708E-5</v>
      </c>
      <c r="H30" s="57">
        <v>4.6073609035574903E-4</v>
      </c>
      <c r="I30" s="57">
        <v>4.3509109120560971E-4</v>
      </c>
      <c r="J30" s="57">
        <v>5.512325130277632E-4</v>
      </c>
      <c r="K30" s="57">
        <v>1.9532432400662316E-3</v>
      </c>
      <c r="L30" s="57">
        <v>1.1412505663326413E-2</v>
      </c>
      <c r="M30" s="57">
        <v>6.3231514194781362E-3</v>
      </c>
      <c r="N30" s="57">
        <v>1.1899919095312733E-3</v>
      </c>
      <c r="O30" s="57">
        <v>0</v>
      </c>
      <c r="P30" s="57">
        <v>0</v>
      </c>
      <c r="Q30" s="57">
        <v>0</v>
      </c>
      <c r="R30" s="57">
        <v>1.0352484427337292E-6</v>
      </c>
      <c r="S30" s="57">
        <v>0</v>
      </c>
      <c r="T30" s="57">
        <v>0</v>
      </c>
      <c r="U30" s="57">
        <v>0</v>
      </c>
      <c r="V30" s="57">
        <v>7.014977160372303E-4</v>
      </c>
      <c r="W30" s="57">
        <v>6.7168152367975064E-4</v>
      </c>
      <c r="X30" s="57">
        <v>2.1693920208889543E-5</v>
      </c>
      <c r="Y30" s="57">
        <v>1.1506175642583788E-3</v>
      </c>
      <c r="Z30" s="57">
        <v>2.6995809842576088E-5</v>
      </c>
      <c r="AA30" s="57">
        <v>7.1443069825998365E-2</v>
      </c>
      <c r="AB30" s="57">
        <v>2.1971555166659168E-3</v>
      </c>
      <c r="AC30" s="57">
        <v>0</v>
      </c>
      <c r="AD30" s="57">
        <v>1.2084635700191919E-3</v>
      </c>
      <c r="AE30" s="57">
        <v>5.6622448826533632E-5</v>
      </c>
      <c r="AF30" s="57">
        <v>3.7191996762593707E-4</v>
      </c>
      <c r="AG30" s="57">
        <v>5.3613835692677985E-5</v>
      </c>
      <c r="AH30" s="57">
        <v>1.7416822894752637E-7</v>
      </c>
      <c r="AI30" s="57">
        <v>3.3951485297945073E-5</v>
      </c>
      <c r="AJ30" s="57">
        <v>5.6951555127881079E-5</v>
      </c>
      <c r="AK30" s="57">
        <v>5.2005673854725685E-3</v>
      </c>
      <c r="AL30" s="57">
        <v>1.2155433888460993E-3</v>
      </c>
      <c r="AM30" s="57">
        <v>1.4135820260782251E-4</v>
      </c>
      <c r="AN30" s="57">
        <v>1.2546696384442532E-5</v>
      </c>
      <c r="AO30" s="57">
        <v>1.3886844900513708E-3</v>
      </c>
      <c r="AP30" s="57">
        <v>4.6381845072633434E-3</v>
      </c>
      <c r="AQ30" s="57">
        <v>0</v>
      </c>
      <c r="AR30" s="57">
        <v>1.0751087741245359E-3</v>
      </c>
      <c r="AS30" s="57">
        <v>7.4322487928884628E-4</v>
      </c>
      <c r="AT30" s="57">
        <v>0.11086402239706779</v>
      </c>
      <c r="AU30" s="57">
        <v>0</v>
      </c>
      <c r="AV30" s="57">
        <v>2.5018810681316467E-3</v>
      </c>
      <c r="AW30" s="57">
        <v>3.3784885781873745E-4</v>
      </c>
      <c r="AX30" s="57">
        <v>7.3301172190892749E-4</v>
      </c>
      <c r="AY30" s="57">
        <v>0</v>
      </c>
      <c r="AZ30" s="57">
        <v>3.0349058298017938E-3</v>
      </c>
      <c r="BA30" s="57">
        <v>2.2009989083077294E-3</v>
      </c>
      <c r="BB30" s="57">
        <v>0</v>
      </c>
      <c r="BC30" s="57">
        <v>1.8481843487657124E-2</v>
      </c>
      <c r="BD30" s="57">
        <v>5.2473858873282571E-3</v>
      </c>
      <c r="BE30" s="57">
        <v>3.3359947883885599E-7</v>
      </c>
      <c r="BF30" s="57">
        <v>3.198348949371834E-5</v>
      </c>
      <c r="BG30" s="57">
        <v>1.8116156254471582E-6</v>
      </c>
      <c r="BH30" s="57">
        <v>0</v>
      </c>
      <c r="BI30" s="57">
        <v>2.9898135029127824E-6</v>
      </c>
      <c r="BJ30" s="57">
        <v>1.3845223028389298E-4</v>
      </c>
      <c r="BK30" s="57">
        <v>7.0814657912556152E-4</v>
      </c>
      <c r="BL30" s="57">
        <v>3.2159161496079242E-3</v>
      </c>
      <c r="BM30" s="57">
        <v>3.0345221689088113E-4</v>
      </c>
      <c r="BN30" s="57">
        <v>1.0523126983679185E-3</v>
      </c>
      <c r="BO30" s="57">
        <v>4.1333084006846691E-3</v>
      </c>
      <c r="BP30" s="57">
        <v>8.4045696869918581E-4</v>
      </c>
      <c r="BQ30" s="57">
        <v>1.217475948091259E-2</v>
      </c>
      <c r="BR30" s="57">
        <v>7.4262910880435185E-3</v>
      </c>
      <c r="BS30" s="57">
        <v>0</v>
      </c>
      <c r="BT30" s="57">
        <v>8.889152362321389E-3</v>
      </c>
    </row>
    <row r="31" spans="1:72" ht="22.5">
      <c r="A31" s="38">
        <v>25</v>
      </c>
      <c r="B31" s="65" t="s">
        <v>174</v>
      </c>
      <c r="C31" s="39" t="s">
        <v>173</v>
      </c>
      <c r="D31" s="57">
        <v>8.7019381546864295E-5</v>
      </c>
      <c r="E31" s="57">
        <v>0</v>
      </c>
      <c r="F31" s="57">
        <v>0</v>
      </c>
      <c r="G31" s="57">
        <v>1.0664222393289352E-2</v>
      </c>
      <c r="H31" s="57">
        <v>3.3987874421327971E-4</v>
      </c>
      <c r="I31" s="57">
        <v>0</v>
      </c>
      <c r="J31" s="57">
        <v>0.11555781599042095</v>
      </c>
      <c r="K31" s="57">
        <v>6.0969031546962652E-3</v>
      </c>
      <c r="L31" s="57">
        <v>3.494053136301023E-2</v>
      </c>
      <c r="M31" s="57">
        <v>0.1223683969172</v>
      </c>
      <c r="N31" s="57">
        <v>1.3664731581657943E-2</v>
      </c>
      <c r="O31" s="57">
        <v>0</v>
      </c>
      <c r="P31" s="57">
        <v>1.2340859708566304E-9</v>
      </c>
      <c r="Q31" s="57">
        <v>0</v>
      </c>
      <c r="R31" s="57">
        <v>0</v>
      </c>
      <c r="S31" s="57">
        <v>0</v>
      </c>
      <c r="T31" s="57">
        <v>0</v>
      </c>
      <c r="U31" s="57">
        <v>0</v>
      </c>
      <c r="V31" s="57">
        <v>0.11328628954981838</v>
      </c>
      <c r="W31" s="57">
        <v>2.9996966235342405E-2</v>
      </c>
      <c r="X31" s="57">
        <v>4.7922488295674449E-3</v>
      </c>
      <c r="Y31" s="57">
        <v>0</v>
      </c>
      <c r="Z31" s="57">
        <v>5.273773702471849E-4</v>
      </c>
      <c r="AA31" s="57">
        <v>3.9914066361595897E-2</v>
      </c>
      <c r="AB31" s="57">
        <v>0.10391511891220458</v>
      </c>
      <c r="AC31" s="57">
        <v>9.0447390069141112E-2</v>
      </c>
      <c r="AD31" s="57">
        <v>0.24332308789827392</v>
      </c>
      <c r="AE31" s="57">
        <v>2.2606817344319173E-4</v>
      </c>
      <c r="AF31" s="57">
        <v>3.6637337647928564E-2</v>
      </c>
      <c r="AG31" s="57">
        <v>7.3166692876679096E-2</v>
      </c>
      <c r="AH31" s="57">
        <v>2.138903268259184E-5</v>
      </c>
      <c r="AI31" s="57">
        <v>7.3465755122335361E-3</v>
      </c>
      <c r="AJ31" s="57">
        <v>3.0679702993781841E-2</v>
      </c>
      <c r="AK31" s="57">
        <v>3.1538331320340923E-2</v>
      </c>
      <c r="AL31" s="57">
        <v>5.1304057004528114E-2</v>
      </c>
      <c r="AM31" s="57">
        <v>0</v>
      </c>
      <c r="AN31" s="57">
        <v>1.8083321543165545E-3</v>
      </c>
      <c r="AO31" s="57">
        <v>0.18828701998712322</v>
      </c>
      <c r="AP31" s="57">
        <v>6.3426342672114402E-2</v>
      </c>
      <c r="AQ31" s="57">
        <v>0</v>
      </c>
      <c r="AR31" s="57">
        <v>7.7534772137425087E-2</v>
      </c>
      <c r="AS31" s="57">
        <v>4.7237927917745573E-2</v>
      </c>
      <c r="AT31" s="57">
        <v>3.292030749648503E-2</v>
      </c>
      <c r="AU31" s="57">
        <v>0</v>
      </c>
      <c r="AV31" s="57">
        <v>4.7877742279930323E-3</v>
      </c>
      <c r="AW31" s="57">
        <v>2.7425174992489138E-3</v>
      </c>
      <c r="AX31" s="57">
        <v>2.8193239523804276E-2</v>
      </c>
      <c r="AY31" s="57">
        <v>0</v>
      </c>
      <c r="AZ31" s="57">
        <v>0</v>
      </c>
      <c r="BA31" s="57">
        <v>1.7139821163857278E-2</v>
      </c>
      <c r="BB31" s="57">
        <v>0</v>
      </c>
      <c r="BC31" s="57">
        <v>0</v>
      </c>
      <c r="BD31" s="57">
        <v>0</v>
      </c>
      <c r="BE31" s="57">
        <v>2.2682044075995613E-7</v>
      </c>
      <c r="BF31" s="57">
        <v>0</v>
      </c>
      <c r="BG31" s="57">
        <v>0</v>
      </c>
      <c r="BH31" s="57">
        <v>0</v>
      </c>
      <c r="BI31" s="57">
        <v>0</v>
      </c>
      <c r="BJ31" s="57">
        <v>1.1414240223422434E-5</v>
      </c>
      <c r="BK31" s="57">
        <v>1.001348237393828E-2</v>
      </c>
      <c r="BL31" s="57">
        <v>2.7306417256581E-4</v>
      </c>
      <c r="BM31" s="57">
        <v>0</v>
      </c>
      <c r="BN31" s="57">
        <v>0</v>
      </c>
      <c r="BO31" s="57">
        <v>0</v>
      </c>
      <c r="BP31" s="57">
        <v>0</v>
      </c>
      <c r="BQ31" s="57">
        <v>0</v>
      </c>
      <c r="BR31" s="57">
        <v>0</v>
      </c>
      <c r="BS31" s="57">
        <v>0</v>
      </c>
      <c r="BT31" s="57">
        <v>1.383807978743142E-2</v>
      </c>
    </row>
    <row r="32" spans="1:72" ht="33.75">
      <c r="A32" s="38">
        <v>26</v>
      </c>
      <c r="B32" s="65" t="s">
        <v>172</v>
      </c>
      <c r="C32" s="39" t="s">
        <v>171</v>
      </c>
      <c r="D32" s="57">
        <v>5.5824109939061807E-5</v>
      </c>
      <c r="E32" s="57">
        <v>0</v>
      </c>
      <c r="F32" s="57">
        <v>0</v>
      </c>
      <c r="G32" s="57">
        <v>3.9850130048999058E-4</v>
      </c>
      <c r="H32" s="57">
        <v>1.7460891602649131E-2</v>
      </c>
      <c r="I32" s="57">
        <v>0</v>
      </c>
      <c r="J32" s="57">
        <v>5.9145799645372778E-3</v>
      </c>
      <c r="K32" s="57">
        <v>9.1691363169181468E-5</v>
      </c>
      <c r="L32" s="57">
        <v>1.4311507327400218E-3</v>
      </c>
      <c r="M32" s="57">
        <v>3.520750681179606E-2</v>
      </c>
      <c r="N32" s="57">
        <v>6.2728063882782412E-6</v>
      </c>
      <c r="O32" s="57">
        <v>0</v>
      </c>
      <c r="P32" s="57">
        <v>0</v>
      </c>
      <c r="Q32" s="57">
        <v>0</v>
      </c>
      <c r="R32" s="57">
        <v>3.1764149823758254E-5</v>
      </c>
      <c r="S32" s="57">
        <v>0</v>
      </c>
      <c r="T32" s="57">
        <v>0</v>
      </c>
      <c r="U32" s="57">
        <v>0</v>
      </c>
      <c r="V32" s="57">
        <v>1.1106798977102761E-2</v>
      </c>
      <c r="W32" s="57">
        <v>8.4643475780412196E-3</v>
      </c>
      <c r="X32" s="57">
        <v>5.9992007218730548E-5</v>
      </c>
      <c r="Y32" s="57">
        <v>0</v>
      </c>
      <c r="Z32" s="57">
        <v>0</v>
      </c>
      <c r="AA32" s="57">
        <v>1.3368299882574722E-4</v>
      </c>
      <c r="AB32" s="57">
        <v>6.3819376552540588E-6</v>
      </c>
      <c r="AC32" s="57">
        <v>7.1163656611197843E-3</v>
      </c>
      <c r="AD32" s="57">
        <v>3.0552759099416022E-3</v>
      </c>
      <c r="AE32" s="57">
        <v>2.0047446180540302E-5</v>
      </c>
      <c r="AF32" s="57">
        <v>0</v>
      </c>
      <c r="AG32" s="57">
        <v>8.5687102975884821E-4</v>
      </c>
      <c r="AH32" s="57">
        <v>0</v>
      </c>
      <c r="AI32" s="57">
        <v>1.096045758822214E-6</v>
      </c>
      <c r="AJ32" s="57">
        <v>1.970694414512308E-3</v>
      </c>
      <c r="AK32" s="57">
        <v>2.8138475814043485E-4</v>
      </c>
      <c r="AL32" s="57">
        <v>3.3717815094060893E-5</v>
      </c>
      <c r="AM32" s="57">
        <v>0</v>
      </c>
      <c r="AN32" s="57">
        <v>1.3780279138207052E-4</v>
      </c>
      <c r="AO32" s="57">
        <v>9.3541260453045057E-3</v>
      </c>
      <c r="AP32" s="57">
        <v>8.0662941901507822E-3</v>
      </c>
      <c r="AQ32" s="57">
        <v>4.5276460659482806E-4</v>
      </c>
      <c r="AR32" s="57">
        <v>1.2384393838082187E-2</v>
      </c>
      <c r="AS32" s="57">
        <v>2.0528619565758103E-3</v>
      </c>
      <c r="AT32" s="57">
        <v>2.7114964825973296E-3</v>
      </c>
      <c r="AU32" s="57">
        <v>0</v>
      </c>
      <c r="AV32" s="57">
        <v>9.0515047897585918E-5</v>
      </c>
      <c r="AW32" s="57">
        <v>3.3476714915811341E-5</v>
      </c>
      <c r="AX32" s="57">
        <v>1.433916317657492E-2</v>
      </c>
      <c r="AY32" s="57">
        <v>0</v>
      </c>
      <c r="AZ32" s="57">
        <v>0</v>
      </c>
      <c r="BA32" s="57">
        <v>6.4571028714428705E-5</v>
      </c>
      <c r="BB32" s="57">
        <v>0</v>
      </c>
      <c r="BC32" s="57">
        <v>0</v>
      </c>
      <c r="BD32" s="57">
        <v>0</v>
      </c>
      <c r="BE32" s="57">
        <v>0</v>
      </c>
      <c r="BF32" s="57">
        <v>0</v>
      </c>
      <c r="BG32" s="57">
        <v>0</v>
      </c>
      <c r="BH32" s="57">
        <v>0</v>
      </c>
      <c r="BI32" s="57">
        <v>0</v>
      </c>
      <c r="BJ32" s="57">
        <v>3.0296366935489059E-5</v>
      </c>
      <c r="BK32" s="57">
        <v>4.8201544297701978E-3</v>
      </c>
      <c r="BL32" s="57">
        <v>2.4769857657830986E-4</v>
      </c>
      <c r="BM32" s="57">
        <v>0</v>
      </c>
      <c r="BN32" s="57">
        <v>0</v>
      </c>
      <c r="BO32" s="57">
        <v>0</v>
      </c>
      <c r="BP32" s="57">
        <v>0</v>
      </c>
      <c r="BQ32" s="57">
        <v>3.9335943319439135E-4</v>
      </c>
      <c r="BR32" s="57">
        <v>0</v>
      </c>
      <c r="BS32" s="57">
        <v>0</v>
      </c>
      <c r="BT32" s="57">
        <v>2.4896112644982719E-3</v>
      </c>
    </row>
    <row r="33" spans="1:72" ht="22.5">
      <c r="A33" s="38">
        <v>27</v>
      </c>
      <c r="B33" s="65" t="s">
        <v>170</v>
      </c>
      <c r="C33" s="39" t="s">
        <v>169</v>
      </c>
      <c r="D33" s="57">
        <v>1.8461305568625482E-4</v>
      </c>
      <c r="E33" s="57">
        <v>0</v>
      </c>
      <c r="F33" s="57">
        <v>5.3108912477667488E-3</v>
      </c>
      <c r="G33" s="57">
        <v>0</v>
      </c>
      <c r="H33" s="57">
        <v>1.1967889457289108E-3</v>
      </c>
      <c r="I33" s="57">
        <v>0</v>
      </c>
      <c r="J33" s="57">
        <v>0</v>
      </c>
      <c r="K33" s="57">
        <v>6.5250471345593684E-4</v>
      </c>
      <c r="L33" s="57">
        <v>7.4685766737387447E-3</v>
      </c>
      <c r="M33" s="57">
        <v>1.8997388017775747E-9</v>
      </c>
      <c r="N33" s="57">
        <v>2.1555716833425303E-5</v>
      </c>
      <c r="O33" s="57">
        <v>0</v>
      </c>
      <c r="P33" s="57">
        <v>9.6005718102791559E-5</v>
      </c>
      <c r="Q33" s="57">
        <v>0</v>
      </c>
      <c r="R33" s="57">
        <v>0</v>
      </c>
      <c r="S33" s="57">
        <v>0</v>
      </c>
      <c r="T33" s="57">
        <v>0</v>
      </c>
      <c r="U33" s="57">
        <v>0</v>
      </c>
      <c r="V33" s="57">
        <v>0</v>
      </c>
      <c r="W33" s="57">
        <v>0</v>
      </c>
      <c r="X33" s="57">
        <v>8.0164929320898813E-5</v>
      </c>
      <c r="Y33" s="57">
        <v>0</v>
      </c>
      <c r="Z33" s="57">
        <v>0</v>
      </c>
      <c r="AA33" s="57">
        <v>5.1287074376477971E-3</v>
      </c>
      <c r="AB33" s="57">
        <v>2.6093718839904434E-4</v>
      </c>
      <c r="AC33" s="57">
        <v>0</v>
      </c>
      <c r="AD33" s="57">
        <v>4.0662400859268436E-2</v>
      </c>
      <c r="AE33" s="57">
        <v>5.5105905519957346E-8</v>
      </c>
      <c r="AF33" s="57">
        <v>7.2796020629705893E-3</v>
      </c>
      <c r="AG33" s="57">
        <v>8.948547024017893E-3</v>
      </c>
      <c r="AH33" s="57">
        <v>5.8473558212944812E-7</v>
      </c>
      <c r="AI33" s="57">
        <v>1.3840856056284071E-4</v>
      </c>
      <c r="AJ33" s="57">
        <v>1.5639932722361785E-3</v>
      </c>
      <c r="AK33" s="57">
        <v>0</v>
      </c>
      <c r="AL33" s="57">
        <v>1.1736705714619639E-7</v>
      </c>
      <c r="AM33" s="57">
        <v>0</v>
      </c>
      <c r="AN33" s="57">
        <v>0</v>
      </c>
      <c r="AO33" s="57">
        <v>1.5265258232707968E-2</v>
      </c>
      <c r="AP33" s="57">
        <v>2.5551301702191019E-3</v>
      </c>
      <c r="AQ33" s="57">
        <v>0</v>
      </c>
      <c r="AR33" s="57">
        <v>4.9510783503357797E-3</v>
      </c>
      <c r="AS33" s="57">
        <v>3.2788602238759705E-3</v>
      </c>
      <c r="AT33" s="57">
        <v>9.29924108561485E-3</v>
      </c>
      <c r="AU33" s="57">
        <v>0</v>
      </c>
      <c r="AV33" s="57">
        <v>1.4268274805547364E-4</v>
      </c>
      <c r="AW33" s="57">
        <v>1.6410971340353409E-4</v>
      </c>
      <c r="AX33" s="57">
        <v>2.3185776296629355E-4</v>
      </c>
      <c r="AY33" s="57">
        <v>0</v>
      </c>
      <c r="AZ33" s="57">
        <v>0</v>
      </c>
      <c r="BA33" s="57">
        <v>5.9863638867604732E-7</v>
      </c>
      <c r="BB33" s="57">
        <v>0</v>
      </c>
      <c r="BC33" s="57">
        <v>0</v>
      </c>
      <c r="BD33" s="57">
        <v>0</v>
      </c>
      <c r="BE33" s="57">
        <v>3.4228122674380607E-5</v>
      </c>
      <c r="BF33" s="57">
        <v>0</v>
      </c>
      <c r="BG33" s="57">
        <v>0</v>
      </c>
      <c r="BH33" s="57">
        <v>0</v>
      </c>
      <c r="BI33" s="57">
        <v>0</v>
      </c>
      <c r="BJ33" s="57">
        <v>9.8788487851195236E-6</v>
      </c>
      <c r="BK33" s="57">
        <v>1.041594292364334E-3</v>
      </c>
      <c r="BL33" s="57">
        <v>6.4058232145512085E-5</v>
      </c>
      <c r="BM33" s="57">
        <v>0</v>
      </c>
      <c r="BN33" s="57">
        <v>0</v>
      </c>
      <c r="BO33" s="57">
        <v>0</v>
      </c>
      <c r="BP33" s="57">
        <v>0</v>
      </c>
      <c r="BQ33" s="57">
        <v>0</v>
      </c>
      <c r="BR33" s="57">
        <v>0</v>
      </c>
      <c r="BS33" s="57">
        <v>0</v>
      </c>
      <c r="BT33" s="57">
        <v>1.11077392631541E-3</v>
      </c>
    </row>
    <row r="34" spans="1:72" ht="22.5">
      <c r="A34" s="38">
        <v>28</v>
      </c>
      <c r="B34" s="65" t="s">
        <v>168</v>
      </c>
      <c r="C34" s="39" t="s">
        <v>167</v>
      </c>
      <c r="D34" s="57">
        <v>5.5267600937679956E-6</v>
      </c>
      <c r="E34" s="57">
        <v>2.8078591256964366E-5</v>
      </c>
      <c r="F34" s="57">
        <v>0</v>
      </c>
      <c r="G34" s="57">
        <v>0</v>
      </c>
      <c r="H34" s="57">
        <v>4.3700750107878556E-4</v>
      </c>
      <c r="I34" s="57">
        <v>0</v>
      </c>
      <c r="J34" s="57">
        <v>2.3548718760902594E-2</v>
      </c>
      <c r="K34" s="57">
        <v>0.17064313771997966</v>
      </c>
      <c r="L34" s="57">
        <v>7.3660146123857633E-7</v>
      </c>
      <c r="M34" s="57">
        <v>9.5379996046966514E-4</v>
      </c>
      <c r="N34" s="57">
        <v>2.3067106017697102E-4</v>
      </c>
      <c r="O34" s="57">
        <v>0</v>
      </c>
      <c r="P34" s="57">
        <v>0</v>
      </c>
      <c r="Q34" s="57">
        <v>0</v>
      </c>
      <c r="R34" s="57">
        <v>0</v>
      </c>
      <c r="S34" s="57">
        <v>0</v>
      </c>
      <c r="T34" s="57">
        <v>2.885719540758229E-4</v>
      </c>
      <c r="U34" s="57">
        <v>0</v>
      </c>
      <c r="V34" s="57">
        <v>0</v>
      </c>
      <c r="W34" s="57">
        <v>2.612168820137675E-3</v>
      </c>
      <c r="X34" s="57">
        <v>1.0110632940088164E-3</v>
      </c>
      <c r="Y34" s="57">
        <v>1.4301215295938186E-3</v>
      </c>
      <c r="Z34" s="57">
        <v>6.7308736987787795E-4</v>
      </c>
      <c r="AA34" s="57">
        <v>9.6012833776919423E-3</v>
      </c>
      <c r="AB34" s="57">
        <v>4.532679343580974E-2</v>
      </c>
      <c r="AC34" s="57">
        <v>0</v>
      </c>
      <c r="AD34" s="57">
        <v>3.9508678458992589E-3</v>
      </c>
      <c r="AE34" s="57">
        <v>3.933013836160805E-2</v>
      </c>
      <c r="AF34" s="57">
        <v>0.21578555278245259</v>
      </c>
      <c r="AG34" s="57">
        <v>3.4996367294244338E-2</v>
      </c>
      <c r="AH34" s="57">
        <v>7.828484200537526E-3</v>
      </c>
      <c r="AI34" s="57">
        <v>5.5435538164393082E-2</v>
      </c>
      <c r="AJ34" s="57">
        <v>7.697489787186749E-3</v>
      </c>
      <c r="AK34" s="57">
        <v>1.2826734492884214E-2</v>
      </c>
      <c r="AL34" s="57">
        <v>1.2281679339530853E-2</v>
      </c>
      <c r="AM34" s="57">
        <v>6.7188919206339964E-3</v>
      </c>
      <c r="AN34" s="57">
        <v>1.9075452877695631E-2</v>
      </c>
      <c r="AO34" s="57">
        <v>4.7630449869306571E-3</v>
      </c>
      <c r="AP34" s="57">
        <v>2.9703499033067685E-2</v>
      </c>
      <c r="AQ34" s="57">
        <v>0</v>
      </c>
      <c r="AR34" s="57">
        <v>2.1866923602632682E-4</v>
      </c>
      <c r="AS34" s="57">
        <v>5.7592574485127827E-2</v>
      </c>
      <c r="AT34" s="57">
        <v>9.0822539283716322E-2</v>
      </c>
      <c r="AU34" s="57">
        <v>3.0051209173568394E-3</v>
      </c>
      <c r="AV34" s="57">
        <v>0</v>
      </c>
      <c r="AW34" s="57">
        <v>0</v>
      </c>
      <c r="AX34" s="57">
        <v>2.990698255170608E-4</v>
      </c>
      <c r="AY34" s="57">
        <v>0</v>
      </c>
      <c r="AZ34" s="57">
        <v>0</v>
      </c>
      <c r="BA34" s="57">
        <v>0</v>
      </c>
      <c r="BB34" s="57">
        <v>0</v>
      </c>
      <c r="BC34" s="57">
        <v>0</v>
      </c>
      <c r="BD34" s="57">
        <v>0</v>
      </c>
      <c r="BE34" s="57">
        <v>8.7232353019106373E-6</v>
      </c>
      <c r="BF34" s="57">
        <v>1.5089683018594947E-3</v>
      </c>
      <c r="BG34" s="57">
        <v>6.9816527712341037E-2</v>
      </c>
      <c r="BH34" s="57">
        <v>0</v>
      </c>
      <c r="BI34" s="57">
        <v>0</v>
      </c>
      <c r="BJ34" s="57">
        <v>6.7583334351907821E-5</v>
      </c>
      <c r="BK34" s="57">
        <v>2.3142955206532909E-2</v>
      </c>
      <c r="BL34" s="57">
        <v>5.0440771692142653E-5</v>
      </c>
      <c r="BM34" s="57">
        <v>0</v>
      </c>
      <c r="BN34" s="57">
        <v>7.9252228943157139E-6</v>
      </c>
      <c r="BO34" s="57">
        <v>3.1074259724796541E-5</v>
      </c>
      <c r="BP34" s="57">
        <v>2.0024079866224583E-6</v>
      </c>
      <c r="BQ34" s="57">
        <v>2.1515088252778135E-4</v>
      </c>
      <c r="BR34" s="57">
        <v>0</v>
      </c>
      <c r="BS34" s="57">
        <v>0</v>
      </c>
      <c r="BT34" s="57">
        <v>1.856398351798326E-2</v>
      </c>
    </row>
    <row r="35" spans="1:72">
      <c r="A35" s="38">
        <v>29</v>
      </c>
      <c r="B35" s="65" t="s">
        <v>166</v>
      </c>
      <c r="C35" s="39" t="s">
        <v>165</v>
      </c>
      <c r="D35" s="57">
        <v>4.5341187588385685E-6</v>
      </c>
      <c r="E35" s="57">
        <v>0</v>
      </c>
      <c r="F35" s="57">
        <v>4.6582679131363464E-7</v>
      </c>
      <c r="G35" s="57">
        <v>0</v>
      </c>
      <c r="H35" s="57">
        <v>1.4427816693665923E-3</v>
      </c>
      <c r="I35" s="57">
        <v>1.3606447587785437E-3</v>
      </c>
      <c r="J35" s="57">
        <v>0</v>
      </c>
      <c r="K35" s="57">
        <v>5.6654557042011437E-6</v>
      </c>
      <c r="L35" s="57">
        <v>0</v>
      </c>
      <c r="M35" s="57">
        <v>1.3006238750773863E-3</v>
      </c>
      <c r="N35" s="57">
        <v>0</v>
      </c>
      <c r="O35" s="57">
        <v>0</v>
      </c>
      <c r="P35" s="57">
        <v>0</v>
      </c>
      <c r="Q35" s="57">
        <v>0</v>
      </c>
      <c r="R35" s="57">
        <v>0</v>
      </c>
      <c r="S35" s="57">
        <v>0</v>
      </c>
      <c r="T35" s="57">
        <v>0</v>
      </c>
      <c r="U35" s="57">
        <v>0</v>
      </c>
      <c r="V35" s="57">
        <v>0</v>
      </c>
      <c r="W35" s="57">
        <v>5.4641905882722589E-3</v>
      </c>
      <c r="X35" s="57">
        <v>0</v>
      </c>
      <c r="Y35" s="57">
        <v>0</v>
      </c>
      <c r="Z35" s="57">
        <v>1.7180850025935763E-6</v>
      </c>
      <c r="AA35" s="57">
        <v>3.4434780167904518E-5</v>
      </c>
      <c r="AB35" s="57">
        <v>0</v>
      </c>
      <c r="AC35" s="57">
        <v>0</v>
      </c>
      <c r="AD35" s="57">
        <v>0</v>
      </c>
      <c r="AE35" s="57">
        <v>9.6024096559030142E-8</v>
      </c>
      <c r="AF35" s="57">
        <v>0</v>
      </c>
      <c r="AG35" s="57">
        <v>1.7977164645362246E-3</v>
      </c>
      <c r="AH35" s="57">
        <v>0</v>
      </c>
      <c r="AI35" s="57">
        <v>1.7169752534406915E-6</v>
      </c>
      <c r="AJ35" s="57">
        <v>8.5171084892230694E-6</v>
      </c>
      <c r="AK35" s="57">
        <v>2.5200753453826511E-4</v>
      </c>
      <c r="AL35" s="57">
        <v>2.4984501133432189E-4</v>
      </c>
      <c r="AM35" s="57">
        <v>0</v>
      </c>
      <c r="AN35" s="57">
        <v>0</v>
      </c>
      <c r="AO35" s="57">
        <v>2.4568788187750394E-5</v>
      </c>
      <c r="AP35" s="57">
        <v>3.83113300375626E-5</v>
      </c>
      <c r="AQ35" s="57">
        <v>1.3401848097283333E-3</v>
      </c>
      <c r="AR35" s="57">
        <v>8.5308295141789728E-4</v>
      </c>
      <c r="AS35" s="57">
        <v>2.1481286952897481E-3</v>
      </c>
      <c r="AT35" s="57">
        <v>2.4720584878542976E-4</v>
      </c>
      <c r="AU35" s="57">
        <v>0</v>
      </c>
      <c r="AV35" s="57">
        <v>5.9907525648811541E-5</v>
      </c>
      <c r="AW35" s="57">
        <v>0</v>
      </c>
      <c r="AX35" s="57">
        <v>6.5980824535403376E-4</v>
      </c>
      <c r="AY35" s="57">
        <v>0</v>
      </c>
      <c r="AZ35" s="57">
        <v>0</v>
      </c>
      <c r="BA35" s="57">
        <v>0</v>
      </c>
      <c r="BB35" s="57">
        <v>0</v>
      </c>
      <c r="BC35" s="57">
        <v>0</v>
      </c>
      <c r="BD35" s="57">
        <v>0</v>
      </c>
      <c r="BE35" s="57">
        <v>0</v>
      </c>
      <c r="BF35" s="57">
        <v>0</v>
      </c>
      <c r="BG35" s="57">
        <v>0</v>
      </c>
      <c r="BH35" s="57">
        <v>0</v>
      </c>
      <c r="BI35" s="57">
        <v>0</v>
      </c>
      <c r="BJ35" s="57">
        <v>1.295114974699161E-5</v>
      </c>
      <c r="BK35" s="57">
        <v>6.7151162177291475E-5</v>
      </c>
      <c r="BL35" s="57">
        <v>0</v>
      </c>
      <c r="BM35" s="57">
        <v>0</v>
      </c>
      <c r="BN35" s="57">
        <v>0</v>
      </c>
      <c r="BO35" s="57">
        <v>0</v>
      </c>
      <c r="BP35" s="57">
        <v>0</v>
      </c>
      <c r="BQ35" s="57">
        <v>0</v>
      </c>
      <c r="BR35" s="57">
        <v>0</v>
      </c>
      <c r="BS35" s="57">
        <v>0</v>
      </c>
      <c r="BT35" s="57">
        <v>2.2777940364243518E-4</v>
      </c>
    </row>
    <row r="36" spans="1:72" ht="22.5">
      <c r="A36" s="38">
        <v>30</v>
      </c>
      <c r="B36" s="65" t="s">
        <v>66</v>
      </c>
      <c r="C36" s="39" t="s">
        <v>65</v>
      </c>
      <c r="D36" s="57">
        <v>1.0433269565053947E-3</v>
      </c>
      <c r="E36" s="57">
        <v>1.0470846091264679E-2</v>
      </c>
      <c r="F36" s="57">
        <v>1.5567259903660137E-3</v>
      </c>
      <c r="G36" s="57">
        <v>1.7952332430385982E-2</v>
      </c>
      <c r="H36" s="57">
        <v>5.6167222553989019E-3</v>
      </c>
      <c r="I36" s="57">
        <v>5.1151827869665564E-3</v>
      </c>
      <c r="J36" s="57">
        <v>7.6391532082905472E-4</v>
      </c>
      <c r="K36" s="57">
        <v>4.9736191253518965E-4</v>
      </c>
      <c r="L36" s="57">
        <v>3.1660890893841394E-2</v>
      </c>
      <c r="M36" s="57">
        <v>2.7684029177149788E-3</v>
      </c>
      <c r="N36" s="57">
        <v>1.2449479184428473E-3</v>
      </c>
      <c r="O36" s="57">
        <v>0</v>
      </c>
      <c r="P36" s="57">
        <v>4.2227953750772174E-5</v>
      </c>
      <c r="Q36" s="57">
        <v>1.3334510105213088E-5</v>
      </c>
      <c r="R36" s="57">
        <v>2.3502825923459951E-5</v>
      </c>
      <c r="S36" s="57">
        <v>2.1074721255353534E-3</v>
      </c>
      <c r="T36" s="57">
        <v>0</v>
      </c>
      <c r="U36" s="57">
        <v>0</v>
      </c>
      <c r="V36" s="57">
        <v>8.8113619491717986E-4</v>
      </c>
      <c r="W36" s="57">
        <v>5.6543463675485031E-4</v>
      </c>
      <c r="X36" s="57">
        <v>1.5045650240685007E-5</v>
      </c>
      <c r="Y36" s="57">
        <v>7.353974820468719E-7</v>
      </c>
      <c r="Z36" s="57">
        <v>1.2867257444888825E-5</v>
      </c>
      <c r="AA36" s="57">
        <v>4.5898213366798116E-3</v>
      </c>
      <c r="AB36" s="57">
        <v>9.356063136572155E-5</v>
      </c>
      <c r="AC36" s="57">
        <v>1.0580354567691539E-6</v>
      </c>
      <c r="AD36" s="57">
        <v>7.5640343724387975E-6</v>
      </c>
      <c r="AE36" s="57">
        <v>7.3161314339761277E-6</v>
      </c>
      <c r="AF36" s="57">
        <v>1.0985516928061141E-5</v>
      </c>
      <c r="AG36" s="57">
        <v>3.9842625930733012E-4</v>
      </c>
      <c r="AH36" s="57">
        <v>1.0872794157668051E-6</v>
      </c>
      <c r="AI36" s="57">
        <v>3.7349227150293933E-5</v>
      </c>
      <c r="AJ36" s="57">
        <v>3.7492858263643667E-5</v>
      </c>
      <c r="AK36" s="57">
        <v>1.2687903383460999E-3</v>
      </c>
      <c r="AL36" s="57">
        <v>1.2244855983179453E-3</v>
      </c>
      <c r="AM36" s="57">
        <v>4.9752953260111836E-3</v>
      </c>
      <c r="AN36" s="57">
        <v>7.2391714415628955E-5</v>
      </c>
      <c r="AO36" s="57">
        <v>4.015348937422742E-3</v>
      </c>
      <c r="AP36" s="57">
        <v>2.0194427576429625E-3</v>
      </c>
      <c r="AQ36" s="57">
        <v>1.0191198200275869E-2</v>
      </c>
      <c r="AR36" s="57">
        <v>1.2305129427114011E-2</v>
      </c>
      <c r="AS36" s="57">
        <v>7.3170159393221293E-3</v>
      </c>
      <c r="AT36" s="57">
        <v>5.1495964794761456E-3</v>
      </c>
      <c r="AU36" s="57">
        <v>1.5227922273988866E-2</v>
      </c>
      <c r="AV36" s="57">
        <v>3.1347803360709616E-3</v>
      </c>
      <c r="AW36" s="57">
        <v>1.0809302631732198E-2</v>
      </c>
      <c r="AX36" s="57">
        <v>5.16249397213991E-3</v>
      </c>
      <c r="AY36" s="57">
        <v>2.7662513916240704E-3</v>
      </c>
      <c r="AZ36" s="57">
        <v>4.2366408340187967E-4</v>
      </c>
      <c r="BA36" s="57">
        <v>4.8200434353190711E-3</v>
      </c>
      <c r="BB36" s="57">
        <v>4.677179023400169E-3</v>
      </c>
      <c r="BC36" s="57">
        <v>3.4082490826220085E-3</v>
      </c>
      <c r="BD36" s="57">
        <v>1.4638598940314234E-3</v>
      </c>
      <c r="BE36" s="57">
        <v>7.0215015127141484E-3</v>
      </c>
      <c r="BF36" s="57">
        <v>5.6027772564378908E-2</v>
      </c>
      <c r="BG36" s="57">
        <v>1.2335816902830392E-5</v>
      </c>
      <c r="BH36" s="57">
        <v>2.5732310992855346E-4</v>
      </c>
      <c r="BI36" s="57">
        <v>1.6539743154917753E-5</v>
      </c>
      <c r="BJ36" s="57">
        <v>6.5018580302213897E-3</v>
      </c>
      <c r="BK36" s="57">
        <v>1.0123562575401384E-2</v>
      </c>
      <c r="BL36" s="57">
        <v>2.8943365045268404E-3</v>
      </c>
      <c r="BM36" s="57">
        <v>5.2024671201919013E-3</v>
      </c>
      <c r="BN36" s="57">
        <v>3.7375980258847912E-3</v>
      </c>
      <c r="BO36" s="57">
        <v>1.6324738249310783E-3</v>
      </c>
      <c r="BP36" s="57">
        <v>6.1736058598467324E-3</v>
      </c>
      <c r="BQ36" s="57">
        <v>9.5452149242780133E-3</v>
      </c>
      <c r="BR36" s="57">
        <v>1.7561487264011271E-3</v>
      </c>
      <c r="BS36" s="57">
        <v>0</v>
      </c>
      <c r="BT36" s="57">
        <v>4.2092535205421741E-3</v>
      </c>
    </row>
    <row r="37" spans="1:72" ht="22.5">
      <c r="A37" s="38">
        <v>31</v>
      </c>
      <c r="B37" s="65" t="s">
        <v>64</v>
      </c>
      <c r="C37" s="39" t="s">
        <v>135</v>
      </c>
      <c r="D37" s="57">
        <v>6.8772164120877634E-6</v>
      </c>
      <c r="E37" s="57">
        <v>4.8590704992058112E-4</v>
      </c>
      <c r="F37" s="57">
        <v>0</v>
      </c>
      <c r="G37" s="57">
        <v>6.5887404908332302E-9</v>
      </c>
      <c r="H37" s="57">
        <v>6.3894491305965318E-4</v>
      </c>
      <c r="I37" s="57">
        <v>6.0545184480894233E-4</v>
      </c>
      <c r="J37" s="57">
        <v>1.2752807185575259E-5</v>
      </c>
      <c r="K37" s="57">
        <v>3.3889195805657339E-6</v>
      </c>
      <c r="L37" s="57">
        <v>1.1785623379817221E-6</v>
      </c>
      <c r="M37" s="57">
        <v>1.4895282023097428E-4</v>
      </c>
      <c r="N37" s="57">
        <v>1.3162262778502418E-6</v>
      </c>
      <c r="O37" s="57">
        <v>0</v>
      </c>
      <c r="P37" s="57">
        <v>0</v>
      </c>
      <c r="Q37" s="57">
        <v>0</v>
      </c>
      <c r="R37" s="57">
        <v>0</v>
      </c>
      <c r="S37" s="57">
        <v>0</v>
      </c>
      <c r="T37" s="57">
        <v>1.3644145682405264E-7</v>
      </c>
      <c r="U37" s="57">
        <v>3.9427842339407153E-6</v>
      </c>
      <c r="V37" s="57">
        <v>0</v>
      </c>
      <c r="W37" s="57">
        <v>3.5006707153635802E-5</v>
      </c>
      <c r="X37" s="57">
        <v>1.3860817477728464E-5</v>
      </c>
      <c r="Y37" s="57">
        <v>5.4482258733652439E-6</v>
      </c>
      <c r="Z37" s="57">
        <v>2.2538189792002717E-7</v>
      </c>
      <c r="AA37" s="57">
        <v>4.7073059771405087E-7</v>
      </c>
      <c r="AB37" s="57">
        <v>4.877620802472793E-6</v>
      </c>
      <c r="AC37" s="57">
        <v>0</v>
      </c>
      <c r="AD37" s="57">
        <v>0</v>
      </c>
      <c r="AE37" s="57">
        <v>1.7477619288046172E-9</v>
      </c>
      <c r="AF37" s="57">
        <v>1.3449046471729339E-5</v>
      </c>
      <c r="AG37" s="57">
        <v>5.7761305807039132E-7</v>
      </c>
      <c r="AH37" s="57">
        <v>6.7343965682706253E-4</v>
      </c>
      <c r="AI37" s="57">
        <v>5.6505562622566113E-4</v>
      </c>
      <c r="AJ37" s="57">
        <v>7.0856610771660868E-5</v>
      </c>
      <c r="AK37" s="57">
        <v>3.3785508745097964E-4</v>
      </c>
      <c r="AL37" s="57">
        <v>5.9615637212874853E-4</v>
      </c>
      <c r="AM37" s="57">
        <v>0</v>
      </c>
      <c r="AN37" s="57">
        <v>0</v>
      </c>
      <c r="AO37" s="57">
        <v>2.3191859076088209E-4</v>
      </c>
      <c r="AP37" s="57">
        <v>1.04197215847295E-3</v>
      </c>
      <c r="AQ37" s="57">
        <v>1.1410194321315794E-5</v>
      </c>
      <c r="AR37" s="57">
        <v>7.9836638736292074E-6</v>
      </c>
      <c r="AS37" s="57">
        <v>1.1209887781368101E-5</v>
      </c>
      <c r="AT37" s="57">
        <v>3.5636267404407735E-5</v>
      </c>
      <c r="AU37" s="57">
        <v>9.8788540459768861E-5</v>
      </c>
      <c r="AV37" s="57">
        <v>2.8351743223877333E-5</v>
      </c>
      <c r="AW37" s="57">
        <v>3.3885589260246526E-5</v>
      </c>
      <c r="AX37" s="57">
        <v>5.0705205091066231E-5</v>
      </c>
      <c r="AY37" s="57">
        <v>1.1329540335236368E-4</v>
      </c>
      <c r="AZ37" s="57">
        <v>3.510883769322152E-4</v>
      </c>
      <c r="BA37" s="57">
        <v>9.5780601225061296E-3</v>
      </c>
      <c r="BB37" s="57">
        <v>1.2484916288120075E-3</v>
      </c>
      <c r="BC37" s="57">
        <v>1.1813607573525778E-3</v>
      </c>
      <c r="BD37" s="57">
        <v>4.6279590376117479E-4</v>
      </c>
      <c r="BE37" s="57">
        <v>4.6349631468609008E-3</v>
      </c>
      <c r="BF37" s="57">
        <v>1.301998559838642E-2</v>
      </c>
      <c r="BG37" s="57">
        <v>1.465219259495068E-3</v>
      </c>
      <c r="BH37" s="57">
        <v>1.8262719598827087E-3</v>
      </c>
      <c r="BI37" s="57">
        <v>3.5669606074723143E-3</v>
      </c>
      <c r="BJ37" s="57">
        <v>1.3142294899037878E-4</v>
      </c>
      <c r="BK37" s="57">
        <v>1.7978730223300596E-3</v>
      </c>
      <c r="BL37" s="57">
        <v>2.6888724429008897E-3</v>
      </c>
      <c r="BM37" s="57">
        <v>9.5963463161416441E-4</v>
      </c>
      <c r="BN37" s="57">
        <v>7.8158010888102435E-4</v>
      </c>
      <c r="BO37" s="57">
        <v>5.1336460909786608E-3</v>
      </c>
      <c r="BP37" s="57">
        <v>8.4857416801685786E-4</v>
      </c>
      <c r="BQ37" s="57">
        <v>1.4921593732566078E-3</v>
      </c>
      <c r="BR37" s="57">
        <v>1.6202724063744955E-3</v>
      </c>
      <c r="BS37" s="57">
        <v>0</v>
      </c>
      <c r="BT37" s="57">
        <v>7.9368776778507375E-4</v>
      </c>
    </row>
    <row r="38" spans="1:72">
      <c r="A38" s="38">
        <v>32</v>
      </c>
      <c r="B38" s="65" t="s">
        <v>96</v>
      </c>
      <c r="C38" s="39" t="s">
        <v>164</v>
      </c>
      <c r="D38" s="57">
        <v>7.5364392397671002E-5</v>
      </c>
      <c r="E38" s="57">
        <v>5.1425991313121552E-7</v>
      </c>
      <c r="F38" s="57">
        <v>2.5641456711047817E-6</v>
      </c>
      <c r="G38" s="57">
        <v>2.1223431244388974E-5</v>
      </c>
      <c r="H38" s="57">
        <v>2.5716769036659977E-3</v>
      </c>
      <c r="I38" s="57">
        <v>2.579821763617287E-3</v>
      </c>
      <c r="J38" s="57">
        <v>8.0294381615469192E-5</v>
      </c>
      <c r="K38" s="57">
        <v>6.8937545871558749E-6</v>
      </c>
      <c r="L38" s="57">
        <v>2.9209194343954507E-3</v>
      </c>
      <c r="M38" s="57">
        <v>1.072640020953663E-4</v>
      </c>
      <c r="N38" s="57">
        <v>2.4561276736274754E-7</v>
      </c>
      <c r="O38" s="57">
        <v>0</v>
      </c>
      <c r="P38" s="57">
        <v>1.4562214456108238E-7</v>
      </c>
      <c r="Q38" s="57">
        <v>2.9790608698347093E-8</v>
      </c>
      <c r="R38" s="57">
        <v>3.0995462357297277E-7</v>
      </c>
      <c r="S38" s="57">
        <v>0</v>
      </c>
      <c r="T38" s="57">
        <v>3.1951480395505997E-7</v>
      </c>
      <c r="U38" s="57">
        <v>0</v>
      </c>
      <c r="V38" s="57">
        <v>8.8545572648517689E-5</v>
      </c>
      <c r="W38" s="57">
        <v>7.82814624031449E-5</v>
      </c>
      <c r="X38" s="57">
        <v>1.9748213208036907E-5</v>
      </c>
      <c r="Y38" s="57">
        <v>0</v>
      </c>
      <c r="Z38" s="57">
        <v>1.2860025940142727E-6</v>
      </c>
      <c r="AA38" s="57">
        <v>4.4076387969825613E-6</v>
      </c>
      <c r="AB38" s="57">
        <v>1.3401944046235536E-5</v>
      </c>
      <c r="AC38" s="57">
        <v>1.4384167841272485E-8</v>
      </c>
      <c r="AD38" s="57">
        <v>0</v>
      </c>
      <c r="AE38" s="57">
        <v>5.8749475093888853E-6</v>
      </c>
      <c r="AF38" s="57">
        <v>2.0438171028950959E-6</v>
      </c>
      <c r="AG38" s="57">
        <v>5.3883542791937306E-6</v>
      </c>
      <c r="AH38" s="57">
        <v>1.1796989488855407E-3</v>
      </c>
      <c r="AI38" s="57">
        <v>1.2400363238567707E-3</v>
      </c>
      <c r="AJ38" s="57">
        <v>2.0898742064306991E-4</v>
      </c>
      <c r="AK38" s="57">
        <v>5.7599077943749303E-4</v>
      </c>
      <c r="AL38" s="57">
        <v>6.2754246527000008E-4</v>
      </c>
      <c r="AM38" s="57">
        <v>0</v>
      </c>
      <c r="AN38" s="57">
        <v>0</v>
      </c>
      <c r="AO38" s="57">
        <v>9.6414532809606433E-4</v>
      </c>
      <c r="AP38" s="57">
        <v>6.7872937908412664E-3</v>
      </c>
      <c r="AQ38" s="57">
        <v>0</v>
      </c>
      <c r="AR38" s="57">
        <v>1.0753101403517969E-4</v>
      </c>
      <c r="AS38" s="57">
        <v>3.9324738992840445E-4</v>
      </c>
      <c r="AT38" s="57">
        <v>3.8294715874846399E-4</v>
      </c>
      <c r="AU38" s="57">
        <v>4.8725746120348527E-3</v>
      </c>
      <c r="AV38" s="57">
        <v>3.8841456049398262E-4</v>
      </c>
      <c r="AW38" s="57">
        <v>5.0700152542387941E-4</v>
      </c>
      <c r="AX38" s="57">
        <v>7.148635109068662E-5</v>
      </c>
      <c r="AY38" s="57">
        <v>5.9135030807034418E-6</v>
      </c>
      <c r="AZ38" s="57">
        <v>4.1753418745423703E-4</v>
      </c>
      <c r="BA38" s="57">
        <v>6.1404694764359373E-4</v>
      </c>
      <c r="BB38" s="57">
        <v>0</v>
      </c>
      <c r="BC38" s="57">
        <v>6.1595867353386388E-3</v>
      </c>
      <c r="BD38" s="57">
        <v>1.1185160895979486E-3</v>
      </c>
      <c r="BE38" s="57">
        <v>6.4602848310573141E-4</v>
      </c>
      <c r="BF38" s="57">
        <v>4.5854459002646047E-3</v>
      </c>
      <c r="BG38" s="57">
        <v>7.2502160999431741E-5</v>
      </c>
      <c r="BH38" s="57">
        <v>2.3429819264382902E-5</v>
      </c>
      <c r="BI38" s="57">
        <v>1.3684553347255101E-4</v>
      </c>
      <c r="BJ38" s="57">
        <v>9.7766561428672496E-4</v>
      </c>
      <c r="BK38" s="57">
        <v>6.7464977441315202E-4</v>
      </c>
      <c r="BL38" s="57">
        <v>4.8283543178783564E-3</v>
      </c>
      <c r="BM38" s="57">
        <v>7.457987642441043E-4</v>
      </c>
      <c r="BN38" s="57">
        <v>1.2197130573604288E-3</v>
      </c>
      <c r="BO38" s="57">
        <v>8.2945021133985449E-4</v>
      </c>
      <c r="BP38" s="57">
        <v>9.1978376773947299E-4</v>
      </c>
      <c r="BQ38" s="57">
        <v>6.3228768552070509E-3</v>
      </c>
      <c r="BR38" s="57">
        <v>1.6032295890649004E-3</v>
      </c>
      <c r="BS38" s="57">
        <v>0</v>
      </c>
      <c r="BT38" s="57">
        <v>9.3705592467277043E-4</v>
      </c>
    </row>
    <row r="39" spans="1:72" ht="22.5">
      <c r="A39" s="38">
        <v>33</v>
      </c>
      <c r="B39" s="65" t="s">
        <v>95</v>
      </c>
      <c r="C39" s="39" t="s">
        <v>163</v>
      </c>
      <c r="D39" s="57">
        <v>4.2619176920617816E-3</v>
      </c>
      <c r="E39" s="57">
        <v>6.618867921940831E-4</v>
      </c>
      <c r="F39" s="57">
        <v>1.9725876125140616E-4</v>
      </c>
      <c r="G39" s="57">
        <v>4.873111092656781E-2</v>
      </c>
      <c r="H39" s="57">
        <v>1.1054660693724941E-2</v>
      </c>
      <c r="I39" s="57">
        <v>5.9581668544695489E-3</v>
      </c>
      <c r="J39" s="57">
        <v>3.729392290426705E-3</v>
      </c>
      <c r="K39" s="57">
        <v>1.6785541468658629E-3</v>
      </c>
      <c r="L39" s="57">
        <v>2.0263636757612412E-2</v>
      </c>
      <c r="M39" s="57">
        <v>8.6181223301409274E-3</v>
      </c>
      <c r="N39" s="57">
        <v>3.3863230133519525E-4</v>
      </c>
      <c r="O39" s="57">
        <v>2.1078625077403497E-4</v>
      </c>
      <c r="P39" s="57">
        <v>3.1413658388155524E-5</v>
      </c>
      <c r="Q39" s="57">
        <v>1.2313860486024423E-3</v>
      </c>
      <c r="R39" s="57">
        <v>8.2654566286126071E-8</v>
      </c>
      <c r="S39" s="57">
        <v>9.9900893400587914E-7</v>
      </c>
      <c r="T39" s="57">
        <v>2.3087189824916006E-3</v>
      </c>
      <c r="U39" s="57">
        <v>1.3782195334071699E-4</v>
      </c>
      <c r="V39" s="57">
        <v>7.767431197058661E-3</v>
      </c>
      <c r="W39" s="57">
        <v>6.070793191644358E-3</v>
      </c>
      <c r="X39" s="57">
        <v>5.6365223376030563E-6</v>
      </c>
      <c r="Y39" s="57">
        <v>3.2670611976031351E-5</v>
      </c>
      <c r="Z39" s="57">
        <v>6.0477074191610291E-5</v>
      </c>
      <c r="AA39" s="57">
        <v>2.809339395655368E-3</v>
      </c>
      <c r="AB39" s="57">
        <v>8.6031107709643036E-4</v>
      </c>
      <c r="AC39" s="57">
        <v>1.2154462001788125E-4</v>
      </c>
      <c r="AD39" s="57">
        <v>0</v>
      </c>
      <c r="AE39" s="57">
        <v>6.858310337202019E-5</v>
      </c>
      <c r="AF39" s="57">
        <v>3.102222388322914E-7</v>
      </c>
      <c r="AG39" s="57">
        <v>9.3917105143369142E-6</v>
      </c>
      <c r="AH39" s="57">
        <v>5.8003891078704296E-7</v>
      </c>
      <c r="AI39" s="57">
        <v>3.635055331379566E-6</v>
      </c>
      <c r="AJ39" s="57">
        <v>1.7066048060844572E-3</v>
      </c>
      <c r="AK39" s="57">
        <v>9.13309673001642E-4</v>
      </c>
      <c r="AL39" s="57">
        <v>1.7942999831872806E-3</v>
      </c>
      <c r="AM39" s="57">
        <v>0</v>
      </c>
      <c r="AN39" s="57">
        <v>4.0965666591360863E-7</v>
      </c>
      <c r="AO39" s="57">
        <v>8.7772093891885566E-4</v>
      </c>
      <c r="AP39" s="57">
        <v>5.4717098989686026E-4</v>
      </c>
      <c r="AQ39" s="57">
        <v>2.2094875695504615E-3</v>
      </c>
      <c r="AR39" s="57">
        <v>7.7828611820691248E-3</v>
      </c>
      <c r="AS39" s="57">
        <v>9.1111890995637006E-4</v>
      </c>
      <c r="AT39" s="57">
        <v>3.469421944570525E-4</v>
      </c>
      <c r="AU39" s="57">
        <v>9.0371222909335809E-3</v>
      </c>
      <c r="AV39" s="57">
        <v>4.3270064845471614E-4</v>
      </c>
      <c r="AW39" s="57">
        <v>9.0008128119969542E-4</v>
      </c>
      <c r="AX39" s="57">
        <v>4.4705386532225989E-3</v>
      </c>
      <c r="AY39" s="57">
        <v>5.0981956085375084E-3</v>
      </c>
      <c r="AZ39" s="57">
        <v>2.8709926674981687E-4</v>
      </c>
      <c r="BA39" s="57">
        <v>2.9668361715573413E-3</v>
      </c>
      <c r="BB39" s="57">
        <v>2.8163725511293415E-5</v>
      </c>
      <c r="BC39" s="57">
        <v>4.8172675041247394E-3</v>
      </c>
      <c r="BD39" s="57">
        <v>2.4174561171271406E-3</v>
      </c>
      <c r="BE39" s="57">
        <v>9.8300068328110502E-4</v>
      </c>
      <c r="BF39" s="57">
        <v>3.0961416223386504E-3</v>
      </c>
      <c r="BG39" s="57">
        <v>2.7511775686722733E-4</v>
      </c>
      <c r="BH39" s="57">
        <v>3.3579780020416555E-4</v>
      </c>
      <c r="BI39" s="57">
        <v>4.5073399538420955E-4</v>
      </c>
      <c r="BJ39" s="57">
        <v>1.3687542547952629E-5</v>
      </c>
      <c r="BK39" s="57">
        <v>1.4476035493707145E-2</v>
      </c>
      <c r="BL39" s="57">
        <v>5.1906201438315083E-3</v>
      </c>
      <c r="BM39" s="57">
        <v>2.4122477214155481E-3</v>
      </c>
      <c r="BN39" s="57">
        <v>1.3691802205513023E-3</v>
      </c>
      <c r="BO39" s="57">
        <v>2.0100317386106317E-3</v>
      </c>
      <c r="BP39" s="57">
        <v>1.0756075165166388E-3</v>
      </c>
      <c r="BQ39" s="57">
        <v>9.191865753088096E-4</v>
      </c>
      <c r="BR39" s="57">
        <v>1.1854960576781295E-3</v>
      </c>
      <c r="BS39" s="57">
        <v>0</v>
      </c>
      <c r="BT39" s="57">
        <v>2.7576104135288836E-3</v>
      </c>
    </row>
    <row r="40" spans="1:72">
      <c r="A40" s="38">
        <v>34</v>
      </c>
      <c r="B40" s="65" t="s">
        <v>63</v>
      </c>
      <c r="C40" s="39" t="s">
        <v>62</v>
      </c>
      <c r="D40" s="57">
        <v>2.8307878730398348E-4</v>
      </c>
      <c r="E40" s="57">
        <v>6.9253668301670349E-6</v>
      </c>
      <c r="F40" s="57">
        <v>2.9141452602539453E-5</v>
      </c>
      <c r="G40" s="57">
        <v>4.1019631486121955E-4</v>
      </c>
      <c r="H40" s="57">
        <v>4.1792690503038864E-5</v>
      </c>
      <c r="I40" s="57">
        <v>3.939425846195111E-5</v>
      </c>
      <c r="J40" s="57">
        <v>4.6251123236668159E-4</v>
      </c>
      <c r="K40" s="57">
        <v>5.4029084543526369E-5</v>
      </c>
      <c r="L40" s="57">
        <v>1.6611138320889095E-4</v>
      </c>
      <c r="M40" s="57">
        <v>3.1785479761941492E-4</v>
      </c>
      <c r="N40" s="57">
        <v>2.6491961132177756E-5</v>
      </c>
      <c r="O40" s="57">
        <v>0</v>
      </c>
      <c r="P40" s="57">
        <v>6.6517233829172379E-7</v>
      </c>
      <c r="Q40" s="57">
        <v>0</v>
      </c>
      <c r="R40" s="57">
        <v>0</v>
      </c>
      <c r="S40" s="57">
        <v>5.2734569958998873E-6</v>
      </c>
      <c r="T40" s="57">
        <v>3.1329721858079933E-6</v>
      </c>
      <c r="U40" s="57">
        <v>8.6928447650384312E-6</v>
      </c>
      <c r="V40" s="57">
        <v>2.4970301773121395E-4</v>
      </c>
      <c r="W40" s="57">
        <v>1.4813357570575913E-8</v>
      </c>
      <c r="X40" s="57">
        <v>1.7621167015049269E-6</v>
      </c>
      <c r="Y40" s="57">
        <v>0</v>
      </c>
      <c r="Z40" s="57">
        <v>4.7727931324241045E-7</v>
      </c>
      <c r="AA40" s="57">
        <v>1.0295649794581903E-5</v>
      </c>
      <c r="AB40" s="57">
        <v>2.2857530902005411E-6</v>
      </c>
      <c r="AC40" s="57">
        <v>0</v>
      </c>
      <c r="AD40" s="57">
        <v>0</v>
      </c>
      <c r="AE40" s="57">
        <v>3.3544691890021796E-6</v>
      </c>
      <c r="AF40" s="57">
        <v>0</v>
      </c>
      <c r="AG40" s="57">
        <v>3.9761540169775432E-7</v>
      </c>
      <c r="AH40" s="57">
        <v>0</v>
      </c>
      <c r="AI40" s="57">
        <v>3.2000621708469997E-7</v>
      </c>
      <c r="AJ40" s="57">
        <v>4.8600381538957031E-7</v>
      </c>
      <c r="AK40" s="57">
        <v>4.7465536252782131E-2</v>
      </c>
      <c r="AL40" s="57">
        <v>0</v>
      </c>
      <c r="AM40" s="57">
        <v>0</v>
      </c>
      <c r="AN40" s="57">
        <v>0</v>
      </c>
      <c r="AO40" s="57">
        <v>4.3233267273004574E-3</v>
      </c>
      <c r="AP40" s="57">
        <v>1.0940973239641809E-4</v>
      </c>
      <c r="AQ40" s="57">
        <v>2.6143091201832197E-6</v>
      </c>
      <c r="AR40" s="57">
        <v>4.3890594153392144E-5</v>
      </c>
      <c r="AS40" s="57">
        <v>6.8422119560922006E-4</v>
      </c>
      <c r="AT40" s="57">
        <v>2.1106978465297029E-4</v>
      </c>
      <c r="AU40" s="57">
        <v>0.11028405157338118</v>
      </c>
      <c r="AV40" s="57">
        <v>7.8792834199198421E-5</v>
      </c>
      <c r="AW40" s="57">
        <v>8.0595951272987407E-5</v>
      </c>
      <c r="AX40" s="57">
        <v>8.9337477658727198E-4</v>
      </c>
      <c r="AY40" s="57">
        <v>0</v>
      </c>
      <c r="AZ40" s="57">
        <v>2.9576155202304763E-5</v>
      </c>
      <c r="BA40" s="57">
        <v>1.1427421959927409E-3</v>
      </c>
      <c r="BB40" s="57">
        <v>1.282563828206789E-3</v>
      </c>
      <c r="BC40" s="57">
        <v>0</v>
      </c>
      <c r="BD40" s="57">
        <v>8.2562479432342676E-4</v>
      </c>
      <c r="BE40" s="57">
        <v>7.2769914450770268E-5</v>
      </c>
      <c r="BF40" s="57">
        <v>0</v>
      </c>
      <c r="BG40" s="57">
        <v>8.5836313927558674E-6</v>
      </c>
      <c r="BH40" s="57">
        <v>6.9984282680620109E-5</v>
      </c>
      <c r="BI40" s="57">
        <v>9.9977247501001134E-5</v>
      </c>
      <c r="BJ40" s="57">
        <v>7.2421229201859616E-5</v>
      </c>
      <c r="BK40" s="57">
        <v>2.3914128047611112E-4</v>
      </c>
      <c r="BL40" s="57">
        <v>4.4515961107679554E-4</v>
      </c>
      <c r="BM40" s="57">
        <v>5.1961507295954419E-4</v>
      </c>
      <c r="BN40" s="57">
        <v>3.5940915002176686E-4</v>
      </c>
      <c r="BO40" s="57">
        <v>6.0655857029364921E-4</v>
      </c>
      <c r="BP40" s="57">
        <v>1.9259937810172584E-3</v>
      </c>
      <c r="BQ40" s="57">
        <v>6.1729416736697198E-5</v>
      </c>
      <c r="BR40" s="57">
        <v>1.8170947668511607E-5</v>
      </c>
      <c r="BS40" s="57">
        <v>0</v>
      </c>
      <c r="BT40" s="57">
        <v>2.9016063097369277E-3</v>
      </c>
    </row>
    <row r="41" spans="1:72">
      <c r="A41" s="38">
        <v>35</v>
      </c>
      <c r="B41" s="65" t="s">
        <v>61</v>
      </c>
      <c r="C41" s="39" t="s">
        <v>60</v>
      </c>
      <c r="D41" s="57">
        <v>5.2532709344887547E-7</v>
      </c>
      <c r="E41" s="57">
        <v>0</v>
      </c>
      <c r="F41" s="57">
        <v>0</v>
      </c>
      <c r="G41" s="57">
        <v>3.6336793994603753E-4</v>
      </c>
      <c r="H41" s="57">
        <v>8.6597081872789085E-7</v>
      </c>
      <c r="I41" s="57">
        <v>8.044342226753863E-7</v>
      </c>
      <c r="J41" s="57">
        <v>3.9334168557413762E-4</v>
      </c>
      <c r="K41" s="57">
        <v>2.4391033432959233E-6</v>
      </c>
      <c r="L41" s="57">
        <v>0</v>
      </c>
      <c r="M41" s="57">
        <v>0</v>
      </c>
      <c r="N41" s="57">
        <v>0</v>
      </c>
      <c r="O41" s="57">
        <v>0</v>
      </c>
      <c r="P41" s="57">
        <v>0</v>
      </c>
      <c r="Q41" s="57">
        <v>0</v>
      </c>
      <c r="R41" s="57">
        <v>0</v>
      </c>
      <c r="S41" s="57">
        <v>0</v>
      </c>
      <c r="T41" s="57">
        <v>0</v>
      </c>
      <c r="U41" s="57">
        <v>0</v>
      </c>
      <c r="V41" s="57">
        <v>0</v>
      </c>
      <c r="W41" s="57">
        <v>7.8746711559435581E-6</v>
      </c>
      <c r="X41" s="57">
        <v>0</v>
      </c>
      <c r="Y41" s="57">
        <v>0</v>
      </c>
      <c r="Z41" s="57">
        <v>0</v>
      </c>
      <c r="AA41" s="57">
        <v>0</v>
      </c>
      <c r="AB41" s="57">
        <v>0</v>
      </c>
      <c r="AC41" s="57">
        <v>0</v>
      </c>
      <c r="AD41" s="57">
        <v>0</v>
      </c>
      <c r="AE41" s="57">
        <v>2.1222970291949244E-6</v>
      </c>
      <c r="AF41" s="57">
        <v>6.003712739754345E-6</v>
      </c>
      <c r="AG41" s="57">
        <v>0</v>
      </c>
      <c r="AH41" s="57">
        <v>0</v>
      </c>
      <c r="AI41" s="57">
        <v>3.3468540135464034E-7</v>
      </c>
      <c r="AJ41" s="57">
        <v>1.731599322423692E-6</v>
      </c>
      <c r="AK41" s="57">
        <v>0</v>
      </c>
      <c r="AL41" s="57">
        <v>1.1420397925510042E-2</v>
      </c>
      <c r="AM41" s="57">
        <v>0</v>
      </c>
      <c r="AN41" s="57">
        <v>0</v>
      </c>
      <c r="AO41" s="57">
        <v>4.2781811223742639E-4</v>
      </c>
      <c r="AP41" s="57">
        <v>1.518993585141169E-6</v>
      </c>
      <c r="AQ41" s="57">
        <v>0</v>
      </c>
      <c r="AR41" s="57">
        <v>3.5782343980882133E-6</v>
      </c>
      <c r="AS41" s="57">
        <v>0</v>
      </c>
      <c r="AT41" s="57">
        <v>2.7412407955667661E-8</v>
      </c>
      <c r="AU41" s="57">
        <v>0</v>
      </c>
      <c r="AV41" s="57">
        <v>0</v>
      </c>
      <c r="AW41" s="57">
        <v>5.3924219906910723E-5</v>
      </c>
      <c r="AX41" s="57">
        <v>7.7483968920914401E-3</v>
      </c>
      <c r="AY41" s="57">
        <v>0</v>
      </c>
      <c r="AZ41" s="57">
        <v>1.1423009119248862E-2</v>
      </c>
      <c r="BA41" s="57">
        <v>1.2804932582095347E-3</v>
      </c>
      <c r="BB41" s="57">
        <v>0</v>
      </c>
      <c r="BC41" s="57">
        <v>0</v>
      </c>
      <c r="BD41" s="57">
        <v>0</v>
      </c>
      <c r="BE41" s="57">
        <v>0</v>
      </c>
      <c r="BF41" s="57">
        <v>0</v>
      </c>
      <c r="BG41" s="57">
        <v>0</v>
      </c>
      <c r="BH41" s="57">
        <v>0</v>
      </c>
      <c r="BI41" s="57">
        <v>0</v>
      </c>
      <c r="BJ41" s="57">
        <v>0</v>
      </c>
      <c r="BK41" s="57">
        <v>2.4629265582127315E-7</v>
      </c>
      <c r="BL41" s="57">
        <v>9.415582728737813E-4</v>
      </c>
      <c r="BM41" s="57">
        <v>2.224465329570478E-4</v>
      </c>
      <c r="BN41" s="57">
        <v>1.1164538802204881E-4</v>
      </c>
      <c r="BO41" s="57">
        <v>2.4390385692993151E-4</v>
      </c>
      <c r="BP41" s="57">
        <v>1.810441601128074E-5</v>
      </c>
      <c r="BQ41" s="57">
        <v>7.9367519198101754E-4</v>
      </c>
      <c r="BR41" s="57">
        <v>0</v>
      </c>
      <c r="BS41" s="57">
        <v>0</v>
      </c>
      <c r="BT41" s="57">
        <v>4.6131426035254399E-4</v>
      </c>
    </row>
    <row r="42" spans="1:72">
      <c r="A42" s="38">
        <v>36</v>
      </c>
      <c r="B42" s="65" t="s">
        <v>59</v>
      </c>
      <c r="C42" s="39" t="s">
        <v>58</v>
      </c>
      <c r="D42" s="57">
        <v>3.7708353779410504E-7</v>
      </c>
      <c r="E42" s="57">
        <v>3.0855594787872931E-7</v>
      </c>
      <c r="F42" s="57">
        <v>0</v>
      </c>
      <c r="G42" s="57">
        <v>0</v>
      </c>
      <c r="H42" s="57">
        <v>7.5872399216097015E-8</v>
      </c>
      <c r="I42" s="57">
        <v>7.1478342075071971E-8</v>
      </c>
      <c r="J42" s="57">
        <v>0</v>
      </c>
      <c r="K42" s="57">
        <v>1.0710870987881587E-9</v>
      </c>
      <c r="L42" s="57">
        <v>0</v>
      </c>
      <c r="M42" s="57">
        <v>0</v>
      </c>
      <c r="N42" s="57">
        <v>9.7417061918789292E-10</v>
      </c>
      <c r="O42" s="57">
        <v>0</v>
      </c>
      <c r="P42" s="57">
        <v>0</v>
      </c>
      <c r="Q42" s="57">
        <v>0</v>
      </c>
      <c r="R42" s="57">
        <v>0</v>
      </c>
      <c r="S42" s="57">
        <v>0</v>
      </c>
      <c r="T42" s="57">
        <v>0</v>
      </c>
      <c r="U42" s="57">
        <v>0</v>
      </c>
      <c r="V42" s="57">
        <v>0</v>
      </c>
      <c r="W42" s="57">
        <v>0</v>
      </c>
      <c r="X42" s="57">
        <v>2.0009841890758574E-9</v>
      </c>
      <c r="Y42" s="57">
        <v>0</v>
      </c>
      <c r="Z42" s="57">
        <v>0</v>
      </c>
      <c r="AA42" s="57">
        <v>1.8371966085977702E-8</v>
      </c>
      <c r="AB42" s="57">
        <v>1.2086213805418123E-8</v>
      </c>
      <c r="AC42" s="57">
        <v>0</v>
      </c>
      <c r="AD42" s="57">
        <v>0</v>
      </c>
      <c r="AE42" s="57">
        <v>0</v>
      </c>
      <c r="AF42" s="57">
        <v>0</v>
      </c>
      <c r="AG42" s="57">
        <v>1.3777634115596859E-5</v>
      </c>
      <c r="AH42" s="57">
        <v>0</v>
      </c>
      <c r="AI42" s="57">
        <v>2.4465307116567277E-9</v>
      </c>
      <c r="AJ42" s="57">
        <v>0</v>
      </c>
      <c r="AK42" s="57">
        <v>0</v>
      </c>
      <c r="AL42" s="57">
        <v>0</v>
      </c>
      <c r="AM42" s="57">
        <v>0</v>
      </c>
      <c r="AN42" s="57">
        <v>0</v>
      </c>
      <c r="AO42" s="57">
        <v>0</v>
      </c>
      <c r="AP42" s="57">
        <v>2.2274317698078488E-6</v>
      </c>
      <c r="AQ42" s="57">
        <v>0</v>
      </c>
      <c r="AR42" s="57">
        <v>0</v>
      </c>
      <c r="AS42" s="57">
        <v>8.4806395685647026E-7</v>
      </c>
      <c r="AT42" s="57">
        <v>8.7617594238501648E-6</v>
      </c>
      <c r="AU42" s="57">
        <v>0</v>
      </c>
      <c r="AV42" s="57">
        <v>1.120410554792028E-6</v>
      </c>
      <c r="AW42" s="57">
        <v>7.2643273613222004E-7</v>
      </c>
      <c r="AX42" s="57">
        <v>6.5186138647709693E-8</v>
      </c>
      <c r="AY42" s="57">
        <v>0</v>
      </c>
      <c r="AZ42" s="57">
        <v>0</v>
      </c>
      <c r="BA42" s="57">
        <v>1.3363775292615973E-8</v>
      </c>
      <c r="BB42" s="57">
        <v>0</v>
      </c>
      <c r="BC42" s="57">
        <v>1.2543103023508601E-3</v>
      </c>
      <c r="BD42" s="57">
        <v>3.9324477129354173E-4</v>
      </c>
      <c r="BE42" s="57">
        <v>1.8975383200008324E-7</v>
      </c>
      <c r="BF42" s="57">
        <v>0</v>
      </c>
      <c r="BG42" s="57">
        <v>5.4467534511327613E-7</v>
      </c>
      <c r="BH42" s="57">
        <v>0</v>
      </c>
      <c r="BI42" s="57">
        <v>0</v>
      </c>
      <c r="BJ42" s="57">
        <v>4.6946483242267968E-6</v>
      </c>
      <c r="BK42" s="57">
        <v>1.191322450450978E-6</v>
      </c>
      <c r="BL42" s="57">
        <v>3.136302240695798E-5</v>
      </c>
      <c r="BM42" s="57">
        <v>3.7508939086854781E-4</v>
      </c>
      <c r="BN42" s="57">
        <v>4.3870144048187678E-4</v>
      </c>
      <c r="BO42" s="57">
        <v>1.2568482169263715E-4</v>
      </c>
      <c r="BP42" s="57">
        <v>2.3378775196870628E-3</v>
      </c>
      <c r="BQ42" s="57">
        <v>3.1389988401536381E-4</v>
      </c>
      <c r="BR42" s="57">
        <v>1.9894644453516745E-5</v>
      </c>
      <c r="BS42" s="57">
        <v>0</v>
      </c>
      <c r="BT42" s="57">
        <v>4.5908766215320414E-5</v>
      </c>
    </row>
    <row r="43" spans="1:72">
      <c r="A43" s="38">
        <v>37</v>
      </c>
      <c r="B43" s="65" t="s">
        <v>57</v>
      </c>
      <c r="C43" s="39" t="s">
        <v>56</v>
      </c>
      <c r="D43" s="57">
        <v>1.7295185087435063E-5</v>
      </c>
      <c r="E43" s="57">
        <v>4.1140793050497236E-7</v>
      </c>
      <c r="F43" s="57">
        <v>0</v>
      </c>
      <c r="G43" s="57">
        <v>0</v>
      </c>
      <c r="H43" s="57">
        <v>9.9174931094405298E-6</v>
      </c>
      <c r="I43" s="57">
        <v>9.3139914215788702E-6</v>
      </c>
      <c r="J43" s="57">
        <v>0</v>
      </c>
      <c r="K43" s="57">
        <v>9.0245038556784523E-7</v>
      </c>
      <c r="L43" s="57">
        <v>5.8152746939887604E-9</v>
      </c>
      <c r="M43" s="57">
        <v>3.9039632376529157E-7</v>
      </c>
      <c r="N43" s="57">
        <v>1.0204802549975374E-5</v>
      </c>
      <c r="O43" s="57">
        <v>0</v>
      </c>
      <c r="P43" s="57">
        <v>5.9236126601118255E-8</v>
      </c>
      <c r="Q43" s="57">
        <v>1.8487315754920483E-3</v>
      </c>
      <c r="R43" s="57">
        <v>8.0350570250900308E-5</v>
      </c>
      <c r="S43" s="57">
        <v>0</v>
      </c>
      <c r="T43" s="57">
        <v>0</v>
      </c>
      <c r="U43" s="57">
        <v>0</v>
      </c>
      <c r="V43" s="57">
        <v>0</v>
      </c>
      <c r="W43" s="57">
        <v>1.946749506210167E-5</v>
      </c>
      <c r="X43" s="57">
        <v>3.6392899938817156E-7</v>
      </c>
      <c r="Y43" s="57">
        <v>1.0508135415130925E-4</v>
      </c>
      <c r="Z43" s="57">
        <v>7.377942717205596E-5</v>
      </c>
      <c r="AA43" s="57">
        <v>4.3084342627774122E-4</v>
      </c>
      <c r="AB43" s="57">
        <v>6.1681367006961449E-8</v>
      </c>
      <c r="AC43" s="57">
        <v>0</v>
      </c>
      <c r="AD43" s="57">
        <v>0</v>
      </c>
      <c r="AE43" s="57">
        <v>6.9807667626960892E-8</v>
      </c>
      <c r="AF43" s="57">
        <v>0</v>
      </c>
      <c r="AG43" s="57">
        <v>9.2603295883028661E-9</v>
      </c>
      <c r="AH43" s="57">
        <v>1.3641912442222308E-4</v>
      </c>
      <c r="AI43" s="57">
        <v>2.1040164120247859E-8</v>
      </c>
      <c r="AJ43" s="57">
        <v>7.8030344988216434E-8</v>
      </c>
      <c r="AK43" s="57">
        <v>0</v>
      </c>
      <c r="AL43" s="57">
        <v>0</v>
      </c>
      <c r="AM43" s="57">
        <v>0</v>
      </c>
      <c r="AN43" s="57">
        <v>7.3823975160985347E-4</v>
      </c>
      <c r="AO43" s="57">
        <v>2.1979181899333947E-6</v>
      </c>
      <c r="AP43" s="57">
        <v>3.8648529593927973E-6</v>
      </c>
      <c r="AQ43" s="57">
        <v>0</v>
      </c>
      <c r="AR43" s="57">
        <v>5.1428065235680798E-7</v>
      </c>
      <c r="AS43" s="57">
        <v>5.6568661737568951E-6</v>
      </c>
      <c r="AT43" s="57">
        <v>3.206511595798313E-5</v>
      </c>
      <c r="AU43" s="57">
        <v>1.0581475640423299E-4</v>
      </c>
      <c r="AV43" s="57">
        <v>8.8216320846385996E-6</v>
      </c>
      <c r="AW43" s="57">
        <v>1.2841623207450305E-4</v>
      </c>
      <c r="AX43" s="57">
        <v>1.0437735449695055E-4</v>
      </c>
      <c r="AY43" s="57">
        <v>0</v>
      </c>
      <c r="AZ43" s="57">
        <v>0</v>
      </c>
      <c r="BA43" s="57">
        <v>5.4468622037542515E-5</v>
      </c>
      <c r="BB43" s="57">
        <v>0</v>
      </c>
      <c r="BC43" s="57">
        <v>1.1604505460174229E-5</v>
      </c>
      <c r="BD43" s="57">
        <v>3.6069902483726638E-4</v>
      </c>
      <c r="BE43" s="57">
        <v>8.5022979100639445E-5</v>
      </c>
      <c r="BF43" s="57">
        <v>9.6859152173814255E-5</v>
      </c>
      <c r="BG43" s="57">
        <v>6.9266478667676188E-4</v>
      </c>
      <c r="BH43" s="57">
        <v>2.2787752625845061E-4</v>
      </c>
      <c r="BI43" s="57">
        <v>1.3066159950374422E-4</v>
      </c>
      <c r="BJ43" s="57">
        <v>3.9133627057717152E-5</v>
      </c>
      <c r="BK43" s="57">
        <v>7.1196096136853977E-4</v>
      </c>
      <c r="BL43" s="57">
        <v>2.461672070037931E-3</v>
      </c>
      <c r="BM43" s="57">
        <v>1.4049468506134176E-3</v>
      </c>
      <c r="BN43" s="57">
        <v>1.3815878446589525E-3</v>
      </c>
      <c r="BO43" s="57">
        <v>2.2540923046400255E-3</v>
      </c>
      <c r="BP43" s="57">
        <v>1.7561449019205674E-3</v>
      </c>
      <c r="BQ43" s="57">
        <v>8.374605055793103E-3</v>
      </c>
      <c r="BR43" s="57">
        <v>8.2521025687070542E-4</v>
      </c>
      <c r="BS43" s="57">
        <v>0</v>
      </c>
      <c r="BT43" s="57">
        <v>3.8564043116560368E-4</v>
      </c>
    </row>
    <row r="44" spans="1:72" ht="22.5">
      <c r="A44" s="38">
        <v>38</v>
      </c>
      <c r="B44" s="65" t="s">
        <v>55</v>
      </c>
      <c r="C44" s="39" t="s">
        <v>136</v>
      </c>
      <c r="D44" s="57">
        <v>2.0871708489595783E-4</v>
      </c>
      <c r="E44" s="57">
        <v>0</v>
      </c>
      <c r="F44" s="57">
        <v>0</v>
      </c>
      <c r="G44" s="57">
        <v>1.0995927042683276E-3</v>
      </c>
      <c r="H44" s="57">
        <v>2.8669389354040321E-2</v>
      </c>
      <c r="I44" s="57">
        <v>2.968719673382551E-3</v>
      </c>
      <c r="J44" s="57">
        <v>4.2734274519564368E-6</v>
      </c>
      <c r="K44" s="57">
        <v>5.414264357793344E-4</v>
      </c>
      <c r="L44" s="57">
        <v>6.987219249368723E-3</v>
      </c>
      <c r="M44" s="57">
        <v>1.3897035773621376E-3</v>
      </c>
      <c r="N44" s="57">
        <v>7.9114587868141958E-5</v>
      </c>
      <c r="O44" s="57">
        <v>0</v>
      </c>
      <c r="P44" s="57">
        <v>2.3606830536516481E-5</v>
      </c>
      <c r="Q44" s="57">
        <v>5.3856747489952981E-7</v>
      </c>
      <c r="R44" s="57">
        <v>4.2360465221639616E-7</v>
      </c>
      <c r="S44" s="57">
        <v>0</v>
      </c>
      <c r="T44" s="57">
        <v>9.2083130235619227E-4</v>
      </c>
      <c r="U44" s="57">
        <v>1.4993109779807201E-4</v>
      </c>
      <c r="V44" s="57">
        <v>0</v>
      </c>
      <c r="W44" s="57">
        <v>6.7526416164033808E-3</v>
      </c>
      <c r="X44" s="57">
        <v>6.1217860157563144E-5</v>
      </c>
      <c r="Y44" s="57">
        <v>0</v>
      </c>
      <c r="Z44" s="57">
        <v>1.5577866473884231E-6</v>
      </c>
      <c r="AA44" s="57">
        <v>3.1622375103508267E-3</v>
      </c>
      <c r="AB44" s="57">
        <v>6.607949853415378E-5</v>
      </c>
      <c r="AC44" s="57">
        <v>0</v>
      </c>
      <c r="AD44" s="57">
        <v>2.0495856588430867E-6</v>
      </c>
      <c r="AE44" s="57">
        <v>7.9905310765866953E-5</v>
      </c>
      <c r="AF44" s="57">
        <v>0</v>
      </c>
      <c r="AG44" s="57">
        <v>2.5302693058839044E-5</v>
      </c>
      <c r="AH44" s="57">
        <v>0</v>
      </c>
      <c r="AI44" s="57">
        <v>6.9598905685210588E-6</v>
      </c>
      <c r="AJ44" s="57">
        <v>2.8595472259802096E-5</v>
      </c>
      <c r="AK44" s="57">
        <v>0</v>
      </c>
      <c r="AL44" s="57">
        <v>0</v>
      </c>
      <c r="AM44" s="57">
        <v>0</v>
      </c>
      <c r="AN44" s="57">
        <v>2.9378862769943782E-6</v>
      </c>
      <c r="AO44" s="57">
        <v>5.7749607037562217E-3</v>
      </c>
      <c r="AP44" s="57">
        <v>1.195176844481077E-2</v>
      </c>
      <c r="AQ44" s="57">
        <v>4.2120427334406572E-3</v>
      </c>
      <c r="AR44" s="57">
        <v>3.4975071121827128E-2</v>
      </c>
      <c r="AS44" s="57">
        <v>2.8844558989734556E-4</v>
      </c>
      <c r="AT44" s="57">
        <v>1.4167554803727717E-4</v>
      </c>
      <c r="AU44" s="57">
        <v>1.4605591773228523E-3</v>
      </c>
      <c r="AV44" s="57">
        <v>2.1338998708545906E-3</v>
      </c>
      <c r="AW44" s="57">
        <v>2.4470444644800401E-3</v>
      </c>
      <c r="AX44" s="57">
        <v>6.7528978474605331E-2</v>
      </c>
      <c r="AY44" s="57">
        <v>4.7068924036529403E-2</v>
      </c>
      <c r="AZ44" s="57">
        <v>1.4352948004250098E-3</v>
      </c>
      <c r="BA44" s="57">
        <v>2.2914446357659886E-3</v>
      </c>
      <c r="BB44" s="57">
        <v>0</v>
      </c>
      <c r="BC44" s="57">
        <v>1.0129982786994305E-3</v>
      </c>
      <c r="BD44" s="57">
        <v>7.9408094487331735E-4</v>
      </c>
      <c r="BE44" s="57">
        <v>9.8559602601555781E-4</v>
      </c>
      <c r="BF44" s="57">
        <v>1.2042825243838699E-2</v>
      </c>
      <c r="BG44" s="57">
        <v>2.5960429713959014E-4</v>
      </c>
      <c r="BH44" s="57">
        <v>3.0679145071388066E-4</v>
      </c>
      <c r="BI44" s="57">
        <v>4.9883588081496471E-3</v>
      </c>
      <c r="BJ44" s="57">
        <v>1.734925529530572E-4</v>
      </c>
      <c r="BK44" s="57">
        <v>1.1838027830029026E-3</v>
      </c>
      <c r="BL44" s="57">
        <v>7.8335607567779652E-4</v>
      </c>
      <c r="BM44" s="57">
        <v>1.2770788355459112E-2</v>
      </c>
      <c r="BN44" s="57">
        <v>6.8130839873441528E-3</v>
      </c>
      <c r="BO44" s="57">
        <v>1.5121644387682055E-2</v>
      </c>
      <c r="BP44" s="57">
        <v>5.1167233403289639E-3</v>
      </c>
      <c r="BQ44" s="57">
        <v>1.8854617581632105E-4</v>
      </c>
      <c r="BR44" s="57">
        <v>6.9554058246586766E-4</v>
      </c>
      <c r="BS44" s="57">
        <v>0</v>
      </c>
      <c r="BT44" s="57">
        <v>6.0503860323025925E-3</v>
      </c>
    </row>
    <row r="45" spans="1:72" ht="22.5">
      <c r="A45" s="38">
        <v>39</v>
      </c>
      <c r="B45" s="65" t="s">
        <v>54</v>
      </c>
      <c r="C45" s="39" t="s">
        <v>53</v>
      </c>
      <c r="D45" s="57">
        <v>1.191494059508821E-3</v>
      </c>
      <c r="E45" s="57">
        <v>8.5058589631903034E-5</v>
      </c>
      <c r="F45" s="57">
        <v>7.0096440498303064E-5</v>
      </c>
      <c r="G45" s="57">
        <v>1.5705767388979744E-3</v>
      </c>
      <c r="H45" s="57">
        <v>3.7106982649127529E-3</v>
      </c>
      <c r="I45" s="57">
        <v>1.9037602203140836E-3</v>
      </c>
      <c r="J45" s="57">
        <v>1.8408940111335144E-5</v>
      </c>
      <c r="K45" s="57">
        <v>5.5424937151634865E-4</v>
      </c>
      <c r="L45" s="57">
        <v>3.5426420824791771E-3</v>
      </c>
      <c r="M45" s="57">
        <v>2.5369491906698089E-4</v>
      </c>
      <c r="N45" s="57">
        <v>1.0747471599673634E-3</v>
      </c>
      <c r="O45" s="57">
        <v>3.5054822738914714E-2</v>
      </c>
      <c r="P45" s="57">
        <v>1.6824417449285526E-4</v>
      </c>
      <c r="Q45" s="57">
        <v>4.4625747700541625E-5</v>
      </c>
      <c r="R45" s="57">
        <v>2.1930322799866401E-5</v>
      </c>
      <c r="S45" s="57">
        <v>4.3555151803092393E-5</v>
      </c>
      <c r="T45" s="57">
        <v>4.9712185727786317E-4</v>
      </c>
      <c r="U45" s="57">
        <v>5.6694195373382548E-4</v>
      </c>
      <c r="V45" s="57">
        <v>3.2103800704365395E-3</v>
      </c>
      <c r="W45" s="57">
        <v>2.4180121175744793E-2</v>
      </c>
      <c r="X45" s="57">
        <v>1.5889815445451383E-4</v>
      </c>
      <c r="Y45" s="57">
        <v>2.3321582067460956E-4</v>
      </c>
      <c r="Z45" s="57">
        <v>1.9729714398776798E-4</v>
      </c>
      <c r="AA45" s="57">
        <v>2.4513514298222668E-3</v>
      </c>
      <c r="AB45" s="57">
        <v>2.9792162779261372E-4</v>
      </c>
      <c r="AC45" s="57">
        <v>1.445129395786509E-5</v>
      </c>
      <c r="AD45" s="57">
        <v>3.0597124012603862E-5</v>
      </c>
      <c r="AE45" s="57">
        <v>5.9509031866242293E-5</v>
      </c>
      <c r="AF45" s="57">
        <v>1.3278606724041479E-3</v>
      </c>
      <c r="AG45" s="57">
        <v>3.8679239149142533E-5</v>
      </c>
      <c r="AH45" s="57">
        <v>7.8487640360047536E-5</v>
      </c>
      <c r="AI45" s="57">
        <v>4.9737969367981274E-6</v>
      </c>
      <c r="AJ45" s="57">
        <v>2.0081494617754479E-5</v>
      </c>
      <c r="AK45" s="57">
        <v>4.4423171949837816E-5</v>
      </c>
      <c r="AL45" s="57">
        <v>1.1060484035176174E-4</v>
      </c>
      <c r="AM45" s="57">
        <v>5.1916431887004009E-4</v>
      </c>
      <c r="AN45" s="57">
        <v>1.1654896886528726E-5</v>
      </c>
      <c r="AO45" s="57">
        <v>2.2635039604824997E-4</v>
      </c>
      <c r="AP45" s="57">
        <v>0.10190651856198389</v>
      </c>
      <c r="AQ45" s="57">
        <v>5.142599037057185E-5</v>
      </c>
      <c r="AR45" s="57">
        <v>1.09823995892523E-2</v>
      </c>
      <c r="AS45" s="57">
        <v>3.8455227139053113E-3</v>
      </c>
      <c r="AT45" s="57">
        <v>3.285227010553212E-4</v>
      </c>
      <c r="AU45" s="57">
        <v>5.0069171424391341E-4</v>
      </c>
      <c r="AV45" s="57">
        <v>1.3847048266447221E-3</v>
      </c>
      <c r="AW45" s="57">
        <v>3.151391638939812E-3</v>
      </c>
      <c r="AX45" s="57">
        <v>4.3733952886760913E-3</v>
      </c>
      <c r="AY45" s="57">
        <v>1.0290348855713988E-3</v>
      </c>
      <c r="AZ45" s="57">
        <v>5.0942335216179536E-5</v>
      </c>
      <c r="BA45" s="57">
        <v>7.3220197721562694E-3</v>
      </c>
      <c r="BB45" s="57">
        <v>1.715530574942606E-5</v>
      </c>
      <c r="BC45" s="57">
        <v>1.0060602271040336E-2</v>
      </c>
      <c r="BD45" s="57">
        <v>1.1596091839747222E-3</v>
      </c>
      <c r="BE45" s="57">
        <v>8.8883075673315395E-2</v>
      </c>
      <c r="BF45" s="57">
        <v>1.5327659115872826E-2</v>
      </c>
      <c r="BG45" s="57">
        <v>2.8841524158112418E-3</v>
      </c>
      <c r="BH45" s="57">
        <v>7.7265799012441452E-3</v>
      </c>
      <c r="BI45" s="57">
        <v>2.5234213854023056E-2</v>
      </c>
      <c r="BJ45" s="57">
        <v>2.0268973507065265E-3</v>
      </c>
      <c r="BK45" s="57">
        <v>1.3073698728139091E-3</v>
      </c>
      <c r="BL45" s="57">
        <v>2.2759777286928365E-2</v>
      </c>
      <c r="BM45" s="57">
        <v>2.2129477238839991E-2</v>
      </c>
      <c r="BN45" s="57">
        <v>3.3076168891373242E-2</v>
      </c>
      <c r="BO45" s="57">
        <v>1.2209638951112821E-2</v>
      </c>
      <c r="BP45" s="57">
        <v>1.3381380975065454E-2</v>
      </c>
      <c r="BQ45" s="57">
        <v>6.6275313510826576E-3</v>
      </c>
      <c r="BR45" s="57">
        <v>1.8846244392704168E-3</v>
      </c>
      <c r="BS45" s="57">
        <v>0</v>
      </c>
      <c r="BT45" s="57">
        <v>6.8182774375374049E-3</v>
      </c>
    </row>
    <row r="46" spans="1:72" ht="33.75">
      <c r="A46" s="38">
        <v>40</v>
      </c>
      <c r="B46" s="65" t="s">
        <v>52</v>
      </c>
      <c r="C46" s="39" t="s">
        <v>51</v>
      </c>
      <c r="D46" s="57">
        <v>1.1622667703096655E-5</v>
      </c>
      <c r="E46" s="57">
        <v>0</v>
      </c>
      <c r="F46" s="57">
        <v>0</v>
      </c>
      <c r="G46" s="57">
        <v>0</v>
      </c>
      <c r="H46" s="57">
        <v>1.0141839187318917E-3</v>
      </c>
      <c r="I46" s="57">
        <v>0</v>
      </c>
      <c r="J46" s="57">
        <v>0</v>
      </c>
      <c r="K46" s="57">
        <v>0</v>
      </c>
      <c r="L46" s="57">
        <v>1.2793604326775274E-7</v>
      </c>
      <c r="M46" s="57">
        <v>1.1303445870576569E-7</v>
      </c>
      <c r="N46" s="57">
        <v>3.5794194603475549E-5</v>
      </c>
      <c r="O46" s="57">
        <v>0</v>
      </c>
      <c r="P46" s="57">
        <v>7.3798341057226491E-7</v>
      </c>
      <c r="Q46" s="57">
        <v>0</v>
      </c>
      <c r="R46" s="57">
        <v>0</v>
      </c>
      <c r="S46" s="57">
        <v>0</v>
      </c>
      <c r="T46" s="57">
        <v>0</v>
      </c>
      <c r="U46" s="57">
        <v>1.6344420103309136E-5</v>
      </c>
      <c r="V46" s="57">
        <v>0</v>
      </c>
      <c r="W46" s="57">
        <v>4.8619003178818152E-3</v>
      </c>
      <c r="X46" s="57">
        <v>1.1689999755604794E-5</v>
      </c>
      <c r="Y46" s="57">
        <v>0</v>
      </c>
      <c r="Z46" s="57">
        <v>2.9227331682142563E-7</v>
      </c>
      <c r="AA46" s="57">
        <v>1.5273636072055816E-5</v>
      </c>
      <c r="AB46" s="57">
        <v>0</v>
      </c>
      <c r="AC46" s="57">
        <v>0</v>
      </c>
      <c r="AD46" s="57">
        <v>1.297948699875586E-6</v>
      </c>
      <c r="AE46" s="57">
        <v>0</v>
      </c>
      <c r="AF46" s="57">
        <v>0</v>
      </c>
      <c r="AG46" s="57">
        <v>0</v>
      </c>
      <c r="AH46" s="57">
        <v>0</v>
      </c>
      <c r="AI46" s="57">
        <v>1.418987812760902E-8</v>
      </c>
      <c r="AJ46" s="57">
        <v>4.9852720409138276E-7</v>
      </c>
      <c r="AK46" s="57">
        <v>0</v>
      </c>
      <c r="AL46" s="57">
        <v>7.5846787196074293E-6</v>
      </c>
      <c r="AM46" s="57">
        <v>3.8615074787956442E-5</v>
      </c>
      <c r="AN46" s="57">
        <v>0</v>
      </c>
      <c r="AO46" s="57">
        <v>1.4747496626823024E-6</v>
      </c>
      <c r="AP46" s="57">
        <v>0</v>
      </c>
      <c r="AQ46" s="57">
        <v>0</v>
      </c>
      <c r="AR46" s="57">
        <v>1.353417181689525E-3</v>
      </c>
      <c r="AS46" s="57">
        <v>4.4932744966885197E-6</v>
      </c>
      <c r="AT46" s="57">
        <v>5.0578633919002403E-6</v>
      </c>
      <c r="AU46" s="57">
        <v>2.963993316144089E-6</v>
      </c>
      <c r="AV46" s="57">
        <v>2.851053000391853E-4</v>
      </c>
      <c r="AW46" s="57">
        <v>6.5783735947776405E-4</v>
      </c>
      <c r="AX46" s="57">
        <v>1.713225438818011E-7</v>
      </c>
      <c r="AY46" s="57">
        <v>0</v>
      </c>
      <c r="AZ46" s="57">
        <v>0</v>
      </c>
      <c r="BA46" s="57">
        <v>0</v>
      </c>
      <c r="BB46" s="57">
        <v>1.3760939332080405E-3</v>
      </c>
      <c r="BC46" s="57">
        <v>4.0608482899563234E-6</v>
      </c>
      <c r="BD46" s="57">
        <v>0</v>
      </c>
      <c r="BE46" s="57">
        <v>2.8826259553733075E-5</v>
      </c>
      <c r="BF46" s="57">
        <v>0</v>
      </c>
      <c r="BG46" s="57">
        <v>0</v>
      </c>
      <c r="BH46" s="57">
        <v>0</v>
      </c>
      <c r="BI46" s="57">
        <v>0</v>
      </c>
      <c r="BJ46" s="57">
        <v>6.8480219127218637E-6</v>
      </c>
      <c r="BK46" s="57">
        <v>7.3515060480296205E-6</v>
      </c>
      <c r="BL46" s="57">
        <v>1.7855788183998562E-6</v>
      </c>
      <c r="BM46" s="57">
        <v>1.0648900824963071E-3</v>
      </c>
      <c r="BN46" s="57">
        <v>6.8733151875855613E-3</v>
      </c>
      <c r="BO46" s="57">
        <v>2.3556584412267483E-3</v>
      </c>
      <c r="BP46" s="57">
        <v>5.8337095157373218E-4</v>
      </c>
      <c r="BQ46" s="57">
        <v>9.442402816960146E-5</v>
      </c>
      <c r="BR46" s="57">
        <v>3.1732635501603053E-3</v>
      </c>
      <c r="BS46" s="57">
        <v>0</v>
      </c>
      <c r="BT46" s="57">
        <v>5.6866526659489025E-4</v>
      </c>
    </row>
    <row r="47" spans="1:72" ht="22.5">
      <c r="A47" s="38">
        <v>41</v>
      </c>
      <c r="B47" s="65" t="s">
        <v>50</v>
      </c>
      <c r="C47" s="39" t="s">
        <v>49</v>
      </c>
      <c r="D47" s="57">
        <v>1.5009530517072362E-4</v>
      </c>
      <c r="E47" s="57">
        <v>2.5301587726055802E-5</v>
      </c>
      <c r="F47" s="57">
        <v>0</v>
      </c>
      <c r="G47" s="57">
        <v>1.2572414979924943E-5</v>
      </c>
      <c r="H47" s="57">
        <v>1.4872577279645135E-5</v>
      </c>
      <c r="I47" s="57">
        <v>1.4015812533330639E-5</v>
      </c>
      <c r="J47" s="57">
        <v>0</v>
      </c>
      <c r="K47" s="57">
        <v>2.008990467325892E-5</v>
      </c>
      <c r="L47" s="57">
        <v>3.4407041939433501E-6</v>
      </c>
      <c r="M47" s="57">
        <v>0</v>
      </c>
      <c r="N47" s="57">
        <v>1.4461562841844271E-5</v>
      </c>
      <c r="O47" s="57">
        <v>0</v>
      </c>
      <c r="P47" s="57">
        <v>0</v>
      </c>
      <c r="Q47" s="57">
        <v>1.1892878296046017E-6</v>
      </c>
      <c r="R47" s="57">
        <v>0</v>
      </c>
      <c r="S47" s="57">
        <v>0</v>
      </c>
      <c r="T47" s="57">
        <v>1.7431691439559027E-5</v>
      </c>
      <c r="U47" s="57">
        <v>2.7283598912610528E-5</v>
      </c>
      <c r="V47" s="57">
        <v>0</v>
      </c>
      <c r="W47" s="57">
        <v>3.8253400110237496E-3</v>
      </c>
      <c r="X47" s="57">
        <v>1.7330774184609637E-5</v>
      </c>
      <c r="Y47" s="57">
        <v>2.9531666501687353E-5</v>
      </c>
      <c r="Z47" s="57">
        <v>8.0149177602576504E-8</v>
      </c>
      <c r="AA47" s="57">
        <v>1.4832708885992353E-5</v>
      </c>
      <c r="AB47" s="57">
        <v>2.9386170186897646E-6</v>
      </c>
      <c r="AC47" s="57">
        <v>0</v>
      </c>
      <c r="AD47" s="57">
        <v>0</v>
      </c>
      <c r="AE47" s="57">
        <v>3.7289014798672626E-6</v>
      </c>
      <c r="AF47" s="57">
        <v>0</v>
      </c>
      <c r="AG47" s="57">
        <v>1.9678200375143591E-7</v>
      </c>
      <c r="AH47" s="57">
        <v>2.7592944136630585E-7</v>
      </c>
      <c r="AI47" s="57">
        <v>0</v>
      </c>
      <c r="AJ47" s="57">
        <v>2.6650734495049479E-6</v>
      </c>
      <c r="AK47" s="57">
        <v>0</v>
      </c>
      <c r="AL47" s="57">
        <v>8.9502421981905505E-6</v>
      </c>
      <c r="AM47" s="57">
        <v>7.7497101515685188E-5</v>
      </c>
      <c r="AN47" s="57">
        <v>4.0427511721930117E-6</v>
      </c>
      <c r="AO47" s="57">
        <v>1.0780555332341822E-5</v>
      </c>
      <c r="AP47" s="57">
        <v>4.9072640800642543E-5</v>
      </c>
      <c r="AQ47" s="57">
        <v>0</v>
      </c>
      <c r="AR47" s="57">
        <v>4.3670250245720396E-4</v>
      </c>
      <c r="AS47" s="57">
        <v>6.8327993781095082E-4</v>
      </c>
      <c r="AT47" s="57">
        <v>1.4577918550824062E-6</v>
      </c>
      <c r="AU47" s="57">
        <v>2.3067273107444145E-5</v>
      </c>
      <c r="AV47" s="57">
        <v>1.7721994753469555E-6</v>
      </c>
      <c r="AW47" s="57">
        <v>9.0105913992229061E-5</v>
      </c>
      <c r="AX47" s="57">
        <v>1.1581431823733964E-4</v>
      </c>
      <c r="AY47" s="57">
        <v>0</v>
      </c>
      <c r="AZ47" s="57">
        <v>0</v>
      </c>
      <c r="BA47" s="57">
        <v>1.5075917885332672E-4</v>
      </c>
      <c r="BB47" s="57">
        <v>0</v>
      </c>
      <c r="BC47" s="57">
        <v>2.2875302454415444E-4</v>
      </c>
      <c r="BD47" s="57">
        <v>3.6159802219011384E-5</v>
      </c>
      <c r="BE47" s="57">
        <v>1.9016190475707268E-5</v>
      </c>
      <c r="BF47" s="57">
        <v>1.0746408940131631E-6</v>
      </c>
      <c r="BG47" s="57">
        <v>4.7806310431483588E-4</v>
      </c>
      <c r="BH47" s="57">
        <v>1.3345689139766131E-4</v>
      </c>
      <c r="BI47" s="57">
        <v>3.1803662292790235E-4</v>
      </c>
      <c r="BJ47" s="57">
        <v>1.4018539787068521E-4</v>
      </c>
      <c r="BK47" s="57">
        <v>2.0202377301898559E-4</v>
      </c>
      <c r="BL47" s="57">
        <v>3.3253036272959207E-4</v>
      </c>
      <c r="BM47" s="57">
        <v>8.2304518373620319E-3</v>
      </c>
      <c r="BN47" s="57">
        <v>1.5158380614495792E-2</v>
      </c>
      <c r="BO47" s="57">
        <v>8.2229564915604434E-3</v>
      </c>
      <c r="BP47" s="57">
        <v>5.2451422326941725E-3</v>
      </c>
      <c r="BQ47" s="57">
        <v>3.8609369987463584E-4</v>
      </c>
      <c r="BR47" s="57">
        <v>5.6000455304875381E-3</v>
      </c>
      <c r="BS47" s="57">
        <v>0</v>
      </c>
      <c r="BT47" s="57">
        <v>1.2055835554899961E-3</v>
      </c>
    </row>
    <row r="48" spans="1:72" ht="33.75">
      <c r="A48" s="38">
        <v>42</v>
      </c>
      <c r="B48" s="65" t="s">
        <v>94</v>
      </c>
      <c r="C48" s="39" t="s">
        <v>162</v>
      </c>
      <c r="D48" s="57">
        <v>1.5865997041444001E-4</v>
      </c>
      <c r="E48" s="57">
        <v>5.3140191023558933E-5</v>
      </c>
      <c r="F48" s="57">
        <v>0</v>
      </c>
      <c r="G48" s="57">
        <v>3.1068107661108959E-5</v>
      </c>
      <c r="H48" s="57">
        <v>1.5724989950896052E-3</v>
      </c>
      <c r="I48" s="57">
        <v>1.4834457619608409E-3</v>
      </c>
      <c r="J48" s="57">
        <v>1.2437923057536364E-5</v>
      </c>
      <c r="K48" s="57">
        <v>1.3294678198223791E-4</v>
      </c>
      <c r="L48" s="57">
        <v>7.2074514557296702E-5</v>
      </c>
      <c r="M48" s="57">
        <v>7.5206840687382604E-3</v>
      </c>
      <c r="N48" s="57">
        <v>1.0847901284232261E-4</v>
      </c>
      <c r="O48" s="57">
        <v>1.501214372647217E-5</v>
      </c>
      <c r="P48" s="57">
        <v>1.1106773737709672E-8</v>
      </c>
      <c r="Q48" s="57">
        <v>1.1519035363360877E-6</v>
      </c>
      <c r="R48" s="57">
        <v>3.4384299575028446E-6</v>
      </c>
      <c r="S48" s="57">
        <v>1.1736990208265794E-6</v>
      </c>
      <c r="T48" s="57">
        <v>3.3937653501172585E-6</v>
      </c>
      <c r="U48" s="57">
        <v>9.2427286196236348E-7</v>
      </c>
      <c r="V48" s="57">
        <v>2.3800844082783542E-6</v>
      </c>
      <c r="W48" s="57">
        <v>1.5666222916629996E-4</v>
      </c>
      <c r="X48" s="57">
        <v>6.9171272063092411E-5</v>
      </c>
      <c r="Y48" s="57">
        <v>1.9799006077557429E-4</v>
      </c>
      <c r="Z48" s="57">
        <v>3.3365560273096644E-5</v>
      </c>
      <c r="AA48" s="57">
        <v>1.3087016916480143E-3</v>
      </c>
      <c r="AB48" s="57">
        <v>2.2137898144029129E-2</v>
      </c>
      <c r="AC48" s="57">
        <v>1.6941353235276482E-7</v>
      </c>
      <c r="AD48" s="57">
        <v>4.5682877429952459E-2</v>
      </c>
      <c r="AE48" s="57">
        <v>4.8626849240353399E-6</v>
      </c>
      <c r="AF48" s="57">
        <v>1.193443201154815E-5</v>
      </c>
      <c r="AG48" s="57">
        <v>1.5939909499053592E-3</v>
      </c>
      <c r="AH48" s="57">
        <v>1.6136979953947219E-6</v>
      </c>
      <c r="AI48" s="57">
        <v>6.0869684106019383E-7</v>
      </c>
      <c r="AJ48" s="57">
        <v>1.6085329449885728E-6</v>
      </c>
      <c r="AK48" s="57">
        <v>9.2378114635217719E-7</v>
      </c>
      <c r="AL48" s="57">
        <v>1.9251767472573814E-6</v>
      </c>
      <c r="AM48" s="57">
        <v>2.0879455289333892E-6</v>
      </c>
      <c r="AN48" s="57">
        <v>2.5490968407117578E-6</v>
      </c>
      <c r="AO48" s="57">
        <v>6.5419083247781782E-4</v>
      </c>
      <c r="AP48" s="57">
        <v>8.1551003559633111E-3</v>
      </c>
      <c r="AQ48" s="57">
        <v>9.7066767655835033E-6</v>
      </c>
      <c r="AR48" s="57">
        <v>7.0811549298250868E-3</v>
      </c>
      <c r="AS48" s="57">
        <v>2.9591156154741956E-2</v>
      </c>
      <c r="AT48" s="57">
        <v>8.0125248602262548E-4</v>
      </c>
      <c r="AU48" s="57">
        <v>1.1191335025777696E-2</v>
      </c>
      <c r="AV48" s="57">
        <v>4.0474775311640029E-5</v>
      </c>
      <c r="AW48" s="57">
        <v>2.2382860616783321E-4</v>
      </c>
      <c r="AX48" s="57">
        <v>1.7073308290155088E-3</v>
      </c>
      <c r="AY48" s="57">
        <v>6.7791911605589972E-6</v>
      </c>
      <c r="AZ48" s="57">
        <v>3.9114791264836996E-5</v>
      </c>
      <c r="BA48" s="57">
        <v>1.4855679831288703E-3</v>
      </c>
      <c r="BB48" s="57">
        <v>1.7793835558588988E-4</v>
      </c>
      <c r="BC48" s="57">
        <v>2.0781536848072414E-3</v>
      </c>
      <c r="BD48" s="57">
        <v>2.6685925397201501E-4</v>
      </c>
      <c r="BE48" s="57">
        <v>1.3138650544662395E-4</v>
      </c>
      <c r="BF48" s="57">
        <v>1.7073459226503814E-4</v>
      </c>
      <c r="BG48" s="57">
        <v>1.2699350866034192E-4</v>
      </c>
      <c r="BH48" s="57">
        <v>1.7788766300403435E-4</v>
      </c>
      <c r="BI48" s="57">
        <v>5.99650057196464E-4</v>
      </c>
      <c r="BJ48" s="57">
        <v>3.1468857054720202E-4</v>
      </c>
      <c r="BK48" s="57">
        <v>5.731255905779448E-4</v>
      </c>
      <c r="BL48" s="57">
        <v>2.5108243573765503E-3</v>
      </c>
      <c r="BM48" s="57">
        <v>6.8428649683619173E-3</v>
      </c>
      <c r="BN48" s="57">
        <v>3.6049737568184881E-3</v>
      </c>
      <c r="BO48" s="57">
        <v>1.0146520273011309E-2</v>
      </c>
      <c r="BP48" s="57">
        <v>2.6861144722696777E-3</v>
      </c>
      <c r="BQ48" s="57">
        <v>6.0206663238270583E-4</v>
      </c>
      <c r="BR48" s="57">
        <v>7.1416077648428283E-4</v>
      </c>
      <c r="BS48" s="57">
        <v>0</v>
      </c>
      <c r="BT48" s="57">
        <v>1.9232812000461838E-3</v>
      </c>
    </row>
    <row r="49" spans="1:72">
      <c r="A49" s="38">
        <v>43</v>
      </c>
      <c r="B49" s="65" t="s">
        <v>48</v>
      </c>
      <c r="C49" s="39" t="s">
        <v>47</v>
      </c>
      <c r="D49" s="57">
        <v>1.5939546978301984E-3</v>
      </c>
      <c r="E49" s="57">
        <v>2.0810384484709853E-5</v>
      </c>
      <c r="F49" s="57">
        <v>2.2932371761640341E-2</v>
      </c>
      <c r="G49" s="57">
        <v>4.3753414120603837E-2</v>
      </c>
      <c r="H49" s="57">
        <v>7.7220425292724507E-3</v>
      </c>
      <c r="I49" s="57">
        <v>6.9847157849025898E-3</v>
      </c>
      <c r="J49" s="57">
        <v>2.4742181015823564E-4</v>
      </c>
      <c r="K49" s="57">
        <v>3.1811524853363595E-5</v>
      </c>
      <c r="L49" s="57">
        <v>9.8026534776650127E-4</v>
      </c>
      <c r="M49" s="57">
        <v>7.5647789060663193E-4</v>
      </c>
      <c r="N49" s="57">
        <v>5.94784742398264E-5</v>
      </c>
      <c r="O49" s="57">
        <v>0</v>
      </c>
      <c r="P49" s="57">
        <v>0</v>
      </c>
      <c r="Q49" s="57">
        <v>2.4702840036335268E-6</v>
      </c>
      <c r="R49" s="57">
        <v>0</v>
      </c>
      <c r="S49" s="57">
        <v>0</v>
      </c>
      <c r="T49" s="57">
        <v>0</v>
      </c>
      <c r="U49" s="57">
        <v>0</v>
      </c>
      <c r="V49" s="57">
        <v>0</v>
      </c>
      <c r="W49" s="57">
        <v>8.6071642556648876E-5</v>
      </c>
      <c r="X49" s="57">
        <v>2.2532632731740688E-4</v>
      </c>
      <c r="Y49" s="57">
        <v>0</v>
      </c>
      <c r="Z49" s="57">
        <v>7.3580560791538281E-7</v>
      </c>
      <c r="AA49" s="57">
        <v>8.6446016207604778E-3</v>
      </c>
      <c r="AB49" s="57">
        <v>0</v>
      </c>
      <c r="AC49" s="57">
        <v>0</v>
      </c>
      <c r="AD49" s="57">
        <v>0</v>
      </c>
      <c r="AE49" s="57">
        <v>0</v>
      </c>
      <c r="AF49" s="57">
        <v>0</v>
      </c>
      <c r="AG49" s="57">
        <v>9.6043450448023257E-4</v>
      </c>
      <c r="AH49" s="57">
        <v>2.7884529149138239E-5</v>
      </c>
      <c r="AI49" s="57">
        <v>3.2920027949910598E-5</v>
      </c>
      <c r="AJ49" s="57">
        <v>1.0307712239184147E-7</v>
      </c>
      <c r="AK49" s="57">
        <v>0</v>
      </c>
      <c r="AL49" s="57">
        <v>0</v>
      </c>
      <c r="AM49" s="57">
        <v>0</v>
      </c>
      <c r="AN49" s="57">
        <v>0</v>
      </c>
      <c r="AO49" s="57">
        <v>2.972140115140133E-3</v>
      </c>
      <c r="AP49" s="57">
        <v>4.3096439943953423E-2</v>
      </c>
      <c r="AQ49" s="57">
        <v>0</v>
      </c>
      <c r="AR49" s="57">
        <v>0.13677073750389426</v>
      </c>
      <c r="AS49" s="57">
        <v>0.10412788341162869</v>
      </c>
      <c r="AT49" s="57">
        <v>5.012297459431031E-2</v>
      </c>
      <c r="AU49" s="57">
        <v>0</v>
      </c>
      <c r="AV49" s="57">
        <v>1.2218915011969658E-3</v>
      </c>
      <c r="AW49" s="57">
        <v>6.7400977301019628E-3</v>
      </c>
      <c r="AX49" s="57">
        <v>1.9436329494860142E-3</v>
      </c>
      <c r="AY49" s="57">
        <v>8.3054906912682705E-2</v>
      </c>
      <c r="AZ49" s="57">
        <v>5.9338341165293709E-5</v>
      </c>
      <c r="BA49" s="57">
        <v>1.5444991038309996E-2</v>
      </c>
      <c r="BB49" s="57">
        <v>0</v>
      </c>
      <c r="BC49" s="57">
        <v>2.3556904424820641E-2</v>
      </c>
      <c r="BD49" s="57">
        <v>4.2534475016769303E-5</v>
      </c>
      <c r="BE49" s="57">
        <v>4.510207143594093E-4</v>
      </c>
      <c r="BF49" s="57">
        <v>0</v>
      </c>
      <c r="BG49" s="57">
        <v>1.2617181373529645E-3</v>
      </c>
      <c r="BH49" s="57">
        <v>0</v>
      </c>
      <c r="BI49" s="57">
        <v>0</v>
      </c>
      <c r="BJ49" s="57">
        <v>2.8849891330040112E-2</v>
      </c>
      <c r="BK49" s="57">
        <v>8.910318501621186E-3</v>
      </c>
      <c r="BL49" s="57">
        <v>3.0587112414544228E-2</v>
      </c>
      <c r="BM49" s="57">
        <v>2.5456016721991361E-2</v>
      </c>
      <c r="BN49" s="57">
        <v>4.9882639354050962E-2</v>
      </c>
      <c r="BO49" s="57">
        <v>4.0084968610684051E-2</v>
      </c>
      <c r="BP49" s="57">
        <v>0.1325668060397788</v>
      </c>
      <c r="BQ49" s="57">
        <v>6.7234362577227747E-3</v>
      </c>
      <c r="BR49" s="57">
        <v>0</v>
      </c>
      <c r="BS49" s="57">
        <v>0</v>
      </c>
      <c r="BT49" s="57">
        <v>1.2639595937822344E-2</v>
      </c>
    </row>
    <row r="50" spans="1:72" ht="33.75">
      <c r="A50" s="38">
        <v>44</v>
      </c>
      <c r="B50" s="65" t="s">
        <v>46</v>
      </c>
      <c r="C50" s="39" t="s">
        <v>137</v>
      </c>
      <c r="D50" s="57">
        <v>2.7204251558047023E-3</v>
      </c>
      <c r="E50" s="57">
        <v>8.9138384942744008E-6</v>
      </c>
      <c r="F50" s="57">
        <v>2.3643857137486646E-5</v>
      </c>
      <c r="G50" s="57">
        <v>3.1738940274183146E-3</v>
      </c>
      <c r="H50" s="57">
        <v>3.8683619040004474E-4</v>
      </c>
      <c r="I50" s="57">
        <v>4.0029083059363612E-5</v>
      </c>
      <c r="J50" s="57">
        <v>1.3617828158400476E-3</v>
      </c>
      <c r="K50" s="57">
        <v>8.9930972017484298E-5</v>
      </c>
      <c r="L50" s="57">
        <v>1.6419428098477266E-4</v>
      </c>
      <c r="M50" s="57">
        <v>9.1986302651471047E-5</v>
      </c>
      <c r="N50" s="57">
        <v>1.1065056092381984E-4</v>
      </c>
      <c r="O50" s="57">
        <v>0</v>
      </c>
      <c r="P50" s="57">
        <v>9.7739608891845133E-7</v>
      </c>
      <c r="Q50" s="57">
        <v>3.5106187897463926E-7</v>
      </c>
      <c r="R50" s="57">
        <v>0</v>
      </c>
      <c r="S50" s="57">
        <v>5.6228371695412873E-6</v>
      </c>
      <c r="T50" s="57">
        <v>1.9982628550054291E-6</v>
      </c>
      <c r="U50" s="57">
        <v>3.8316374973756205E-5</v>
      </c>
      <c r="V50" s="57">
        <v>1.8242703723397294E-4</v>
      </c>
      <c r="W50" s="57">
        <v>4.7967846385016747E-6</v>
      </c>
      <c r="X50" s="57">
        <v>9.5797118052006683E-7</v>
      </c>
      <c r="Y50" s="57">
        <v>0</v>
      </c>
      <c r="Z50" s="57">
        <v>8.4005980133828313E-7</v>
      </c>
      <c r="AA50" s="57">
        <v>1.5249140117274514E-5</v>
      </c>
      <c r="AB50" s="57">
        <v>4.9457620423757534E-6</v>
      </c>
      <c r="AC50" s="57">
        <v>6.7893272210806129E-6</v>
      </c>
      <c r="AD50" s="57">
        <v>0</v>
      </c>
      <c r="AE50" s="57">
        <v>6.5181238991889845E-8</v>
      </c>
      <c r="AF50" s="57">
        <v>3.8869021688987098E-6</v>
      </c>
      <c r="AG50" s="57">
        <v>1.0417870786840726E-8</v>
      </c>
      <c r="AH50" s="57">
        <v>0</v>
      </c>
      <c r="AI50" s="57">
        <v>3.7187266817182262E-8</v>
      </c>
      <c r="AJ50" s="57">
        <v>1.0479244130895281E-3</v>
      </c>
      <c r="AK50" s="57">
        <v>1.6262553370191345E-2</v>
      </c>
      <c r="AL50" s="57">
        <v>7.157952181639721E-3</v>
      </c>
      <c r="AM50" s="57">
        <v>4.4702532414549907E-5</v>
      </c>
      <c r="AN50" s="57">
        <v>1.8407093085018983E-6</v>
      </c>
      <c r="AO50" s="57">
        <v>2.7527095421650835E-3</v>
      </c>
      <c r="AP50" s="57">
        <v>1.1134357717077849E-4</v>
      </c>
      <c r="AQ50" s="57">
        <v>9.245658813207107E-6</v>
      </c>
      <c r="AR50" s="57">
        <v>6.4374899574026696E-5</v>
      </c>
      <c r="AS50" s="57">
        <v>8.8072546932235485E-3</v>
      </c>
      <c r="AT50" s="57">
        <v>2.2180311298801198E-4</v>
      </c>
      <c r="AU50" s="57">
        <v>7.5570391483886168E-2</v>
      </c>
      <c r="AV50" s="57">
        <v>6.4326734246010042E-4</v>
      </c>
      <c r="AW50" s="57">
        <v>3.4218380627019159E-4</v>
      </c>
      <c r="AX50" s="57">
        <v>1.3475997857365609E-2</v>
      </c>
      <c r="AY50" s="57">
        <v>0</v>
      </c>
      <c r="AZ50" s="57">
        <v>1.6138645421156176E-2</v>
      </c>
      <c r="BA50" s="57">
        <v>2.9410932882334428E-3</v>
      </c>
      <c r="BB50" s="57">
        <v>1.0164959200640287E-3</v>
      </c>
      <c r="BC50" s="57">
        <v>1.2916023448557252E-5</v>
      </c>
      <c r="BD50" s="57">
        <v>6.731758159579217E-4</v>
      </c>
      <c r="BE50" s="57">
        <v>1.9765344045413687E-5</v>
      </c>
      <c r="BF50" s="57">
        <v>0</v>
      </c>
      <c r="BG50" s="57">
        <v>3.2851753396803462E-4</v>
      </c>
      <c r="BH50" s="57">
        <v>4.9996947676671377E-5</v>
      </c>
      <c r="BI50" s="57">
        <v>3.5152107482507564E-4</v>
      </c>
      <c r="BJ50" s="57">
        <v>6.6562027308173725E-5</v>
      </c>
      <c r="BK50" s="57">
        <v>2.5108303364098668E-4</v>
      </c>
      <c r="BL50" s="57">
        <v>1.2311770258907359E-2</v>
      </c>
      <c r="BM50" s="57">
        <v>1.9604140595134798E-3</v>
      </c>
      <c r="BN50" s="57">
        <v>6.8365640760952972E-4</v>
      </c>
      <c r="BO50" s="57">
        <v>1.2413193349113134E-3</v>
      </c>
      <c r="BP50" s="57">
        <v>1.7001436736004815E-3</v>
      </c>
      <c r="BQ50" s="57">
        <v>4.9060022057355996E-4</v>
      </c>
      <c r="BR50" s="57">
        <v>1.8759100372638146E-3</v>
      </c>
      <c r="BS50" s="57">
        <v>0</v>
      </c>
      <c r="BT50" s="57">
        <v>2.8125196385543291E-3</v>
      </c>
    </row>
    <row r="51" spans="1:72" ht="22.5">
      <c r="A51" s="38">
        <v>45</v>
      </c>
      <c r="B51" s="65" t="s">
        <v>45</v>
      </c>
      <c r="C51" s="39" t="s">
        <v>44</v>
      </c>
      <c r="D51" s="57">
        <v>8.4595947385426237E-2</v>
      </c>
      <c r="E51" s="57">
        <v>0</v>
      </c>
      <c r="F51" s="57">
        <v>1.3967002189813976E-2</v>
      </c>
      <c r="G51" s="57">
        <v>4.3488351286904446E-2</v>
      </c>
      <c r="H51" s="57">
        <v>2.4268087937275817E-2</v>
      </c>
      <c r="I51" s="57">
        <v>5.7209047956785957E-3</v>
      </c>
      <c r="J51" s="57">
        <v>0.107065863383404</v>
      </c>
      <c r="K51" s="57">
        <v>0.11802535633497147</v>
      </c>
      <c r="L51" s="57">
        <v>5.0025658251926064E-2</v>
      </c>
      <c r="M51" s="57">
        <v>0.15009576673537353</v>
      </c>
      <c r="N51" s="57">
        <v>7.8665604806890999E-2</v>
      </c>
      <c r="O51" s="57">
        <v>4.178492572840347E-2</v>
      </c>
      <c r="P51" s="57">
        <v>1.2452409973558004E-2</v>
      </c>
      <c r="Q51" s="57">
        <v>4.2986977998637202E-3</v>
      </c>
      <c r="R51" s="57">
        <v>1.5943032654515143E-3</v>
      </c>
      <c r="S51" s="57">
        <v>2.1704236089940175E-2</v>
      </c>
      <c r="T51" s="57">
        <v>3.8540886010682646E-2</v>
      </c>
      <c r="U51" s="57">
        <v>0.15433643965062721</v>
      </c>
      <c r="V51" s="57">
        <v>8.5249091416446543E-2</v>
      </c>
      <c r="W51" s="57">
        <v>5.0120165243376778E-2</v>
      </c>
      <c r="X51" s="57">
        <v>1.4261176395262951E-2</v>
      </c>
      <c r="Y51" s="57">
        <v>2.0606314848916958E-2</v>
      </c>
      <c r="Z51" s="57">
        <v>2.2154499407933504E-2</v>
      </c>
      <c r="AA51" s="57">
        <v>8.8870234693113531E-2</v>
      </c>
      <c r="AB51" s="57">
        <v>0.13583015783867974</v>
      </c>
      <c r="AC51" s="57">
        <v>7.3233012542310308E-2</v>
      </c>
      <c r="AD51" s="57">
        <v>2.6118742682814205E-2</v>
      </c>
      <c r="AE51" s="57">
        <v>3.9551828494229113E-2</v>
      </c>
      <c r="AF51" s="57">
        <v>0.23076780880032607</v>
      </c>
      <c r="AG51" s="57">
        <v>7.5951213212968854E-2</v>
      </c>
      <c r="AH51" s="57">
        <v>8.5282338274461859E-3</v>
      </c>
      <c r="AI51" s="57">
        <v>5.741407201621699E-2</v>
      </c>
      <c r="AJ51" s="57">
        <v>2.5650634976736988E-2</v>
      </c>
      <c r="AK51" s="57">
        <v>2.8896030427201649E-2</v>
      </c>
      <c r="AL51" s="57">
        <v>4.5301644638465428E-2</v>
      </c>
      <c r="AM51" s="57">
        <v>7.63714390741487E-2</v>
      </c>
      <c r="AN51" s="57">
        <v>1.9505385901159099E-2</v>
      </c>
      <c r="AO51" s="57">
        <v>0.15171214799700058</v>
      </c>
      <c r="AP51" s="57">
        <v>9.6767276433807906E-2</v>
      </c>
      <c r="AQ51" s="57">
        <v>1.012177283216709E-2</v>
      </c>
      <c r="AR51" s="57">
        <v>7.3918027534881664E-2</v>
      </c>
      <c r="AS51" s="57">
        <v>0.10206069223626538</v>
      </c>
      <c r="AT51" s="57">
        <v>0.17383933879543384</v>
      </c>
      <c r="AU51" s="57">
        <v>1.3947949383303036E-2</v>
      </c>
      <c r="AV51" s="57">
        <v>4.0230073221796704E-3</v>
      </c>
      <c r="AW51" s="57">
        <v>5.3445410032079716E-3</v>
      </c>
      <c r="AX51" s="57">
        <v>2.3940271586967817E-2</v>
      </c>
      <c r="AY51" s="57">
        <v>1.4408305123688294E-2</v>
      </c>
      <c r="AZ51" s="57">
        <v>3.7221279902959495E-2</v>
      </c>
      <c r="BA51" s="57">
        <v>2.6905699732713985E-2</v>
      </c>
      <c r="BB51" s="57">
        <v>6.4773147980568624E-3</v>
      </c>
      <c r="BC51" s="57">
        <v>4.7006741621417422E-2</v>
      </c>
      <c r="BD51" s="57">
        <v>0.11968782680213132</v>
      </c>
      <c r="BE51" s="57">
        <v>9.8952818109584485E-3</v>
      </c>
      <c r="BF51" s="57">
        <v>2.9400555009090536E-2</v>
      </c>
      <c r="BG51" s="57">
        <v>7.7362291637042462E-3</v>
      </c>
      <c r="BH51" s="57">
        <v>3.2441885567353456E-3</v>
      </c>
      <c r="BI51" s="57">
        <v>5.1814197673203458E-3</v>
      </c>
      <c r="BJ51" s="57">
        <v>5.4709608775198176E-3</v>
      </c>
      <c r="BK51" s="57">
        <v>4.1495441846407508E-2</v>
      </c>
      <c r="BL51" s="57">
        <v>1.3560701049133282E-2</v>
      </c>
      <c r="BM51" s="57">
        <v>1.7458870280558053E-3</v>
      </c>
      <c r="BN51" s="57">
        <v>2.3182242145445762E-2</v>
      </c>
      <c r="BO51" s="57">
        <v>0.12741639026917798</v>
      </c>
      <c r="BP51" s="57">
        <v>5.7022522588568741E-2</v>
      </c>
      <c r="BQ51" s="57">
        <v>3.3936497194451173E-2</v>
      </c>
      <c r="BR51" s="57">
        <v>6.946012281490028E-3</v>
      </c>
      <c r="BS51" s="57">
        <v>0</v>
      </c>
      <c r="BT51" s="57">
        <v>4.682830053518923E-2</v>
      </c>
    </row>
    <row r="52" spans="1:72" ht="33.75">
      <c r="A52" s="38">
        <v>46</v>
      </c>
      <c r="B52" s="65" t="s">
        <v>43</v>
      </c>
      <c r="C52" s="39" t="s">
        <v>42</v>
      </c>
      <c r="D52" s="57">
        <v>9.1425817126351942E-3</v>
      </c>
      <c r="E52" s="57">
        <v>2.7090526543868255E-3</v>
      </c>
      <c r="F52" s="57">
        <v>2.8185878184682563E-4</v>
      </c>
      <c r="G52" s="57">
        <v>1.5972037060312375E-2</v>
      </c>
      <c r="H52" s="57">
        <v>1.366451105847586E-3</v>
      </c>
      <c r="I52" s="57">
        <v>1.2476629414016444E-3</v>
      </c>
      <c r="J52" s="57">
        <v>2.1112563081572776E-3</v>
      </c>
      <c r="K52" s="57">
        <v>6.3029584147224205E-4</v>
      </c>
      <c r="L52" s="57">
        <v>7.3169802161660502E-3</v>
      </c>
      <c r="M52" s="57">
        <v>2.1647134199801097E-3</v>
      </c>
      <c r="N52" s="57">
        <v>8.2171657042480971E-4</v>
      </c>
      <c r="O52" s="57">
        <v>0</v>
      </c>
      <c r="P52" s="57">
        <v>2.1573056856544756E-5</v>
      </c>
      <c r="Q52" s="57">
        <v>5.1607848598018937E-6</v>
      </c>
      <c r="R52" s="57">
        <v>3.3413108421166469E-6</v>
      </c>
      <c r="S52" s="57">
        <v>1.3375255678731173E-4</v>
      </c>
      <c r="T52" s="57">
        <v>4.6805464565319467E-4</v>
      </c>
      <c r="U52" s="57">
        <v>0</v>
      </c>
      <c r="V52" s="57">
        <v>3.9011834882879248E-3</v>
      </c>
      <c r="W52" s="57">
        <v>5.345033037260292E-3</v>
      </c>
      <c r="X52" s="57">
        <v>7.1597965638394155E-5</v>
      </c>
      <c r="Y52" s="57">
        <v>6.3214414742364921E-6</v>
      </c>
      <c r="Z52" s="57">
        <v>2.7674968663313711E-5</v>
      </c>
      <c r="AA52" s="57">
        <v>9.1510558941298417E-4</v>
      </c>
      <c r="AB52" s="57">
        <v>2.2343137474786881E-4</v>
      </c>
      <c r="AC52" s="57">
        <v>5.076316672863473E-4</v>
      </c>
      <c r="AD52" s="57">
        <v>2.6222171594889883E-2</v>
      </c>
      <c r="AE52" s="57">
        <v>1.6622953423908193E-4</v>
      </c>
      <c r="AF52" s="57">
        <v>1.4397961555216346E-5</v>
      </c>
      <c r="AG52" s="57">
        <v>2.4045429686047151E-4</v>
      </c>
      <c r="AH52" s="57">
        <v>1.3732871310553554E-4</v>
      </c>
      <c r="AI52" s="57">
        <v>2.1450691973663858E-5</v>
      </c>
      <c r="AJ52" s="57">
        <v>1.1457294296723045E-3</v>
      </c>
      <c r="AK52" s="57">
        <v>3.0112883127437091E-5</v>
      </c>
      <c r="AL52" s="57">
        <v>7.9734626746863886E-5</v>
      </c>
      <c r="AM52" s="57">
        <v>1.8941670226522428E-5</v>
      </c>
      <c r="AN52" s="57">
        <v>1.0016270222874291E-5</v>
      </c>
      <c r="AO52" s="57">
        <v>8.0090677621323637E-4</v>
      </c>
      <c r="AP52" s="57">
        <v>3.7883636190160874E-3</v>
      </c>
      <c r="AQ52" s="57">
        <v>1.5825886113048575E-2</v>
      </c>
      <c r="AR52" s="57">
        <v>6.3837367641471788E-3</v>
      </c>
      <c r="AS52" s="57">
        <v>4.5199212786296225E-3</v>
      </c>
      <c r="AT52" s="57">
        <v>2.4198928811077214E-3</v>
      </c>
      <c r="AU52" s="57">
        <v>9.6342681815056745E-4</v>
      </c>
      <c r="AV52" s="57">
        <v>4.8855151581595896E-3</v>
      </c>
      <c r="AW52" s="57">
        <v>5.1747246569911693E-3</v>
      </c>
      <c r="AX52" s="57">
        <v>2.1495402499432756E-2</v>
      </c>
      <c r="AY52" s="57">
        <v>7.5586152521754258E-3</v>
      </c>
      <c r="AZ52" s="57">
        <v>3.1150777923327294E-2</v>
      </c>
      <c r="BA52" s="57">
        <v>1.1087387986938773E-2</v>
      </c>
      <c r="BB52" s="57">
        <v>1.3518329101829459E-2</v>
      </c>
      <c r="BC52" s="57">
        <v>2.3604105714348845E-3</v>
      </c>
      <c r="BD52" s="57">
        <v>4.2280250033589669E-4</v>
      </c>
      <c r="BE52" s="57">
        <v>1.4079462285901516E-3</v>
      </c>
      <c r="BF52" s="57">
        <v>4.5275067044791319E-3</v>
      </c>
      <c r="BG52" s="57">
        <v>2.4994160718057985E-4</v>
      </c>
      <c r="BH52" s="57">
        <v>3.0526012559565677E-4</v>
      </c>
      <c r="BI52" s="57">
        <v>3.8276727097601713E-4</v>
      </c>
      <c r="BJ52" s="57">
        <v>2.6132665896968777E-4</v>
      </c>
      <c r="BK52" s="57">
        <v>2.2766930403059571E-3</v>
      </c>
      <c r="BL52" s="57">
        <v>5.2224509818608903E-3</v>
      </c>
      <c r="BM52" s="57">
        <v>1.5871143172875045E-2</v>
      </c>
      <c r="BN52" s="57">
        <v>3.0707404110660434E-3</v>
      </c>
      <c r="BO52" s="57">
        <v>7.2679740437037446E-3</v>
      </c>
      <c r="BP52" s="57">
        <v>8.7080089666836703E-3</v>
      </c>
      <c r="BQ52" s="57">
        <v>2.115003071285692E-3</v>
      </c>
      <c r="BR52" s="57">
        <v>1.6162911631064888E-3</v>
      </c>
      <c r="BS52" s="57">
        <v>0</v>
      </c>
      <c r="BT52" s="57">
        <v>3.7079022546675257E-3</v>
      </c>
    </row>
    <row r="53" spans="1:72" ht="22.5">
      <c r="A53" s="38">
        <v>47</v>
      </c>
      <c r="B53" s="65" t="s">
        <v>41</v>
      </c>
      <c r="C53" s="39" t="s">
        <v>40</v>
      </c>
      <c r="D53" s="57">
        <v>1.4766289983970055E-2</v>
      </c>
      <c r="E53" s="57">
        <v>5.4748110351949197E-4</v>
      </c>
      <c r="F53" s="57">
        <v>9.4595152747416623E-4</v>
      </c>
      <c r="G53" s="57">
        <v>1.352924395336131E-2</v>
      </c>
      <c r="H53" s="57">
        <v>5.7084186278321999E-2</v>
      </c>
      <c r="I53" s="57">
        <v>1.7884834635576451E-2</v>
      </c>
      <c r="J53" s="57">
        <v>1.2119821542012337E-2</v>
      </c>
      <c r="K53" s="57">
        <v>1.3878459940256958E-2</v>
      </c>
      <c r="L53" s="57">
        <v>1.9199427919638183E-2</v>
      </c>
      <c r="M53" s="57">
        <v>1.206277621899407E-2</v>
      </c>
      <c r="N53" s="57">
        <v>7.1794257030764249E-3</v>
      </c>
      <c r="O53" s="57">
        <v>2.8217300382538273E-3</v>
      </c>
      <c r="P53" s="57">
        <v>2.2448134877619485E-3</v>
      </c>
      <c r="Q53" s="57">
        <v>3.2893388213717294E-4</v>
      </c>
      <c r="R53" s="57">
        <v>3.2485104278188987E-4</v>
      </c>
      <c r="S53" s="57">
        <v>9.7025330799562805E-4</v>
      </c>
      <c r="T53" s="57">
        <v>3.1206181890907469E-3</v>
      </c>
      <c r="U53" s="57">
        <v>6.4620244652686632E-3</v>
      </c>
      <c r="V53" s="57">
        <v>1.3681953816951496E-2</v>
      </c>
      <c r="W53" s="57">
        <v>4.7918878362674278E-2</v>
      </c>
      <c r="X53" s="57">
        <v>9.8746196063399273E-3</v>
      </c>
      <c r="Y53" s="57">
        <v>1.196523677093828E-3</v>
      </c>
      <c r="Z53" s="57">
        <v>3.6894136856431008E-3</v>
      </c>
      <c r="AA53" s="57">
        <v>1.1991388388306341E-2</v>
      </c>
      <c r="AB53" s="57">
        <v>2.1343795762924774E-2</v>
      </c>
      <c r="AC53" s="57">
        <v>6.5869467742765229E-3</v>
      </c>
      <c r="AD53" s="57">
        <v>1.9910723715222546E-2</v>
      </c>
      <c r="AE53" s="57">
        <v>2.9742162854617879E-2</v>
      </c>
      <c r="AF53" s="57">
        <v>1.3837481211481347E-2</v>
      </c>
      <c r="AG53" s="57">
        <v>7.0645555413310461E-3</v>
      </c>
      <c r="AH53" s="57">
        <v>4.5201665194648331E-4</v>
      </c>
      <c r="AI53" s="57">
        <v>3.0737580656331519E-3</v>
      </c>
      <c r="AJ53" s="57">
        <v>2.8694597289720923E-3</v>
      </c>
      <c r="AK53" s="57">
        <v>5.6417184479920961E-3</v>
      </c>
      <c r="AL53" s="57">
        <v>5.2674411111850641E-3</v>
      </c>
      <c r="AM53" s="57">
        <v>2.849020742225308E-3</v>
      </c>
      <c r="AN53" s="57">
        <v>1.4333776912792793E-3</v>
      </c>
      <c r="AO53" s="57">
        <v>1.5421850263748661E-2</v>
      </c>
      <c r="AP53" s="57">
        <v>1.0348564677715754E-2</v>
      </c>
      <c r="AQ53" s="57">
        <v>1.8330526371182643E-2</v>
      </c>
      <c r="AR53" s="57">
        <v>9.7276735890889938E-3</v>
      </c>
      <c r="AS53" s="57">
        <v>8.021287124241017E-3</v>
      </c>
      <c r="AT53" s="57">
        <v>1.5810877467998138E-2</v>
      </c>
      <c r="AU53" s="57">
        <v>1.3053311782341028E-2</v>
      </c>
      <c r="AV53" s="57">
        <v>2.2790195723253769E-2</v>
      </c>
      <c r="AW53" s="57">
        <v>1.0386316287201769E-2</v>
      </c>
      <c r="AX53" s="57">
        <v>7.8938323210194592E-3</v>
      </c>
      <c r="AY53" s="57">
        <v>1.6960207269624186E-2</v>
      </c>
      <c r="AZ53" s="57">
        <v>4.903334956029199E-3</v>
      </c>
      <c r="BA53" s="57">
        <v>4.160788172238087E-2</v>
      </c>
      <c r="BB53" s="57">
        <v>8.1273950309859025E-2</v>
      </c>
      <c r="BC53" s="57">
        <v>3.6484645315109287E-3</v>
      </c>
      <c r="BD53" s="57">
        <v>9.553931573851376E-3</v>
      </c>
      <c r="BE53" s="57">
        <v>1.0010759259913209E-3</v>
      </c>
      <c r="BF53" s="57">
        <v>3.5118094554111119E-3</v>
      </c>
      <c r="BG53" s="57">
        <v>6.1579353832862029E-3</v>
      </c>
      <c r="BH53" s="57">
        <v>3.4696225022713351E-3</v>
      </c>
      <c r="BI53" s="57">
        <v>4.138044173237653E-3</v>
      </c>
      <c r="BJ53" s="57">
        <v>2.8304420279697578E-2</v>
      </c>
      <c r="BK53" s="57">
        <v>5.567645185462441E-3</v>
      </c>
      <c r="BL53" s="57">
        <v>2.5640239925844771E-2</v>
      </c>
      <c r="BM53" s="57">
        <v>3.1676307668818413E-3</v>
      </c>
      <c r="BN53" s="57">
        <v>2.4694142361769726E-3</v>
      </c>
      <c r="BO53" s="57">
        <v>6.5394430078052519E-3</v>
      </c>
      <c r="BP53" s="57">
        <v>5.0339212877581743E-3</v>
      </c>
      <c r="BQ53" s="57">
        <v>2.6269139966976535E-3</v>
      </c>
      <c r="BR53" s="57">
        <v>6.2554764113663605E-3</v>
      </c>
      <c r="BS53" s="57">
        <v>0</v>
      </c>
      <c r="BT53" s="57">
        <v>1.6515026061952966E-2</v>
      </c>
    </row>
    <row r="54" spans="1:72">
      <c r="A54" s="38">
        <v>48</v>
      </c>
      <c r="B54" s="65" t="s">
        <v>39</v>
      </c>
      <c r="C54" s="39" t="s">
        <v>38</v>
      </c>
      <c r="D54" s="57">
        <v>5.8564595628294018E-5</v>
      </c>
      <c r="E54" s="57">
        <v>2.2284596235686002E-6</v>
      </c>
      <c r="F54" s="57">
        <v>7.1174741390801169E-2</v>
      </c>
      <c r="G54" s="57">
        <v>6.7072280073267147E-5</v>
      </c>
      <c r="H54" s="57">
        <v>6.5751399607069628E-4</v>
      </c>
      <c r="I54" s="57">
        <v>5.9932772583962894E-4</v>
      </c>
      <c r="J54" s="57">
        <v>1.264645346477845E-4</v>
      </c>
      <c r="K54" s="57">
        <v>1.5387641894094674E-4</v>
      </c>
      <c r="L54" s="57">
        <v>7.9219548731310893E-5</v>
      </c>
      <c r="M54" s="57">
        <v>1.2984334762389366E-4</v>
      </c>
      <c r="N54" s="57">
        <v>7.4420059654275506E-5</v>
      </c>
      <c r="O54" s="57">
        <v>3.9357649612096675E-5</v>
      </c>
      <c r="P54" s="57">
        <v>2.7098059748069889E-5</v>
      </c>
      <c r="Q54" s="57">
        <v>3.6811846277839881E-6</v>
      </c>
      <c r="R54" s="57">
        <v>3.5830754485035652E-6</v>
      </c>
      <c r="S54" s="57">
        <v>1.0899023698047748E-5</v>
      </c>
      <c r="T54" s="57">
        <v>2.8233018920288458E-5</v>
      </c>
      <c r="U54" s="57">
        <v>7.2245378767311322E-5</v>
      </c>
      <c r="V54" s="57">
        <v>2.6947379997133156E-3</v>
      </c>
      <c r="W54" s="57">
        <v>1.8938822789694006E-4</v>
      </c>
      <c r="X54" s="57">
        <v>1.107602276948923E-4</v>
      </c>
      <c r="Y54" s="57">
        <v>1.3484676018252275E-5</v>
      </c>
      <c r="Z54" s="57">
        <v>4.1385299036518357E-5</v>
      </c>
      <c r="AA54" s="57">
        <v>1.2536131472062537E-4</v>
      </c>
      <c r="AB54" s="57">
        <v>2.3929223815451699E-4</v>
      </c>
      <c r="AC54" s="57">
        <v>7.4203127170510987E-5</v>
      </c>
      <c r="AD54" s="57">
        <v>2.2414547420761076E-4</v>
      </c>
      <c r="AE54" s="57">
        <v>4.0165121547760982E-4</v>
      </c>
      <c r="AF54" s="57">
        <v>1.5569506715982999E-4</v>
      </c>
      <c r="AG54" s="57">
        <v>7.9387069248722673E-5</v>
      </c>
      <c r="AH54" s="57">
        <v>5.0461819681358597E-6</v>
      </c>
      <c r="AI54" s="57">
        <v>3.4576329241702202E-5</v>
      </c>
      <c r="AJ54" s="57">
        <v>3.2171140568567678E-5</v>
      </c>
      <c r="AK54" s="57">
        <v>6.3511749947792894E-5</v>
      </c>
      <c r="AL54" s="57">
        <v>5.932927051868963E-5</v>
      </c>
      <c r="AM54" s="57">
        <v>3.1092750485086829E-5</v>
      </c>
      <c r="AN54" s="57">
        <v>1.614684263340985E-5</v>
      </c>
      <c r="AO54" s="57">
        <v>1.7118799375722232E-4</v>
      </c>
      <c r="AP54" s="57">
        <v>1.130533313882273E-4</v>
      </c>
      <c r="AQ54" s="57">
        <v>2.2290499105906281E-4</v>
      </c>
      <c r="AR54" s="57">
        <v>1.0697761907968587E-4</v>
      </c>
      <c r="AS54" s="57">
        <v>8.7273369801902983E-5</v>
      </c>
      <c r="AT54" s="57">
        <v>1.7130616804471747E-4</v>
      </c>
      <c r="AU54" s="57">
        <v>5.2242506499044982E-5</v>
      </c>
      <c r="AV54" s="57">
        <v>1.2924713650690673E-5</v>
      </c>
      <c r="AW54" s="57">
        <v>1.0964056657237987E-5</v>
      </c>
      <c r="AX54" s="57">
        <v>7.052443768576978E-5</v>
      </c>
      <c r="AY54" s="57">
        <v>4.8637038740053668E-5</v>
      </c>
      <c r="AZ54" s="57">
        <v>7.5756467711166588E-5</v>
      </c>
      <c r="BA54" s="57">
        <v>4.9961688820107776E-5</v>
      </c>
      <c r="BB54" s="57">
        <v>2.241073778263392E-5</v>
      </c>
      <c r="BC54" s="57">
        <v>4.1004367033093658E-5</v>
      </c>
      <c r="BD54" s="57">
        <v>9.3130862948305219E-5</v>
      </c>
      <c r="BE54" s="57">
        <v>8.9157096189573166E-6</v>
      </c>
      <c r="BF54" s="57">
        <v>3.8424805394137494E-5</v>
      </c>
      <c r="BG54" s="57">
        <v>5.3281518578304003E-5</v>
      </c>
      <c r="BH54" s="57">
        <v>2.0408585650349809E-6</v>
      </c>
      <c r="BI54" s="57">
        <v>2.8949566986714981E-6</v>
      </c>
      <c r="BJ54" s="57">
        <v>5.1834717799649186E-6</v>
      </c>
      <c r="BK54" s="57">
        <v>5.1122499214888038E-5</v>
      </c>
      <c r="BL54" s="57">
        <v>1.8824573412211652E-5</v>
      </c>
      <c r="BM54" s="57">
        <v>2.0933710607712207E-5</v>
      </c>
      <c r="BN54" s="57">
        <v>2.2082312126036968E-5</v>
      </c>
      <c r="BO54" s="57">
        <v>7.2106640414177679E-5</v>
      </c>
      <c r="BP54" s="57">
        <v>5.3601648501406137E-5</v>
      </c>
      <c r="BQ54" s="57">
        <v>2.8845832850492869E-5</v>
      </c>
      <c r="BR54" s="57">
        <v>7.3916068011618351E-6</v>
      </c>
      <c r="BS54" s="57">
        <v>0</v>
      </c>
      <c r="BT54" s="57">
        <v>1.9173122091039929E-4</v>
      </c>
    </row>
    <row r="55" spans="1:72">
      <c r="A55" s="38">
        <v>49</v>
      </c>
      <c r="B55" s="65" t="s">
        <v>37</v>
      </c>
      <c r="C55" s="39" t="s">
        <v>36</v>
      </c>
      <c r="D55" s="57">
        <v>8.4325824111099315E-7</v>
      </c>
      <c r="E55" s="57">
        <v>0</v>
      </c>
      <c r="F55" s="57">
        <v>2.937646431707606E-8</v>
      </c>
      <c r="G55" s="57">
        <v>3.740208351962997E-6</v>
      </c>
      <c r="H55" s="57">
        <v>1.2137404755788705E-4</v>
      </c>
      <c r="I55" s="57">
        <v>1.1324107780408691E-4</v>
      </c>
      <c r="J55" s="57">
        <v>1.4009130594383506E-6</v>
      </c>
      <c r="K55" s="57">
        <v>3.7429733715540418E-6</v>
      </c>
      <c r="L55" s="57">
        <v>1.3859738020673212E-5</v>
      </c>
      <c r="M55" s="57">
        <v>5.2468885966294835E-5</v>
      </c>
      <c r="N55" s="57">
        <v>8.746590904378497E-6</v>
      </c>
      <c r="O55" s="57">
        <v>1.0814783437583595E-7</v>
      </c>
      <c r="P55" s="57">
        <v>7.404515825139782E-8</v>
      </c>
      <c r="Q55" s="57">
        <v>1.7348648594919778E-7</v>
      </c>
      <c r="R55" s="57">
        <v>3.3061826514450428E-7</v>
      </c>
      <c r="S55" s="57">
        <v>3.0024858672307845E-8</v>
      </c>
      <c r="T55" s="57">
        <v>7.7719817178257827E-8</v>
      </c>
      <c r="U55" s="57">
        <v>1.5443546554307846E-6</v>
      </c>
      <c r="V55" s="57">
        <v>4.2455559715235508E-7</v>
      </c>
      <c r="W55" s="57">
        <v>5.2066208646209411E-7</v>
      </c>
      <c r="X55" s="57">
        <v>6.2030509861351579E-7</v>
      </c>
      <c r="Y55" s="57">
        <v>3.6935255844932846E-8</v>
      </c>
      <c r="Z55" s="57">
        <v>1.1389619975102978E-7</v>
      </c>
      <c r="AA55" s="57">
        <v>3.5151695111170667E-7</v>
      </c>
      <c r="AB55" s="57">
        <v>6.5744835441541684E-7</v>
      </c>
      <c r="AC55" s="57">
        <v>2.0457483152031978E-7</v>
      </c>
      <c r="AD55" s="57">
        <v>6.1597565417824421E-7</v>
      </c>
      <c r="AE55" s="57">
        <v>1.1036602532775039E-6</v>
      </c>
      <c r="AF55" s="57">
        <v>4.197124407731001E-7</v>
      </c>
      <c r="AG55" s="57">
        <v>2.1819651592438629E-7</v>
      </c>
      <c r="AH55" s="57">
        <v>1.4090014027215617E-8</v>
      </c>
      <c r="AI55" s="57">
        <v>1.1449763730553485E-7</v>
      </c>
      <c r="AJ55" s="57">
        <v>8.8386224107022944E-8</v>
      </c>
      <c r="AK55" s="57">
        <v>1.7450880026259917E-7</v>
      </c>
      <c r="AL55" s="57">
        <v>1.6288583976563379E-7</v>
      </c>
      <c r="AM55" s="57">
        <v>8.5805980641098195E-8</v>
      </c>
      <c r="AN55" s="57">
        <v>2.8664983861515242E-7</v>
      </c>
      <c r="AO55" s="57">
        <v>2.6964918144273655E-6</v>
      </c>
      <c r="AP55" s="57">
        <v>2.4540043423814266E-6</v>
      </c>
      <c r="AQ55" s="57">
        <v>6.1281654645155048E-7</v>
      </c>
      <c r="AR55" s="57">
        <v>2.9408161247445642E-7</v>
      </c>
      <c r="AS55" s="57">
        <v>1.9544079884855549E-6</v>
      </c>
      <c r="AT55" s="57">
        <v>3.2413527663099666E-5</v>
      </c>
      <c r="AU55" s="57">
        <v>2.3595122455719241E-3</v>
      </c>
      <c r="AV55" s="57">
        <v>1.5661649848972314E-3</v>
      </c>
      <c r="AW55" s="57">
        <v>2.2576116703397708E-3</v>
      </c>
      <c r="AX55" s="57">
        <v>1.9374768986958158E-7</v>
      </c>
      <c r="AY55" s="57">
        <v>1.341206884283255E-7</v>
      </c>
      <c r="AZ55" s="57">
        <v>1.3272747625520469E-3</v>
      </c>
      <c r="BA55" s="57">
        <v>1.7444905219789733E-3</v>
      </c>
      <c r="BB55" s="57">
        <v>8.7681462190141488E-2</v>
      </c>
      <c r="BC55" s="57">
        <v>1.1293627122187142E-7</v>
      </c>
      <c r="BD55" s="57">
        <v>2.556781462226853E-7</v>
      </c>
      <c r="BE55" s="57">
        <v>1.6119894082974814E-5</v>
      </c>
      <c r="BF55" s="57">
        <v>1.1702969925076543E-3</v>
      </c>
      <c r="BG55" s="57">
        <v>9.0713448768422176E-4</v>
      </c>
      <c r="BH55" s="57">
        <v>5.4495555808677721E-9</v>
      </c>
      <c r="BI55" s="57">
        <v>7.2966772493295482E-9</v>
      </c>
      <c r="BJ55" s="57">
        <v>1.664610856167596E-6</v>
      </c>
      <c r="BK55" s="57">
        <v>2.4881155016343972E-3</v>
      </c>
      <c r="BL55" s="57">
        <v>2.0580345938423485E-2</v>
      </c>
      <c r="BM55" s="57">
        <v>1.761886787608102E-2</v>
      </c>
      <c r="BN55" s="57">
        <v>2.3361474117995452E-3</v>
      </c>
      <c r="BO55" s="57">
        <v>2.6727347254041495E-4</v>
      </c>
      <c r="BP55" s="57">
        <v>1.4893943702150517E-7</v>
      </c>
      <c r="BQ55" s="57">
        <v>3.646398592974975E-3</v>
      </c>
      <c r="BR55" s="57">
        <v>2.8488364541395502E-4</v>
      </c>
      <c r="BS55" s="57">
        <v>0</v>
      </c>
      <c r="BT55" s="57">
        <v>1.5169534648779043E-3</v>
      </c>
    </row>
    <row r="56" spans="1:72" ht="22.5">
      <c r="A56" s="38">
        <v>50</v>
      </c>
      <c r="B56" s="65" t="s">
        <v>35</v>
      </c>
      <c r="C56" s="39" t="s">
        <v>34</v>
      </c>
      <c r="D56" s="57">
        <v>1.424928100114403E-2</v>
      </c>
      <c r="E56" s="57">
        <v>0</v>
      </c>
      <c r="F56" s="57">
        <v>0</v>
      </c>
      <c r="G56" s="57">
        <v>0</v>
      </c>
      <c r="H56" s="57">
        <v>2.9159082514847334E-2</v>
      </c>
      <c r="I56" s="57">
        <v>1.1105444628525137E-3</v>
      </c>
      <c r="J56" s="57">
        <v>5.2677115724449671E-4</v>
      </c>
      <c r="K56" s="57">
        <v>1.1383692200437015E-4</v>
      </c>
      <c r="L56" s="57">
        <v>1.3908644480849657E-3</v>
      </c>
      <c r="M56" s="57">
        <v>3.6234952996524837E-4</v>
      </c>
      <c r="N56" s="57">
        <v>1.8565013032518474E-5</v>
      </c>
      <c r="O56" s="57">
        <v>0</v>
      </c>
      <c r="P56" s="57">
        <v>0</v>
      </c>
      <c r="Q56" s="57">
        <v>3.9387857735873422E-6</v>
      </c>
      <c r="R56" s="57">
        <v>1.4493478198272208E-5</v>
      </c>
      <c r="S56" s="57">
        <v>0</v>
      </c>
      <c r="T56" s="57">
        <v>1.5754670495557064E-5</v>
      </c>
      <c r="U56" s="57">
        <v>0</v>
      </c>
      <c r="V56" s="57">
        <v>0</v>
      </c>
      <c r="W56" s="57">
        <v>2.3317162995399291E-3</v>
      </c>
      <c r="X56" s="57">
        <v>7.2285553830365355E-7</v>
      </c>
      <c r="Y56" s="57">
        <v>0</v>
      </c>
      <c r="Z56" s="57">
        <v>1.1871720291509452E-6</v>
      </c>
      <c r="AA56" s="57">
        <v>9.8000966293561317E-5</v>
      </c>
      <c r="AB56" s="57">
        <v>6.0495042607060664E-5</v>
      </c>
      <c r="AC56" s="57">
        <v>2.4026355017538808E-5</v>
      </c>
      <c r="AD56" s="57">
        <v>0</v>
      </c>
      <c r="AE56" s="57">
        <v>2.0561905044760203E-10</v>
      </c>
      <c r="AF56" s="57">
        <v>0</v>
      </c>
      <c r="AG56" s="57">
        <v>5.9034601125430777E-8</v>
      </c>
      <c r="AH56" s="57">
        <v>0</v>
      </c>
      <c r="AI56" s="57">
        <v>5.2204072325331251E-6</v>
      </c>
      <c r="AJ56" s="57">
        <v>1.0115044720694723E-7</v>
      </c>
      <c r="AK56" s="57">
        <v>0</v>
      </c>
      <c r="AL56" s="57">
        <v>4.4362962550963439E-6</v>
      </c>
      <c r="AM56" s="57">
        <v>0</v>
      </c>
      <c r="AN56" s="57">
        <v>2.5007727299873642E-6</v>
      </c>
      <c r="AO56" s="57">
        <v>3.0847974595556416E-6</v>
      </c>
      <c r="AP56" s="57">
        <v>3.4933661295252891E-5</v>
      </c>
      <c r="AQ56" s="57">
        <v>0</v>
      </c>
      <c r="AR56" s="57">
        <v>3.5183025936149709E-4</v>
      </c>
      <c r="AS56" s="57">
        <v>1.9865864905848027E-4</v>
      </c>
      <c r="AT56" s="57">
        <v>6.159910722737969E-5</v>
      </c>
      <c r="AU56" s="57">
        <v>2.2886455863907126E-2</v>
      </c>
      <c r="AV56" s="57">
        <v>3.4717241322570334E-2</v>
      </c>
      <c r="AW56" s="57">
        <v>2.1281747060886293E-2</v>
      </c>
      <c r="AX56" s="57">
        <v>1.4995200793810722E-2</v>
      </c>
      <c r="AY56" s="57">
        <v>2.7947898355636467E-2</v>
      </c>
      <c r="AZ56" s="57">
        <v>0.14479911536245221</v>
      </c>
      <c r="BA56" s="57">
        <v>8.2148262644610257E-3</v>
      </c>
      <c r="BB56" s="57">
        <v>0</v>
      </c>
      <c r="BC56" s="57">
        <v>7.4076478973485554E-7</v>
      </c>
      <c r="BD56" s="57">
        <v>3.0092257394135403E-6</v>
      </c>
      <c r="BE56" s="57">
        <v>1.2744180212905949E-4</v>
      </c>
      <c r="BF56" s="57">
        <v>6.3601927556655204E-4</v>
      </c>
      <c r="BG56" s="57">
        <v>1.283712406281405E-4</v>
      </c>
      <c r="BH56" s="57">
        <v>7.6554103402246866E-4</v>
      </c>
      <c r="BI56" s="57">
        <v>8.2579597518493469E-4</v>
      </c>
      <c r="BJ56" s="57">
        <v>5.2933204298320321E-6</v>
      </c>
      <c r="BK56" s="57">
        <v>1.0275810860727074E-2</v>
      </c>
      <c r="BL56" s="57">
        <v>1.9514370023259998E-4</v>
      </c>
      <c r="BM56" s="57">
        <v>1.4320620878159614E-2</v>
      </c>
      <c r="BN56" s="57">
        <v>2.7376682858181101E-4</v>
      </c>
      <c r="BO56" s="57">
        <v>8.1168220372889675E-5</v>
      </c>
      <c r="BP56" s="57">
        <v>4.5716215496565907E-3</v>
      </c>
      <c r="BQ56" s="57">
        <v>3.939263505542916E-5</v>
      </c>
      <c r="BR56" s="57">
        <v>4.0115873259854099E-7</v>
      </c>
      <c r="BS56" s="57">
        <v>0</v>
      </c>
      <c r="BT56" s="57">
        <v>9.0676770185052352E-3</v>
      </c>
    </row>
    <row r="57" spans="1:72">
      <c r="A57" s="38">
        <v>51</v>
      </c>
      <c r="B57" s="65" t="s">
        <v>33</v>
      </c>
      <c r="C57" s="39" t="s">
        <v>32</v>
      </c>
      <c r="D57" s="57">
        <v>2.1920570493745228E-7</v>
      </c>
      <c r="E57" s="57">
        <v>3.1541274672047882E-6</v>
      </c>
      <c r="F57" s="57">
        <v>0</v>
      </c>
      <c r="G57" s="57">
        <v>3.4041825869305025E-8</v>
      </c>
      <c r="H57" s="57">
        <v>1.3679006165991424E-7</v>
      </c>
      <c r="I57" s="57">
        <v>1.1630374303740525E-7</v>
      </c>
      <c r="J57" s="57">
        <v>0</v>
      </c>
      <c r="K57" s="57">
        <v>1.2853045185457904E-8</v>
      </c>
      <c r="L57" s="57">
        <v>2.2291886326956915E-7</v>
      </c>
      <c r="M57" s="57">
        <v>4.9393208846216941E-8</v>
      </c>
      <c r="N57" s="57">
        <v>9.2290489035313009E-7</v>
      </c>
      <c r="O57" s="57">
        <v>0</v>
      </c>
      <c r="P57" s="57">
        <v>0</v>
      </c>
      <c r="Q57" s="57">
        <v>4.9651014497245156E-8</v>
      </c>
      <c r="R57" s="57">
        <v>1.2191548527203596E-7</v>
      </c>
      <c r="S57" s="57">
        <v>0</v>
      </c>
      <c r="T57" s="57">
        <v>2.7115580659969952E-7</v>
      </c>
      <c r="U57" s="57">
        <v>1.848545723924727E-6</v>
      </c>
      <c r="V57" s="57">
        <v>0</v>
      </c>
      <c r="W57" s="57">
        <v>0</v>
      </c>
      <c r="X57" s="57">
        <v>6.5782355215868812E-8</v>
      </c>
      <c r="Y57" s="57">
        <v>0</v>
      </c>
      <c r="Z57" s="57">
        <v>0</v>
      </c>
      <c r="AA57" s="57">
        <v>5.3482834605846202E-8</v>
      </c>
      <c r="AB57" s="57">
        <v>1.7316627021211137E-7</v>
      </c>
      <c r="AC57" s="57">
        <v>1.4384167841272485E-8</v>
      </c>
      <c r="AD57" s="57">
        <v>2.1999130506365867E-8</v>
      </c>
      <c r="AE57" s="57">
        <v>4.3180000593996423E-9</v>
      </c>
      <c r="AF57" s="57">
        <v>0</v>
      </c>
      <c r="AG57" s="57">
        <v>2.0141216854558735E-7</v>
      </c>
      <c r="AH57" s="57">
        <v>0</v>
      </c>
      <c r="AI57" s="57">
        <v>9.2821375200256246E-7</v>
      </c>
      <c r="AJ57" s="57">
        <v>3.8533503697884663E-9</v>
      </c>
      <c r="AK57" s="57">
        <v>0</v>
      </c>
      <c r="AL57" s="57">
        <v>1.160282694220953E-8</v>
      </c>
      <c r="AM57" s="57">
        <v>4.3641875153847446E-6</v>
      </c>
      <c r="AN57" s="57">
        <v>2.3063780118460539E-8</v>
      </c>
      <c r="AO57" s="57">
        <v>1.6979915840975133E-7</v>
      </c>
      <c r="AP57" s="57">
        <v>6.6411647641676231E-7</v>
      </c>
      <c r="AQ57" s="57">
        <v>8.4332552263974828E-9</v>
      </c>
      <c r="AR57" s="57">
        <v>9.1266707319658881E-8</v>
      </c>
      <c r="AS57" s="57">
        <v>3.0088297370417943E-7</v>
      </c>
      <c r="AT57" s="57">
        <v>4.6642212136568523E-7</v>
      </c>
      <c r="AU57" s="57">
        <v>3.1704336815226743E-7</v>
      </c>
      <c r="AV57" s="57">
        <v>3.3442853315783664E-5</v>
      </c>
      <c r="AW57" s="57">
        <v>7.5431686080354107E-4</v>
      </c>
      <c r="AX57" s="57">
        <v>1.7828687493390685E-7</v>
      </c>
      <c r="AY57" s="57">
        <v>0</v>
      </c>
      <c r="AZ57" s="57">
        <v>2.5624825368752933E-7</v>
      </c>
      <c r="BA57" s="57">
        <v>2.585040097057115E-4</v>
      </c>
      <c r="BB57" s="57">
        <v>1.231875341732654E-3</v>
      </c>
      <c r="BC57" s="57">
        <v>1.6357543799554926E-6</v>
      </c>
      <c r="BD57" s="57">
        <v>1.287895202908494E-5</v>
      </c>
      <c r="BE57" s="57">
        <v>2.4497967844598559E-6</v>
      </c>
      <c r="BF57" s="57">
        <v>2.7347026173269655E-5</v>
      </c>
      <c r="BG57" s="57">
        <v>2.8958182356241219E-4</v>
      </c>
      <c r="BH57" s="57">
        <v>6.7441411055475591E-4</v>
      </c>
      <c r="BI57" s="57">
        <v>4.1976142463011795E-4</v>
      </c>
      <c r="BJ57" s="57">
        <v>1.0625989629765716E-6</v>
      </c>
      <c r="BK57" s="57">
        <v>7.7208016716591903E-6</v>
      </c>
      <c r="BL57" s="57">
        <v>6.0456719238228367E-5</v>
      </c>
      <c r="BM57" s="57">
        <v>6.6295498753829484E-4</v>
      </c>
      <c r="BN57" s="57">
        <v>2.4390427809900156E-4</v>
      </c>
      <c r="BO57" s="57">
        <v>3.7289375600870731E-4</v>
      </c>
      <c r="BP57" s="57">
        <v>1.8034910940670703E-4</v>
      </c>
      <c r="BQ57" s="57">
        <v>1.1877136582675606E-6</v>
      </c>
      <c r="BR57" s="57">
        <v>3.6255954793154983E-4</v>
      </c>
      <c r="BS57" s="57">
        <v>0</v>
      </c>
      <c r="BT57" s="57">
        <v>9.6527303660264745E-5</v>
      </c>
    </row>
    <row r="58" spans="1:72">
      <c r="A58" s="38">
        <v>52</v>
      </c>
      <c r="B58" s="65" t="s">
        <v>31</v>
      </c>
      <c r="C58" s="39" t="s">
        <v>30</v>
      </c>
      <c r="D58" s="57">
        <v>1.3260080449902595E-8</v>
      </c>
      <c r="E58" s="57">
        <v>0</v>
      </c>
      <c r="F58" s="57">
        <v>0</v>
      </c>
      <c r="G58" s="57">
        <v>4.9744990705790887E-7</v>
      </c>
      <c r="H58" s="57">
        <v>2.4952863380806767E-5</v>
      </c>
      <c r="I58" s="57">
        <v>2.2544753689407024E-5</v>
      </c>
      <c r="J58" s="57">
        <v>1.3387930613898609E-7</v>
      </c>
      <c r="K58" s="57">
        <v>1.774910332369622E-6</v>
      </c>
      <c r="L58" s="57">
        <v>2.5121986678031446E-6</v>
      </c>
      <c r="M58" s="57">
        <v>2.3080876572196643E-5</v>
      </c>
      <c r="N58" s="57">
        <v>6.3629171705531217E-6</v>
      </c>
      <c r="O58" s="57">
        <v>0</v>
      </c>
      <c r="P58" s="57">
        <v>0</v>
      </c>
      <c r="Q58" s="57">
        <v>1.0981636147625987E-7</v>
      </c>
      <c r="R58" s="57">
        <v>5.5585195827419785E-7</v>
      </c>
      <c r="S58" s="57">
        <v>0</v>
      </c>
      <c r="T58" s="57">
        <v>0</v>
      </c>
      <c r="U58" s="57">
        <v>2.0123409146522346E-6</v>
      </c>
      <c r="V58" s="57">
        <v>0</v>
      </c>
      <c r="W58" s="57">
        <v>0</v>
      </c>
      <c r="X58" s="57">
        <v>4.2520914017861972E-9</v>
      </c>
      <c r="Y58" s="57">
        <v>0</v>
      </c>
      <c r="Z58" s="57">
        <v>0</v>
      </c>
      <c r="AA58" s="57">
        <v>6.7772141561606629E-7</v>
      </c>
      <c r="AB58" s="57">
        <v>4.9345093605569159E-7</v>
      </c>
      <c r="AC58" s="57">
        <v>0</v>
      </c>
      <c r="AD58" s="57">
        <v>0</v>
      </c>
      <c r="AE58" s="57">
        <v>0</v>
      </c>
      <c r="AF58" s="57">
        <v>0</v>
      </c>
      <c r="AG58" s="57">
        <v>0</v>
      </c>
      <c r="AH58" s="57">
        <v>1.2575337519289939E-6</v>
      </c>
      <c r="AI58" s="57">
        <v>4.7218042734974842E-7</v>
      </c>
      <c r="AJ58" s="57">
        <v>2.7455121384742821E-8</v>
      </c>
      <c r="AK58" s="57">
        <v>0</v>
      </c>
      <c r="AL58" s="57">
        <v>0</v>
      </c>
      <c r="AM58" s="57">
        <v>2.5505827745566436E-5</v>
      </c>
      <c r="AN58" s="57">
        <v>1.0433614815494053E-7</v>
      </c>
      <c r="AO58" s="57">
        <v>2.0786528846439955E-5</v>
      </c>
      <c r="AP58" s="57">
        <v>2.9677815844144687E-7</v>
      </c>
      <c r="AQ58" s="57">
        <v>0</v>
      </c>
      <c r="AR58" s="57">
        <v>1.0140745257739876E-7</v>
      </c>
      <c r="AS58" s="57">
        <v>2.5907887912758104E-6</v>
      </c>
      <c r="AT58" s="57">
        <v>4.6655918340546357E-7</v>
      </c>
      <c r="AU58" s="57">
        <v>3.1787915910521717E-7</v>
      </c>
      <c r="AV58" s="57">
        <v>3.3584102611883032E-6</v>
      </c>
      <c r="AW58" s="57">
        <v>1.1095195374118677E-5</v>
      </c>
      <c r="AX58" s="57">
        <v>1.1771669490753283E-5</v>
      </c>
      <c r="AY58" s="57">
        <v>4.2017573126622954E-4</v>
      </c>
      <c r="AZ58" s="57">
        <v>1.213978381633404E-4</v>
      </c>
      <c r="BA58" s="57">
        <v>9.1453781326354446E-6</v>
      </c>
      <c r="BB58" s="57">
        <v>5.8224382111496181E-4</v>
      </c>
      <c r="BC58" s="57">
        <v>1.3967545139428419E-3</v>
      </c>
      <c r="BD58" s="57">
        <v>0</v>
      </c>
      <c r="BE58" s="57">
        <v>2.3475643570150799E-4</v>
      </c>
      <c r="BF58" s="57">
        <v>4.7627431476297404E-4</v>
      </c>
      <c r="BG58" s="57">
        <v>8.0654875287919218E-4</v>
      </c>
      <c r="BH58" s="57">
        <v>9.1517656602861023E-4</v>
      </c>
      <c r="BI58" s="57">
        <v>1.091300170256289E-3</v>
      </c>
      <c r="BJ58" s="57">
        <v>4.3510752667651448E-6</v>
      </c>
      <c r="BK58" s="57">
        <v>7.7920774473409251E-4</v>
      </c>
      <c r="BL58" s="57">
        <v>2.2305108725908249E-3</v>
      </c>
      <c r="BM58" s="57">
        <v>2.024674222716735E-3</v>
      </c>
      <c r="BN58" s="57">
        <v>7.8410117902068938E-4</v>
      </c>
      <c r="BO58" s="57">
        <v>1.4060930145461025E-6</v>
      </c>
      <c r="BP58" s="57">
        <v>6.6195305342891189E-7</v>
      </c>
      <c r="BQ58" s="57">
        <v>4.1201719456628594E-3</v>
      </c>
      <c r="BR58" s="57">
        <v>2.9930597302029058E-2</v>
      </c>
      <c r="BS58" s="57">
        <v>0</v>
      </c>
      <c r="BT58" s="57">
        <v>7.2854412378702308E-4</v>
      </c>
    </row>
    <row r="59" spans="1:72" ht="22.5">
      <c r="A59" s="38">
        <v>53</v>
      </c>
      <c r="B59" s="65" t="s">
        <v>29</v>
      </c>
      <c r="C59" s="39" t="s">
        <v>28</v>
      </c>
      <c r="D59" s="57">
        <v>9.3549867574062814E-6</v>
      </c>
      <c r="E59" s="57">
        <v>0</v>
      </c>
      <c r="F59" s="57">
        <v>0</v>
      </c>
      <c r="G59" s="57">
        <v>6.5730373259967445E-5</v>
      </c>
      <c r="H59" s="57">
        <v>3.0114158111165629E-4</v>
      </c>
      <c r="I59" s="57">
        <v>2.7763399559281262E-4</v>
      </c>
      <c r="J59" s="57">
        <v>3.5172771308834427E-6</v>
      </c>
      <c r="K59" s="57">
        <v>1.4317459268856603E-5</v>
      </c>
      <c r="L59" s="57">
        <v>4.7514864942173964E-4</v>
      </c>
      <c r="M59" s="57">
        <v>2.4330239795185664E-4</v>
      </c>
      <c r="N59" s="57">
        <v>1.4953031919224563E-5</v>
      </c>
      <c r="O59" s="57">
        <v>0</v>
      </c>
      <c r="P59" s="57">
        <v>0</v>
      </c>
      <c r="Q59" s="57">
        <v>0</v>
      </c>
      <c r="R59" s="57">
        <v>0</v>
      </c>
      <c r="S59" s="57">
        <v>0</v>
      </c>
      <c r="T59" s="57">
        <v>0</v>
      </c>
      <c r="U59" s="57">
        <v>0</v>
      </c>
      <c r="V59" s="57">
        <v>0</v>
      </c>
      <c r="W59" s="57">
        <v>5.1210325764353912E-6</v>
      </c>
      <c r="X59" s="57">
        <v>0</v>
      </c>
      <c r="Y59" s="57">
        <v>0</v>
      </c>
      <c r="Z59" s="57">
        <v>0</v>
      </c>
      <c r="AA59" s="57">
        <v>7.4386049352558609E-7</v>
      </c>
      <c r="AB59" s="57">
        <v>3.2993279858825021E-6</v>
      </c>
      <c r="AC59" s="57">
        <v>1.6126250390937709E-6</v>
      </c>
      <c r="AD59" s="57">
        <v>0</v>
      </c>
      <c r="AE59" s="57">
        <v>1.0082530138698165E-6</v>
      </c>
      <c r="AF59" s="57">
        <v>0</v>
      </c>
      <c r="AG59" s="57">
        <v>0</v>
      </c>
      <c r="AH59" s="57">
        <v>0</v>
      </c>
      <c r="AI59" s="57">
        <v>0</v>
      </c>
      <c r="AJ59" s="57">
        <v>1.685840786782454E-9</v>
      </c>
      <c r="AK59" s="57">
        <v>0</v>
      </c>
      <c r="AL59" s="57">
        <v>0</v>
      </c>
      <c r="AM59" s="57">
        <v>0</v>
      </c>
      <c r="AN59" s="57">
        <v>1.0982752437362162E-7</v>
      </c>
      <c r="AO59" s="57">
        <v>7.3449298108288212E-5</v>
      </c>
      <c r="AP59" s="57">
        <v>4.8612049608509398E-6</v>
      </c>
      <c r="AQ59" s="57">
        <v>0</v>
      </c>
      <c r="AR59" s="57">
        <v>1.7079912369821876E-6</v>
      </c>
      <c r="AS59" s="57">
        <v>4.4466775759821201E-6</v>
      </c>
      <c r="AT59" s="57">
        <v>1.2868446525198681E-4</v>
      </c>
      <c r="AU59" s="57">
        <v>0</v>
      </c>
      <c r="AV59" s="57">
        <v>1.7990126581499406E-4</v>
      </c>
      <c r="AW59" s="57">
        <v>3.1126834003325455E-4</v>
      </c>
      <c r="AX59" s="57">
        <v>1.0373176100842036E-4</v>
      </c>
      <c r="AY59" s="57">
        <v>3.8952183828644287E-3</v>
      </c>
      <c r="AZ59" s="57">
        <v>2.8491796488924548E-3</v>
      </c>
      <c r="BA59" s="57">
        <v>2.7818216882408853E-5</v>
      </c>
      <c r="BB59" s="57">
        <v>0</v>
      </c>
      <c r="BC59" s="57">
        <v>6.1424811405383023E-3</v>
      </c>
      <c r="BD59" s="57">
        <v>0</v>
      </c>
      <c r="BE59" s="57">
        <v>1.6752066795677599E-5</v>
      </c>
      <c r="BF59" s="57">
        <v>4.9423142807144107E-4</v>
      </c>
      <c r="BG59" s="57">
        <v>3.6626117425006164E-4</v>
      </c>
      <c r="BH59" s="57">
        <v>0</v>
      </c>
      <c r="BI59" s="57">
        <v>0</v>
      </c>
      <c r="BJ59" s="57">
        <v>8.9918254916983818E-5</v>
      </c>
      <c r="BK59" s="57">
        <v>9.6899458613748299E-4</v>
      </c>
      <c r="BL59" s="57">
        <v>3.4046191503577574E-4</v>
      </c>
      <c r="BM59" s="57">
        <v>5.3665977795137156E-3</v>
      </c>
      <c r="BN59" s="57">
        <v>6.1212793813944111E-3</v>
      </c>
      <c r="BO59" s="57">
        <v>1.0672664971049797E-4</v>
      </c>
      <c r="BP59" s="57">
        <v>4.1092804394891672E-3</v>
      </c>
      <c r="BQ59" s="57">
        <v>1.2058219337008238E-2</v>
      </c>
      <c r="BR59" s="57">
        <v>9.7362381590317625E-4</v>
      </c>
      <c r="BS59" s="57">
        <v>0</v>
      </c>
      <c r="BT59" s="57">
        <v>6.9203297191581679E-4</v>
      </c>
    </row>
    <row r="60" spans="1:72" ht="22.5" customHeight="1">
      <c r="A60" s="38">
        <v>54</v>
      </c>
      <c r="B60" s="67" t="s">
        <v>198</v>
      </c>
      <c r="C60" s="39" t="s">
        <v>161</v>
      </c>
      <c r="D60" s="57">
        <v>1.8697024217498203E-5</v>
      </c>
      <c r="E60" s="57">
        <v>3.4455414179791437E-5</v>
      </c>
      <c r="F60" s="57">
        <v>0</v>
      </c>
      <c r="G60" s="57">
        <v>0</v>
      </c>
      <c r="H60" s="57">
        <v>2.7737001985637575E-4</v>
      </c>
      <c r="I60" s="57">
        <v>2.4995976223652667E-4</v>
      </c>
      <c r="J60" s="57">
        <v>9.639310042006999E-8</v>
      </c>
      <c r="K60" s="57">
        <v>9.6909580504799722E-7</v>
      </c>
      <c r="L60" s="57">
        <v>2.4705225324962249E-5</v>
      </c>
      <c r="M60" s="57">
        <v>2.0849633349508882E-6</v>
      </c>
      <c r="N60" s="57">
        <v>9.1611005028429449E-6</v>
      </c>
      <c r="O60" s="57">
        <v>0</v>
      </c>
      <c r="P60" s="57">
        <v>0</v>
      </c>
      <c r="Q60" s="57">
        <v>1.7897730402301078E-6</v>
      </c>
      <c r="R60" s="57">
        <v>2.0663641571531518E-9</v>
      </c>
      <c r="S60" s="57">
        <v>0</v>
      </c>
      <c r="T60" s="57">
        <v>0</v>
      </c>
      <c r="U60" s="57">
        <v>1.2787724533226117E-5</v>
      </c>
      <c r="V60" s="57">
        <v>0</v>
      </c>
      <c r="W60" s="57">
        <v>8.4292229126698922E-4</v>
      </c>
      <c r="X60" s="57">
        <v>7.3376090213411691E-6</v>
      </c>
      <c r="Y60" s="57">
        <v>1.1105714778353421E-4</v>
      </c>
      <c r="Z60" s="57">
        <v>0</v>
      </c>
      <c r="AA60" s="57">
        <v>1.4443631470882647E-5</v>
      </c>
      <c r="AB60" s="57">
        <v>1.8502743038115272E-5</v>
      </c>
      <c r="AC60" s="57">
        <v>0</v>
      </c>
      <c r="AD60" s="57">
        <v>0</v>
      </c>
      <c r="AE60" s="57">
        <v>3.217938139504972E-8</v>
      </c>
      <c r="AF60" s="57">
        <v>4.3796080776323487E-7</v>
      </c>
      <c r="AG60" s="57">
        <v>4.5144106742976476E-8</v>
      </c>
      <c r="AH60" s="57">
        <v>0</v>
      </c>
      <c r="AI60" s="57">
        <v>4.3548246667489751E-7</v>
      </c>
      <c r="AJ60" s="57">
        <v>1.1480575757988512E-6</v>
      </c>
      <c r="AK60" s="57">
        <v>2.2498967747832397E-8</v>
      </c>
      <c r="AL60" s="57">
        <v>2.3116401369478985E-7</v>
      </c>
      <c r="AM60" s="57">
        <v>5.0296605652457054E-5</v>
      </c>
      <c r="AN60" s="57">
        <v>6.0844448502986371E-7</v>
      </c>
      <c r="AO60" s="57">
        <v>5.0161783251326932E-6</v>
      </c>
      <c r="AP60" s="57">
        <v>7.179372131788019E-5</v>
      </c>
      <c r="AQ60" s="57">
        <v>1.1645201033624738E-4</v>
      </c>
      <c r="AR60" s="57">
        <v>1.3472704413854407E-6</v>
      </c>
      <c r="AS60" s="57">
        <v>3.243145681165403E-6</v>
      </c>
      <c r="AT60" s="57">
        <v>1.0732094776683668E-5</v>
      </c>
      <c r="AU60" s="57">
        <v>2.8277593908132817E-7</v>
      </c>
      <c r="AV60" s="57">
        <v>1.5043682387170464E-3</v>
      </c>
      <c r="AW60" s="57">
        <v>1.8583627644026244E-3</v>
      </c>
      <c r="AX60" s="57">
        <v>4.0067885842079934E-5</v>
      </c>
      <c r="AY60" s="57">
        <v>2.0271732416448542E-4</v>
      </c>
      <c r="AZ60" s="57">
        <v>4.3964439931929921E-3</v>
      </c>
      <c r="BA60" s="57">
        <v>1.3160220697136171E-4</v>
      </c>
      <c r="BB60" s="57">
        <v>1.6260742071978645E-4</v>
      </c>
      <c r="BC60" s="57">
        <v>3.6412961142096094E-4</v>
      </c>
      <c r="BD60" s="57">
        <v>5.0014729967548513E-3</v>
      </c>
      <c r="BE60" s="57">
        <v>2.2884419598369378E-2</v>
      </c>
      <c r="BF60" s="57">
        <v>4.672123986226834E-3</v>
      </c>
      <c r="BG60" s="57">
        <v>1.8323593205904438E-2</v>
      </c>
      <c r="BH60" s="57">
        <v>4.6691198760272321E-2</v>
      </c>
      <c r="BI60" s="57">
        <v>2.3269933745149043E-2</v>
      </c>
      <c r="BJ60" s="57">
        <v>2.5483975918010558E-4</v>
      </c>
      <c r="BK60" s="57">
        <v>4.0948186876537855E-3</v>
      </c>
      <c r="BL60" s="57">
        <v>2.7843102744450423E-4</v>
      </c>
      <c r="BM60" s="57">
        <v>8.6770852307835045E-2</v>
      </c>
      <c r="BN60" s="57">
        <v>1.4298775034384011E-2</v>
      </c>
      <c r="BO60" s="57">
        <v>2.4457574306995353E-3</v>
      </c>
      <c r="BP60" s="57">
        <v>4.9008356263662914E-3</v>
      </c>
      <c r="BQ60" s="57">
        <v>4.9871918234755527E-3</v>
      </c>
      <c r="BR60" s="57">
        <v>4.1340924597178582E-3</v>
      </c>
      <c r="BS60" s="57">
        <v>0</v>
      </c>
      <c r="BT60" s="57">
        <v>4.8977265093636943E-3</v>
      </c>
    </row>
    <row r="61" spans="1:72">
      <c r="A61" s="38">
        <v>55</v>
      </c>
      <c r="B61" s="65" t="s">
        <v>27</v>
      </c>
      <c r="C61" s="39" t="s">
        <v>26</v>
      </c>
      <c r="D61" s="57">
        <v>8.1164123678825672E-6</v>
      </c>
      <c r="E61" s="57">
        <v>3.5312514035010128E-6</v>
      </c>
      <c r="F61" s="57">
        <v>1.2799745166725998E-6</v>
      </c>
      <c r="G61" s="57">
        <v>9.3560114969831866E-7</v>
      </c>
      <c r="H61" s="57">
        <v>6.9734853165269535E-6</v>
      </c>
      <c r="I61" s="57">
        <v>6.3191700383656848E-6</v>
      </c>
      <c r="J61" s="57">
        <v>7.7435790670789564E-7</v>
      </c>
      <c r="K61" s="57">
        <v>1.8458401002449266E-7</v>
      </c>
      <c r="L61" s="57">
        <v>1.5022792959470965E-6</v>
      </c>
      <c r="M61" s="57">
        <v>4.036944953777346E-6</v>
      </c>
      <c r="N61" s="57">
        <v>6.241754699791627E-6</v>
      </c>
      <c r="O61" s="57">
        <v>7.7572605125127912E-5</v>
      </c>
      <c r="P61" s="57">
        <v>1.1847225320223651E-7</v>
      </c>
      <c r="Q61" s="57">
        <v>6.4838383637578969E-7</v>
      </c>
      <c r="R61" s="57">
        <v>1.3844639852926119E-7</v>
      </c>
      <c r="S61" s="57">
        <v>0</v>
      </c>
      <c r="T61" s="57">
        <v>4.1174232033992593E-6</v>
      </c>
      <c r="U61" s="57">
        <v>3.0068117154978152E-6</v>
      </c>
      <c r="V61" s="57">
        <v>0</v>
      </c>
      <c r="W61" s="57">
        <v>7.8455930836753907E-8</v>
      </c>
      <c r="X61" s="57">
        <v>1.8233968422953751E-7</v>
      </c>
      <c r="Y61" s="57">
        <v>1.8191991684817672E-7</v>
      </c>
      <c r="Z61" s="57">
        <v>2.4948691374035097E-7</v>
      </c>
      <c r="AA61" s="57">
        <v>5.115163624249214E-6</v>
      </c>
      <c r="AB61" s="57">
        <v>3.0382240910861417E-7</v>
      </c>
      <c r="AC61" s="57">
        <v>1.0548389750266489E-7</v>
      </c>
      <c r="AD61" s="57">
        <v>2.3832391381896356E-7</v>
      </c>
      <c r="AE61" s="57">
        <v>2.9967948507485755E-6</v>
      </c>
      <c r="AF61" s="57">
        <v>4.7445754174350445E-7</v>
      </c>
      <c r="AG61" s="57">
        <v>3.3973834177086141E-7</v>
      </c>
      <c r="AH61" s="57">
        <v>2.1526410319357195E-8</v>
      </c>
      <c r="AI61" s="57">
        <v>9.9818453035594485E-8</v>
      </c>
      <c r="AJ61" s="57">
        <v>7.4899497812763309E-8</v>
      </c>
      <c r="AK61" s="57">
        <v>3.0439779894126185E-8</v>
      </c>
      <c r="AL61" s="57">
        <v>1.2227594546790043E-7</v>
      </c>
      <c r="AM61" s="57">
        <v>2.8911848477125586E-6</v>
      </c>
      <c r="AN61" s="57">
        <v>9.9943047179995675E-8</v>
      </c>
      <c r="AO61" s="57">
        <v>3.7957756249161213E-4</v>
      </c>
      <c r="AP61" s="57">
        <v>1.2773870891292194E-5</v>
      </c>
      <c r="AQ61" s="57">
        <v>5.0318422850838321E-7</v>
      </c>
      <c r="AR61" s="57">
        <v>2.7104763396044727E-6</v>
      </c>
      <c r="AS61" s="57">
        <v>1.4804507378718916E-5</v>
      </c>
      <c r="AT61" s="57">
        <v>5.7170632722141583E-6</v>
      </c>
      <c r="AU61" s="57">
        <v>9.1680695598899976E-6</v>
      </c>
      <c r="AV61" s="57">
        <v>2.5796492403477271E-5</v>
      </c>
      <c r="AW61" s="57">
        <v>1.0667873569276074E-4</v>
      </c>
      <c r="AX61" s="57">
        <v>8.2496819197444747E-5</v>
      </c>
      <c r="AY61" s="57">
        <v>8.1868487495635593E-4</v>
      </c>
      <c r="AZ61" s="57">
        <v>1.1986217247220232E-5</v>
      </c>
      <c r="BA61" s="57">
        <v>3.2991820253645683E-5</v>
      </c>
      <c r="BB61" s="57">
        <v>2.0233931615033033E-5</v>
      </c>
      <c r="BC61" s="57">
        <v>2.6358718518930911E-4</v>
      </c>
      <c r="BD61" s="57">
        <v>4.9744912937663743E-5</v>
      </c>
      <c r="BE61" s="57">
        <v>2.2857549367564148E-4</v>
      </c>
      <c r="BF61" s="57">
        <v>2.4196047938627892E-2</v>
      </c>
      <c r="BG61" s="57">
        <v>6.1919827384177692E-3</v>
      </c>
      <c r="BH61" s="57">
        <v>1.1370397992613477E-2</v>
      </c>
      <c r="BI61" s="57">
        <v>1.8640569633497094E-2</v>
      </c>
      <c r="BJ61" s="57">
        <v>2.2588744421595908E-5</v>
      </c>
      <c r="BK61" s="57">
        <v>8.9684646423300512E-5</v>
      </c>
      <c r="BL61" s="57">
        <v>4.2773590110458002E-5</v>
      </c>
      <c r="BM61" s="57">
        <v>3.0247981931927809E-2</v>
      </c>
      <c r="BN61" s="57">
        <v>5.8601682890042353E-3</v>
      </c>
      <c r="BO61" s="57">
        <v>1.3736496121628436E-3</v>
      </c>
      <c r="BP61" s="57">
        <v>2.7547755527365918E-3</v>
      </c>
      <c r="BQ61" s="57">
        <v>6.3730860833284173E-5</v>
      </c>
      <c r="BR61" s="57">
        <v>1.3082889456553068E-3</v>
      </c>
      <c r="BS61" s="57">
        <v>0</v>
      </c>
      <c r="BT61" s="57">
        <v>1.6525065393432337E-3</v>
      </c>
    </row>
    <row r="62" spans="1:72" ht="22.5">
      <c r="A62" s="38">
        <v>56</v>
      </c>
      <c r="B62" s="65" t="s">
        <v>25</v>
      </c>
      <c r="C62" s="39" t="s">
        <v>24</v>
      </c>
      <c r="D62" s="57">
        <v>1.5081239478229758E-2</v>
      </c>
      <c r="E62" s="57">
        <v>5.5738917784582003E-4</v>
      </c>
      <c r="F62" s="57">
        <v>4.5460749992716739E-3</v>
      </c>
      <c r="G62" s="57">
        <v>4.0426754654288477E-4</v>
      </c>
      <c r="H62" s="57">
        <v>1.1984236510574758E-3</v>
      </c>
      <c r="I62" s="57">
        <v>1.4030071856825953E-3</v>
      </c>
      <c r="J62" s="57">
        <v>2.3544121881047007E-4</v>
      </c>
      <c r="K62" s="57">
        <v>9.5147523217615571E-5</v>
      </c>
      <c r="L62" s="57">
        <v>2.6464345919893848E-4</v>
      </c>
      <c r="M62" s="57">
        <v>1.0001554869718397E-4</v>
      </c>
      <c r="N62" s="57">
        <v>3.0243679714514527E-3</v>
      </c>
      <c r="O62" s="57">
        <v>1.0633823543320344E-2</v>
      </c>
      <c r="P62" s="57">
        <v>3.6147118537973216E-4</v>
      </c>
      <c r="Q62" s="57">
        <v>9.0873039121605053E-5</v>
      </c>
      <c r="R62" s="57">
        <v>3.2578297301676596E-5</v>
      </c>
      <c r="S62" s="57">
        <v>1.8590573630111046E-4</v>
      </c>
      <c r="T62" s="57">
        <v>5.4713196897149946E-4</v>
      </c>
      <c r="U62" s="57">
        <v>1.4573911088109587E-3</v>
      </c>
      <c r="V62" s="57">
        <v>1.8514708775300133E-3</v>
      </c>
      <c r="W62" s="57">
        <v>1.0531746395234997E-2</v>
      </c>
      <c r="X62" s="57">
        <v>1.8333992620105181E-4</v>
      </c>
      <c r="Y62" s="57">
        <v>3.9096243948099066E-5</v>
      </c>
      <c r="Z62" s="57">
        <v>1.8816134299186525E-4</v>
      </c>
      <c r="AA62" s="57">
        <v>9.2656969625063432E-4</v>
      </c>
      <c r="AB62" s="57">
        <v>2.4304750813705909E-5</v>
      </c>
      <c r="AC62" s="57">
        <v>2.3853745003443539E-5</v>
      </c>
      <c r="AD62" s="57">
        <v>5.5617468441843969E-5</v>
      </c>
      <c r="AE62" s="57">
        <v>3.1421675194150302E-6</v>
      </c>
      <c r="AF62" s="57">
        <v>1.3503791572699743E-5</v>
      </c>
      <c r="AG62" s="57">
        <v>1.0345061445452694E-4</v>
      </c>
      <c r="AH62" s="57">
        <v>5.3937356474738449E-5</v>
      </c>
      <c r="AI62" s="57">
        <v>8.9870859161998227E-6</v>
      </c>
      <c r="AJ62" s="57">
        <v>1.0963985974038746E-5</v>
      </c>
      <c r="AK62" s="57">
        <v>6.7845542710110666E-4</v>
      </c>
      <c r="AL62" s="57">
        <v>4.1122560743549137E-4</v>
      </c>
      <c r="AM62" s="57">
        <v>1.3035716083979504E-3</v>
      </c>
      <c r="AN62" s="57">
        <v>5.5588103186464842E-5</v>
      </c>
      <c r="AO62" s="57">
        <v>5.6010180399868699E-4</v>
      </c>
      <c r="AP62" s="57">
        <v>1.9637261154888241E-3</v>
      </c>
      <c r="AQ62" s="57">
        <v>6.3786500112499624E-3</v>
      </c>
      <c r="AR62" s="57">
        <v>1.4183324381179998E-3</v>
      </c>
      <c r="AS62" s="57">
        <v>3.3431386789795612E-3</v>
      </c>
      <c r="AT62" s="57">
        <v>2.3589004104684007E-3</v>
      </c>
      <c r="AU62" s="57">
        <v>8.9125484851873757E-3</v>
      </c>
      <c r="AV62" s="57">
        <v>1.0445912063692673E-2</v>
      </c>
      <c r="AW62" s="57">
        <v>7.8636123586202523E-3</v>
      </c>
      <c r="AX62" s="57">
        <v>9.148496117456684E-3</v>
      </c>
      <c r="AY62" s="57">
        <v>1.5199287980089272E-2</v>
      </c>
      <c r="AZ62" s="57">
        <v>2.6134695559506568E-3</v>
      </c>
      <c r="BA62" s="57">
        <v>4.9786228524959049E-3</v>
      </c>
      <c r="BB62" s="57">
        <v>8.4553681968121356E-3</v>
      </c>
      <c r="BC62" s="57">
        <v>1.6550247080577656E-2</v>
      </c>
      <c r="BD62" s="57">
        <v>1.1172623240892134E-2</v>
      </c>
      <c r="BE62" s="57">
        <v>1.1524865276173529E-2</v>
      </c>
      <c r="BF62" s="57">
        <v>7.7329172687990687E-3</v>
      </c>
      <c r="BG62" s="57">
        <v>1.1712966216539165E-2</v>
      </c>
      <c r="BH62" s="57">
        <v>1.8476336728041522E-2</v>
      </c>
      <c r="BI62" s="57">
        <v>4.4052306172488398E-2</v>
      </c>
      <c r="BJ62" s="57">
        <v>7.75053671977457E-2</v>
      </c>
      <c r="BK62" s="57">
        <v>1.5484573096873256E-2</v>
      </c>
      <c r="BL62" s="57">
        <v>9.7594319475026343E-3</v>
      </c>
      <c r="BM62" s="57">
        <v>2.8608207453905694E-2</v>
      </c>
      <c r="BN62" s="57">
        <v>2.2999625479690672E-2</v>
      </c>
      <c r="BO62" s="57">
        <v>1.369926071994056E-2</v>
      </c>
      <c r="BP62" s="57">
        <v>1.5313456449761089E-3</v>
      </c>
      <c r="BQ62" s="57">
        <v>5.3813689487949151E-4</v>
      </c>
      <c r="BR62" s="57">
        <v>1.8339792550378962E-2</v>
      </c>
      <c r="BS62" s="57">
        <v>0</v>
      </c>
      <c r="BT62" s="57">
        <v>1.2150773028413352E-2</v>
      </c>
    </row>
    <row r="63" spans="1:72" ht="45">
      <c r="A63" s="38">
        <v>57</v>
      </c>
      <c r="B63" s="65" t="s">
        <v>23</v>
      </c>
      <c r="C63" s="39" t="s">
        <v>138</v>
      </c>
      <c r="D63" s="57">
        <v>8.981268690186988E-3</v>
      </c>
      <c r="E63" s="57">
        <v>2.1764850883481388E-3</v>
      </c>
      <c r="F63" s="57">
        <v>2.0694040456276252E-4</v>
      </c>
      <c r="G63" s="57">
        <v>3.020937515047036E-4</v>
      </c>
      <c r="H63" s="57">
        <v>9.7216074216333395E-3</v>
      </c>
      <c r="I63" s="57">
        <v>9.133007047947464E-3</v>
      </c>
      <c r="J63" s="57">
        <v>5.2980111370103426E-4</v>
      </c>
      <c r="K63" s="57">
        <v>2.9285306426032902E-5</v>
      </c>
      <c r="L63" s="57">
        <v>2.6030332585232492E-4</v>
      </c>
      <c r="M63" s="57">
        <v>2.6573546359264713E-5</v>
      </c>
      <c r="N63" s="57">
        <v>3.0441735907675068E-5</v>
      </c>
      <c r="O63" s="57">
        <v>3.7803585637367681E-4</v>
      </c>
      <c r="P63" s="57">
        <v>0</v>
      </c>
      <c r="Q63" s="57">
        <v>2.6753134870280333E-7</v>
      </c>
      <c r="R63" s="57">
        <v>0</v>
      </c>
      <c r="S63" s="57">
        <v>0</v>
      </c>
      <c r="T63" s="57">
        <v>0</v>
      </c>
      <c r="U63" s="57">
        <v>4.0948797681876864E-7</v>
      </c>
      <c r="V63" s="57">
        <v>0</v>
      </c>
      <c r="W63" s="57">
        <v>1.1860561628174448E-5</v>
      </c>
      <c r="X63" s="57">
        <v>3.354649992985675E-6</v>
      </c>
      <c r="Y63" s="57">
        <v>0</v>
      </c>
      <c r="Z63" s="57">
        <v>6.478223001712011E-7</v>
      </c>
      <c r="AA63" s="57">
        <v>2.4538006170344839E-5</v>
      </c>
      <c r="AB63" s="57">
        <v>3.2604437187085187E-5</v>
      </c>
      <c r="AC63" s="57">
        <v>0</v>
      </c>
      <c r="AD63" s="57">
        <v>1.4702752221754521E-6</v>
      </c>
      <c r="AE63" s="57">
        <v>5.7810412890494652E-5</v>
      </c>
      <c r="AF63" s="57">
        <v>0</v>
      </c>
      <c r="AG63" s="57">
        <v>5.6024994009232347E-7</v>
      </c>
      <c r="AH63" s="57">
        <v>1.5135023400900775E-6</v>
      </c>
      <c r="AI63" s="57">
        <v>6.1456851476816998E-7</v>
      </c>
      <c r="AJ63" s="57">
        <v>6.3315363263586739E-7</v>
      </c>
      <c r="AK63" s="57">
        <v>0</v>
      </c>
      <c r="AL63" s="57">
        <v>7.0692454458285062E-6</v>
      </c>
      <c r="AM63" s="57">
        <v>9.6293378275010195E-7</v>
      </c>
      <c r="AN63" s="57">
        <v>2.0867229630988106E-8</v>
      </c>
      <c r="AO63" s="57">
        <v>7.2332412010541201E-5</v>
      </c>
      <c r="AP63" s="57">
        <v>1.4881456761992265E-4</v>
      </c>
      <c r="AQ63" s="57">
        <v>7.1601710174205196E-4</v>
      </c>
      <c r="AR63" s="57">
        <v>1.5525191254020957E-4</v>
      </c>
      <c r="AS63" s="57">
        <v>1.436862646902534E-4</v>
      </c>
      <c r="AT63" s="57">
        <v>2.8494375697677865E-5</v>
      </c>
      <c r="AU63" s="57">
        <v>6.0849927487696296E-4</v>
      </c>
      <c r="AV63" s="57">
        <v>7.6778900929298398E-3</v>
      </c>
      <c r="AW63" s="57">
        <v>3.8637385822457388E-3</v>
      </c>
      <c r="AX63" s="57">
        <v>9.3040413871998025E-3</v>
      </c>
      <c r="AY63" s="57">
        <v>9.3166204649344879E-3</v>
      </c>
      <c r="AZ63" s="57">
        <v>6.8704059811939009E-3</v>
      </c>
      <c r="BA63" s="57">
        <v>1.5551036543645059E-3</v>
      </c>
      <c r="BB63" s="57">
        <v>4.5955487921151353E-4</v>
      </c>
      <c r="BC63" s="57">
        <v>1.5222837865902058E-4</v>
      </c>
      <c r="BD63" s="57">
        <v>1.6598263925749808E-5</v>
      </c>
      <c r="BE63" s="57">
        <v>4.2396619109590986E-2</v>
      </c>
      <c r="BF63" s="57">
        <v>1.8450893115302012E-3</v>
      </c>
      <c r="BG63" s="57">
        <v>4.3209603074425174E-2</v>
      </c>
      <c r="BH63" s="57">
        <v>3.5100511747546748E-2</v>
      </c>
      <c r="BI63" s="57">
        <v>1.2344628020574469E-3</v>
      </c>
      <c r="BJ63" s="57">
        <v>9.8579957586679683E-4</v>
      </c>
      <c r="BK63" s="57">
        <v>5.1974717679262393E-4</v>
      </c>
      <c r="BL63" s="57">
        <v>1.5077844981358944E-2</v>
      </c>
      <c r="BM63" s="57">
        <v>2.5111483604951523E-3</v>
      </c>
      <c r="BN63" s="57">
        <v>2.0240492300419559E-5</v>
      </c>
      <c r="BO63" s="57">
        <v>1.9959790563125105E-7</v>
      </c>
      <c r="BP63" s="57">
        <v>1.1835720595308944E-4</v>
      </c>
      <c r="BQ63" s="57">
        <v>3.3188211838779375E-2</v>
      </c>
      <c r="BR63" s="57">
        <v>4.7083635287782878E-3</v>
      </c>
      <c r="BS63" s="57">
        <v>0</v>
      </c>
      <c r="BT63" s="57">
        <v>4.8770052681961747E-3</v>
      </c>
    </row>
    <row r="64" spans="1:72" ht="33.75">
      <c r="A64" s="38">
        <v>58</v>
      </c>
      <c r="B64" s="65" t="s">
        <v>22</v>
      </c>
      <c r="C64" s="39" t="s">
        <v>139</v>
      </c>
      <c r="D64" s="57">
        <v>3.3671280848686257E-6</v>
      </c>
      <c r="E64" s="57">
        <v>0</v>
      </c>
      <c r="F64" s="57">
        <v>0</v>
      </c>
      <c r="G64" s="57">
        <v>0</v>
      </c>
      <c r="H64" s="57">
        <v>2.3677309179372581E-3</v>
      </c>
      <c r="I64" s="57">
        <v>2.181853373392429E-3</v>
      </c>
      <c r="J64" s="57">
        <v>0</v>
      </c>
      <c r="K64" s="57">
        <v>7.5118908528342856E-7</v>
      </c>
      <c r="L64" s="57">
        <v>0</v>
      </c>
      <c r="M64" s="57">
        <v>1.0543550349865539E-7</v>
      </c>
      <c r="N64" s="57">
        <v>2.6789692027667058E-9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1.0529690832482623E-6</v>
      </c>
      <c r="V64" s="57">
        <v>0</v>
      </c>
      <c r="W64" s="57">
        <v>0</v>
      </c>
      <c r="X64" s="57">
        <v>1.0004920945379288E-8</v>
      </c>
      <c r="Y64" s="57">
        <v>0</v>
      </c>
      <c r="Z64" s="57">
        <v>1.5065634887702351E-8</v>
      </c>
      <c r="AA64" s="57">
        <v>2.7068030033340478E-7</v>
      </c>
      <c r="AB64" s="57">
        <v>0</v>
      </c>
      <c r="AC64" s="57">
        <v>0</v>
      </c>
      <c r="AD64" s="57">
        <v>0</v>
      </c>
      <c r="AE64" s="57">
        <v>0</v>
      </c>
      <c r="AF64" s="57">
        <v>1.6970981300825351E-6</v>
      </c>
      <c r="AG64" s="57">
        <v>0</v>
      </c>
      <c r="AH64" s="57">
        <v>0</v>
      </c>
      <c r="AI64" s="57">
        <v>1.957224569325382E-9</v>
      </c>
      <c r="AJ64" s="57">
        <v>0</v>
      </c>
      <c r="AK64" s="57">
        <v>0</v>
      </c>
      <c r="AL64" s="57">
        <v>0</v>
      </c>
      <c r="AM64" s="57">
        <v>2.4788394407428367E-6</v>
      </c>
      <c r="AN64" s="57">
        <v>0</v>
      </c>
      <c r="AO64" s="57">
        <v>5.7163461695713098E-7</v>
      </c>
      <c r="AP64" s="57">
        <v>2.1061675760360746E-7</v>
      </c>
      <c r="AQ64" s="57">
        <v>0</v>
      </c>
      <c r="AR64" s="57">
        <v>1.5935456833591232E-8</v>
      </c>
      <c r="AS64" s="57">
        <v>9.971741031169485E-7</v>
      </c>
      <c r="AT64" s="57">
        <v>1.1181726798176506E-5</v>
      </c>
      <c r="AU64" s="57">
        <v>1.6644080335533249E-4</v>
      </c>
      <c r="AV64" s="57">
        <v>6.3566548358505916E-3</v>
      </c>
      <c r="AW64" s="57">
        <v>7.3211886380498033E-3</v>
      </c>
      <c r="AX64" s="57">
        <v>6.7746226742463758E-6</v>
      </c>
      <c r="AY64" s="57">
        <v>0</v>
      </c>
      <c r="AZ64" s="57">
        <v>7.1311791595604246E-7</v>
      </c>
      <c r="BA64" s="57">
        <v>2.3581231925884959E-4</v>
      </c>
      <c r="BB64" s="57">
        <v>0</v>
      </c>
      <c r="BC64" s="57">
        <v>8.0228469833808149E-5</v>
      </c>
      <c r="BD64" s="57">
        <v>0</v>
      </c>
      <c r="BE64" s="57">
        <v>9.6856068871440339E-6</v>
      </c>
      <c r="BF64" s="57">
        <v>1.3380503404900099E-5</v>
      </c>
      <c r="BG64" s="57">
        <v>3.7614127826476086E-2</v>
      </c>
      <c r="BH64" s="57">
        <v>4.0918644205437608E-2</v>
      </c>
      <c r="BI64" s="57">
        <v>4.5784095902505649E-3</v>
      </c>
      <c r="BJ64" s="57">
        <v>9.7831486899340231E-7</v>
      </c>
      <c r="BK64" s="57">
        <v>3.9295319443803135E-3</v>
      </c>
      <c r="BL64" s="57">
        <v>1.005383781278916E-6</v>
      </c>
      <c r="BM64" s="57">
        <v>1.7729716118178472E-5</v>
      </c>
      <c r="BN64" s="57">
        <v>7.9674165368205668E-9</v>
      </c>
      <c r="BO64" s="57">
        <v>0</v>
      </c>
      <c r="BP64" s="57">
        <v>3.7499640476747858E-5</v>
      </c>
      <c r="BQ64" s="57">
        <v>3.672483526397694E-7</v>
      </c>
      <c r="BR64" s="57">
        <v>2.1928750665521694E-4</v>
      </c>
      <c r="BS64" s="57">
        <v>0</v>
      </c>
      <c r="BT64" s="57">
        <v>2.2914367348918362E-3</v>
      </c>
    </row>
    <row r="65" spans="1:72" ht="22.5">
      <c r="A65" s="38">
        <v>59</v>
      </c>
      <c r="B65" s="65" t="s">
        <v>21</v>
      </c>
      <c r="C65" s="39" t="s">
        <v>20</v>
      </c>
      <c r="D65" s="57">
        <v>4.1399224656575931E-4</v>
      </c>
      <c r="E65" s="57">
        <v>2.3655956004035913E-6</v>
      </c>
      <c r="F65" s="57">
        <v>0</v>
      </c>
      <c r="G65" s="57">
        <v>6.5832498737575362E-6</v>
      </c>
      <c r="H65" s="57">
        <v>4.6320435440007833E-5</v>
      </c>
      <c r="I65" s="57">
        <v>4.1513167280413832E-5</v>
      </c>
      <c r="J65" s="57">
        <v>2.1233257953643195E-5</v>
      </c>
      <c r="K65" s="57">
        <v>6.0155821758272283E-6</v>
      </c>
      <c r="L65" s="57">
        <v>1.9360406353717181E-4</v>
      </c>
      <c r="M65" s="57">
        <v>1.5726702709695386E-4</v>
      </c>
      <c r="N65" s="57">
        <v>1.5908851599373504E-4</v>
      </c>
      <c r="O65" s="57">
        <v>5.6882414420399586E-3</v>
      </c>
      <c r="P65" s="57">
        <v>8.132626547945194E-7</v>
      </c>
      <c r="Q65" s="57">
        <v>9.3425685396345772E-6</v>
      </c>
      <c r="R65" s="57">
        <v>5.8664078421577986E-6</v>
      </c>
      <c r="S65" s="57">
        <v>0</v>
      </c>
      <c r="T65" s="57">
        <v>6.8762867314520865E-4</v>
      </c>
      <c r="U65" s="57">
        <v>7.5111794605042707E-6</v>
      </c>
      <c r="V65" s="57">
        <v>0</v>
      </c>
      <c r="W65" s="57">
        <v>9.0196888318617784E-7</v>
      </c>
      <c r="X65" s="57">
        <v>1.2433365381846474E-5</v>
      </c>
      <c r="Y65" s="57">
        <v>7.9589963621077314E-5</v>
      </c>
      <c r="Z65" s="57">
        <v>1.8897127152342812E-5</v>
      </c>
      <c r="AA65" s="57">
        <v>6.3355520914537599E-5</v>
      </c>
      <c r="AB65" s="57">
        <v>2.0331928982666313E-6</v>
      </c>
      <c r="AC65" s="57">
        <v>0</v>
      </c>
      <c r="AD65" s="57">
        <v>5.2797913215278083E-6</v>
      </c>
      <c r="AE65" s="57">
        <v>2.6670847033558457E-6</v>
      </c>
      <c r="AF65" s="57">
        <v>0</v>
      </c>
      <c r="AG65" s="57">
        <v>2.5002311117818471E-5</v>
      </c>
      <c r="AH65" s="57">
        <v>7.4254373923426301E-6</v>
      </c>
      <c r="AI65" s="57">
        <v>3.2142520489746088E-6</v>
      </c>
      <c r="AJ65" s="57">
        <v>6.6422126999228681E-7</v>
      </c>
      <c r="AK65" s="57">
        <v>2.8612447765699291E-5</v>
      </c>
      <c r="AL65" s="57">
        <v>1.0701376541314789E-6</v>
      </c>
      <c r="AM65" s="57">
        <v>4.1036710241605212E-4</v>
      </c>
      <c r="AN65" s="57">
        <v>1.3223233934584041E-6</v>
      </c>
      <c r="AO65" s="57">
        <v>2.7163603454333197E-4</v>
      </c>
      <c r="AP65" s="57">
        <v>4.2069101749823593E-5</v>
      </c>
      <c r="AQ65" s="57">
        <v>1.0178939058261762E-5</v>
      </c>
      <c r="AR65" s="57">
        <v>3.8527588589941718E-5</v>
      </c>
      <c r="AS65" s="57">
        <v>5.4298060358575688E-4</v>
      </c>
      <c r="AT65" s="57">
        <v>3.3120034506443083E-4</v>
      </c>
      <c r="AU65" s="57">
        <v>4.9418371654997659E-3</v>
      </c>
      <c r="AV65" s="57">
        <v>4.0853710808322445E-3</v>
      </c>
      <c r="AW65" s="57">
        <v>2.2324264336953694E-2</v>
      </c>
      <c r="AX65" s="57">
        <v>1.1452767200412521E-3</v>
      </c>
      <c r="AY65" s="57">
        <v>1.6818734328912017E-4</v>
      </c>
      <c r="AZ65" s="57">
        <v>9.5664558684939588E-3</v>
      </c>
      <c r="BA65" s="57">
        <v>2.8222629020536673E-3</v>
      </c>
      <c r="BB65" s="57">
        <v>3.6375778607286046E-3</v>
      </c>
      <c r="BC65" s="57">
        <v>1.1182801423431761E-2</v>
      </c>
      <c r="BD65" s="57">
        <v>3.7341899297450654E-3</v>
      </c>
      <c r="BE65" s="57">
        <v>3.5836764525828249E-2</v>
      </c>
      <c r="BF65" s="57">
        <v>6.6843185964711536E-3</v>
      </c>
      <c r="BG65" s="57">
        <v>3.3264172729005004E-2</v>
      </c>
      <c r="BH65" s="57">
        <v>8.781759364834156E-2</v>
      </c>
      <c r="BI65" s="57">
        <v>0.22847558285894351</v>
      </c>
      <c r="BJ65" s="57">
        <v>6.8523687980732943E-3</v>
      </c>
      <c r="BK65" s="57">
        <v>1.1080802349947443E-2</v>
      </c>
      <c r="BL65" s="57">
        <v>1.3713817769737967E-2</v>
      </c>
      <c r="BM65" s="57">
        <v>1.63291349467094E-2</v>
      </c>
      <c r="BN65" s="57">
        <v>1.6431560984326406E-2</v>
      </c>
      <c r="BO65" s="57">
        <v>3.2610820487707823E-3</v>
      </c>
      <c r="BP65" s="57">
        <v>0.11346403243331658</v>
      </c>
      <c r="BQ65" s="57">
        <v>5.164182828983406E-2</v>
      </c>
      <c r="BR65" s="57">
        <v>0.18532067879482833</v>
      </c>
      <c r="BS65" s="57">
        <v>0</v>
      </c>
      <c r="BT65" s="57">
        <v>9.8702918239524495E-3</v>
      </c>
    </row>
    <row r="66" spans="1:72" ht="22.5">
      <c r="A66" s="38">
        <v>60</v>
      </c>
      <c r="B66" s="65" t="s">
        <v>160</v>
      </c>
      <c r="C66" s="39" t="s">
        <v>159</v>
      </c>
      <c r="D66" s="57">
        <v>1.3427651505162506E-2</v>
      </c>
      <c r="E66" s="57">
        <v>5.348303096564641E-6</v>
      </c>
      <c r="F66" s="57">
        <v>0</v>
      </c>
      <c r="G66" s="57">
        <v>2.1483686493776885E-5</v>
      </c>
      <c r="H66" s="57">
        <v>1.2464013704265876E-2</v>
      </c>
      <c r="I66" s="57">
        <v>1.1724078775708973E-2</v>
      </c>
      <c r="J66" s="57">
        <v>1.8987191610410654E-4</v>
      </c>
      <c r="K66" s="57">
        <v>1.8092458144664409E-4</v>
      </c>
      <c r="L66" s="57">
        <v>1.8762014587705736E-4</v>
      </c>
      <c r="M66" s="57">
        <v>5.3750069814213633E-4</v>
      </c>
      <c r="N66" s="57">
        <v>4.5655212341939514E-4</v>
      </c>
      <c r="O66" s="57">
        <v>0</v>
      </c>
      <c r="P66" s="57">
        <v>1.0372862810841235E-4</v>
      </c>
      <c r="Q66" s="57">
        <v>1.5380131902499587E-6</v>
      </c>
      <c r="R66" s="57">
        <v>2.9569671088861603E-6</v>
      </c>
      <c r="S66" s="57">
        <v>0</v>
      </c>
      <c r="T66" s="57">
        <v>1.2089749338840106E-8</v>
      </c>
      <c r="U66" s="57">
        <v>8.7807091852072584E-4</v>
      </c>
      <c r="V66" s="57">
        <v>1.0506657477225092E-3</v>
      </c>
      <c r="W66" s="57">
        <v>1.263239242188875E-4</v>
      </c>
      <c r="X66" s="57">
        <v>7.2157991088311767E-6</v>
      </c>
      <c r="Y66" s="57">
        <v>2.8517325147139943E-6</v>
      </c>
      <c r="Z66" s="57">
        <v>4.1454600957001788E-6</v>
      </c>
      <c r="AA66" s="57">
        <v>9.5971068174017304E-6</v>
      </c>
      <c r="AB66" s="57">
        <v>9.9750023132075505E-5</v>
      </c>
      <c r="AC66" s="57">
        <v>5.0024939270203193E-7</v>
      </c>
      <c r="AD66" s="57">
        <v>4.7151469718644177E-6</v>
      </c>
      <c r="AE66" s="57">
        <v>6.3173368964269009E-6</v>
      </c>
      <c r="AF66" s="57">
        <v>0</v>
      </c>
      <c r="AG66" s="57">
        <v>4.2452823456375952E-6</v>
      </c>
      <c r="AH66" s="57">
        <v>1.6749699869491832E-4</v>
      </c>
      <c r="AI66" s="57">
        <v>2.0947195953204902E-6</v>
      </c>
      <c r="AJ66" s="57">
        <v>1.2441505006454511E-6</v>
      </c>
      <c r="AK66" s="57">
        <v>3.3281456240764175E-6</v>
      </c>
      <c r="AL66" s="57">
        <v>1.9340127462364486E-5</v>
      </c>
      <c r="AM66" s="57">
        <v>5.2942290055557584E-5</v>
      </c>
      <c r="AN66" s="57">
        <v>3.7725754622339025E-6</v>
      </c>
      <c r="AO66" s="57">
        <v>4.1259098372489609E-4</v>
      </c>
      <c r="AP66" s="57">
        <v>4.6905486554054581E-4</v>
      </c>
      <c r="AQ66" s="57">
        <v>9.0710904300206796E-5</v>
      </c>
      <c r="AR66" s="57">
        <v>4.9139154163219515E-5</v>
      </c>
      <c r="AS66" s="57">
        <v>7.0760486176028295E-4</v>
      </c>
      <c r="AT66" s="57">
        <v>5.9120770612793349E-3</v>
      </c>
      <c r="AU66" s="57">
        <v>1.7301595963830869E-2</v>
      </c>
      <c r="AV66" s="57">
        <v>5.9421528156729513E-2</v>
      </c>
      <c r="AW66" s="57">
        <v>6.3885940457101123E-2</v>
      </c>
      <c r="AX66" s="57">
        <v>9.2956912935549477E-3</v>
      </c>
      <c r="AY66" s="57">
        <v>1.7770625433057414E-3</v>
      </c>
      <c r="AZ66" s="57">
        <v>2.9216860497846092E-4</v>
      </c>
      <c r="BA66" s="57">
        <v>2.2083748011027561E-3</v>
      </c>
      <c r="BB66" s="57">
        <v>1.3933010676757428E-3</v>
      </c>
      <c r="BC66" s="57">
        <v>3.7208408945735476E-3</v>
      </c>
      <c r="BD66" s="57">
        <v>3.4382579889896585E-3</v>
      </c>
      <c r="BE66" s="57">
        <v>4.9127525210840343E-2</v>
      </c>
      <c r="BF66" s="57">
        <v>2.8861797535956819E-2</v>
      </c>
      <c r="BG66" s="57">
        <v>9.568331564627457E-3</v>
      </c>
      <c r="BH66" s="57">
        <v>1.1608257469829403E-2</v>
      </c>
      <c r="BI66" s="57">
        <v>5.2052251768462829E-2</v>
      </c>
      <c r="BJ66" s="57">
        <v>8.8695417196279856E-3</v>
      </c>
      <c r="BK66" s="57">
        <v>2.9651585998138021E-2</v>
      </c>
      <c r="BL66" s="57">
        <v>3.9083395679811686E-2</v>
      </c>
      <c r="BM66" s="57">
        <v>0.13769838300097259</v>
      </c>
      <c r="BN66" s="57">
        <v>8.9414921224423988E-3</v>
      </c>
      <c r="BO66" s="57">
        <v>4.3854088033442795E-3</v>
      </c>
      <c r="BP66" s="57">
        <v>3.8234218054551086E-2</v>
      </c>
      <c r="BQ66" s="57">
        <v>2.9055022583115396E-2</v>
      </c>
      <c r="BR66" s="57">
        <v>2.525675451080301E-2</v>
      </c>
      <c r="BS66" s="57">
        <v>0</v>
      </c>
      <c r="BT66" s="57">
        <v>1.9397173476851434E-2</v>
      </c>
    </row>
    <row r="67" spans="1:72" ht="22.5">
      <c r="A67" s="38">
        <v>61</v>
      </c>
      <c r="B67" s="65" t="s">
        <v>158</v>
      </c>
      <c r="C67" s="39" t="s">
        <v>157</v>
      </c>
      <c r="D67" s="57">
        <v>4.0134158076634615E-3</v>
      </c>
      <c r="E67" s="57">
        <v>3.1541274672047885E-5</v>
      </c>
      <c r="F67" s="57">
        <v>0</v>
      </c>
      <c r="G67" s="57">
        <v>4.0966032082229023E-3</v>
      </c>
      <c r="H67" s="57">
        <v>1.2015502409264434E-2</v>
      </c>
      <c r="I67" s="57">
        <v>2.3607792919218051E-2</v>
      </c>
      <c r="J67" s="57">
        <v>3.7808587088098786E-5</v>
      </c>
      <c r="K67" s="57">
        <v>1.4829522208851693E-4</v>
      </c>
      <c r="L67" s="57">
        <v>5.0941308144142758E-2</v>
      </c>
      <c r="M67" s="57">
        <v>1.1818873503580852E-3</v>
      </c>
      <c r="N67" s="57">
        <v>1.1224132065928995E-3</v>
      </c>
      <c r="O67" s="57">
        <v>5.4054326105694529E-2</v>
      </c>
      <c r="P67" s="57">
        <v>3.0247447145696011E-6</v>
      </c>
      <c r="Q67" s="57">
        <v>1.6735312533483219E-5</v>
      </c>
      <c r="R67" s="57">
        <v>1.3202000600051487E-5</v>
      </c>
      <c r="S67" s="57">
        <v>0</v>
      </c>
      <c r="T67" s="57">
        <v>5.4295064280730913E-5</v>
      </c>
      <c r="U67" s="57">
        <v>6.6840137473303578E-5</v>
      </c>
      <c r="V67" s="57">
        <v>0</v>
      </c>
      <c r="W67" s="57">
        <v>2.6148330299288866E-3</v>
      </c>
      <c r="X67" s="57">
        <v>7.0216286055837282E-5</v>
      </c>
      <c r="Y67" s="57">
        <v>6.0369848769829789E-6</v>
      </c>
      <c r="Z67" s="57">
        <v>7.3640823331089091E-7</v>
      </c>
      <c r="AA67" s="57">
        <v>4.9837428268475199E-5</v>
      </c>
      <c r="AB67" s="57">
        <v>1.5010660780336017E-5</v>
      </c>
      <c r="AC67" s="57">
        <v>3.6056314055456363E-6</v>
      </c>
      <c r="AD67" s="57">
        <v>1.3745790044727606E-5</v>
      </c>
      <c r="AE67" s="57">
        <v>2.5972873166814075E-5</v>
      </c>
      <c r="AF67" s="57">
        <v>5.906813911036729E-4</v>
      </c>
      <c r="AG67" s="57">
        <v>4.5155682154961851E-6</v>
      </c>
      <c r="AH67" s="57">
        <v>3.9608594987617238E-7</v>
      </c>
      <c r="AI67" s="57">
        <v>2.3320330743511928E-6</v>
      </c>
      <c r="AJ67" s="57">
        <v>7.8680597863118239E-7</v>
      </c>
      <c r="AK67" s="57">
        <v>6.7069611923244239E-6</v>
      </c>
      <c r="AL67" s="57">
        <v>1.7194943265779824E-5</v>
      </c>
      <c r="AM67" s="57">
        <v>1.5866717570270182E-4</v>
      </c>
      <c r="AN67" s="57">
        <v>1.3267164944333491E-6</v>
      </c>
      <c r="AO67" s="57">
        <v>1.0236677127613981E-3</v>
      </c>
      <c r="AP67" s="57">
        <v>6.0310711315025194E-4</v>
      </c>
      <c r="AQ67" s="57">
        <v>1.763955884854807E-5</v>
      </c>
      <c r="AR67" s="57">
        <v>1.1319244724478646E-4</v>
      </c>
      <c r="AS67" s="57">
        <v>2.708713615518383E-3</v>
      </c>
      <c r="AT67" s="57">
        <v>1.6419657500766135E-3</v>
      </c>
      <c r="AU67" s="57">
        <v>3.0404810038002685E-3</v>
      </c>
      <c r="AV67" s="57">
        <v>1.9684277087836832E-2</v>
      </c>
      <c r="AW67" s="57">
        <v>4.7314870753447424E-2</v>
      </c>
      <c r="AX67" s="57">
        <v>2.422070695188876E-2</v>
      </c>
      <c r="AY67" s="57">
        <v>1.0855582207910379E-2</v>
      </c>
      <c r="AZ67" s="57">
        <v>8.6479298995312884E-3</v>
      </c>
      <c r="BA67" s="57">
        <v>1.1919986419439974E-3</v>
      </c>
      <c r="BB67" s="57">
        <v>7.9715678431910102E-4</v>
      </c>
      <c r="BC67" s="57">
        <v>4.9769715353175431E-3</v>
      </c>
      <c r="BD67" s="57">
        <v>4.9987591165852677E-4</v>
      </c>
      <c r="BE67" s="57">
        <v>2.6264313153651707E-2</v>
      </c>
      <c r="BF67" s="57">
        <v>1.516779009525971E-2</v>
      </c>
      <c r="BG67" s="57">
        <v>2.9052327239503219E-2</v>
      </c>
      <c r="BH67" s="57">
        <v>1.0390647462684933E-2</v>
      </c>
      <c r="BI67" s="57">
        <v>6.3521544847837355E-2</v>
      </c>
      <c r="BJ67" s="57">
        <v>9.0636864259901664E-3</v>
      </c>
      <c r="BK67" s="57">
        <v>6.5914704375579655E-2</v>
      </c>
      <c r="BL67" s="57">
        <v>2.1678268515272527E-2</v>
      </c>
      <c r="BM67" s="57">
        <v>0.13061422951746091</v>
      </c>
      <c r="BN67" s="57">
        <v>1.922639077067656E-2</v>
      </c>
      <c r="BO67" s="57">
        <v>7.0431124867988215E-3</v>
      </c>
      <c r="BP67" s="57">
        <v>1.1072157748178693E-2</v>
      </c>
      <c r="BQ67" s="57">
        <v>8.6685969889798029E-2</v>
      </c>
      <c r="BR67" s="57">
        <v>1.6895586911670729E-2</v>
      </c>
      <c r="BS67" s="57">
        <v>0</v>
      </c>
      <c r="BT67" s="57">
        <v>1.636673263555587E-2</v>
      </c>
    </row>
    <row r="68" spans="1:72" ht="33.75">
      <c r="A68" s="38">
        <v>62</v>
      </c>
      <c r="B68" s="65" t="s">
        <v>19</v>
      </c>
      <c r="C68" s="39" t="s">
        <v>18</v>
      </c>
      <c r="D68" s="57">
        <v>0</v>
      </c>
      <c r="E68" s="57">
        <v>0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57">
        <v>0</v>
      </c>
      <c r="L68" s="57">
        <v>0</v>
      </c>
      <c r="M68" s="57">
        <v>0</v>
      </c>
      <c r="N68" s="57">
        <v>0</v>
      </c>
      <c r="O68" s="57">
        <v>0</v>
      </c>
      <c r="P68" s="57">
        <v>0</v>
      </c>
      <c r="Q68" s="57">
        <v>0</v>
      </c>
      <c r="R68" s="57">
        <v>0</v>
      </c>
      <c r="S68" s="57">
        <v>0</v>
      </c>
      <c r="T68" s="57">
        <v>0</v>
      </c>
      <c r="U68" s="57">
        <v>0</v>
      </c>
      <c r="V68" s="57">
        <v>0</v>
      </c>
      <c r="W68" s="57">
        <v>0</v>
      </c>
      <c r="X68" s="57">
        <v>0</v>
      </c>
      <c r="Y68" s="57">
        <v>0</v>
      </c>
      <c r="Z68" s="57">
        <v>0</v>
      </c>
      <c r="AA68" s="57">
        <v>0</v>
      </c>
      <c r="AB68" s="57">
        <v>0</v>
      </c>
      <c r="AC68" s="57">
        <v>0</v>
      </c>
      <c r="AD68" s="57">
        <v>0</v>
      </c>
      <c r="AE68" s="57">
        <v>0</v>
      </c>
      <c r="AF68" s="57">
        <v>0</v>
      </c>
      <c r="AG68" s="57">
        <v>0</v>
      </c>
      <c r="AH68" s="57">
        <v>0</v>
      </c>
      <c r="AI68" s="57">
        <v>0</v>
      </c>
      <c r="AJ68" s="57">
        <v>0</v>
      </c>
      <c r="AK68" s="57">
        <v>0</v>
      </c>
      <c r="AL68" s="57">
        <v>0</v>
      </c>
      <c r="AM68" s="57">
        <v>0</v>
      </c>
      <c r="AN68" s="57">
        <v>0</v>
      </c>
      <c r="AO68" s="57">
        <v>0</v>
      </c>
      <c r="AP68" s="57">
        <v>0</v>
      </c>
      <c r="AQ68" s="57">
        <v>0</v>
      </c>
      <c r="AR68" s="57">
        <v>0</v>
      </c>
      <c r="AS68" s="57">
        <v>0</v>
      </c>
      <c r="AT68" s="57">
        <v>0</v>
      </c>
      <c r="AU68" s="57">
        <v>0</v>
      </c>
      <c r="AV68" s="57">
        <v>0</v>
      </c>
      <c r="AW68" s="57">
        <v>0</v>
      </c>
      <c r="AX68" s="57">
        <v>0</v>
      </c>
      <c r="AY68" s="57">
        <v>0</v>
      </c>
      <c r="AZ68" s="57">
        <v>0</v>
      </c>
      <c r="BA68" s="57">
        <v>0</v>
      </c>
      <c r="BB68" s="57">
        <v>0</v>
      </c>
      <c r="BC68" s="57">
        <v>0</v>
      </c>
      <c r="BD68" s="57">
        <v>0</v>
      </c>
      <c r="BE68" s="57">
        <v>0</v>
      </c>
      <c r="BF68" s="57">
        <v>0</v>
      </c>
      <c r="BG68" s="57">
        <v>0</v>
      </c>
      <c r="BH68" s="57">
        <v>0</v>
      </c>
      <c r="BI68" s="57">
        <v>0</v>
      </c>
      <c r="BJ68" s="57">
        <v>0</v>
      </c>
      <c r="BK68" s="57">
        <v>0</v>
      </c>
      <c r="BL68" s="57">
        <v>0</v>
      </c>
      <c r="BM68" s="57">
        <v>0</v>
      </c>
      <c r="BN68" s="57">
        <v>0</v>
      </c>
      <c r="BO68" s="57">
        <v>0</v>
      </c>
      <c r="BP68" s="57">
        <v>0</v>
      </c>
      <c r="BQ68" s="57">
        <v>0</v>
      </c>
      <c r="BR68" s="57">
        <v>0</v>
      </c>
      <c r="BS68" s="57">
        <v>0</v>
      </c>
      <c r="BT68" s="57">
        <v>0</v>
      </c>
    </row>
    <row r="69" spans="1:72">
      <c r="A69" s="38">
        <v>63</v>
      </c>
      <c r="B69" s="65" t="s">
        <v>17</v>
      </c>
      <c r="C69" s="39" t="s">
        <v>16</v>
      </c>
      <c r="D69" s="57">
        <v>1.6852733496798081E-6</v>
      </c>
      <c r="E69" s="57">
        <v>1.3027917799324126E-6</v>
      </c>
      <c r="F69" s="57">
        <v>0</v>
      </c>
      <c r="G69" s="57">
        <v>1.1244783771022047E-6</v>
      </c>
      <c r="H69" s="57">
        <v>3.0068359992797295E-5</v>
      </c>
      <c r="I69" s="57">
        <v>2.8124910360555864E-5</v>
      </c>
      <c r="J69" s="57">
        <v>6.4262066946713331E-8</v>
      </c>
      <c r="K69" s="57">
        <v>6.0111788177544322E-7</v>
      </c>
      <c r="L69" s="57">
        <v>2.9716053686282567E-6</v>
      </c>
      <c r="M69" s="57">
        <v>1.7091000130191948E-5</v>
      </c>
      <c r="N69" s="57">
        <v>4.6379045466261601E-6</v>
      </c>
      <c r="O69" s="57">
        <v>3.4860189285441036E-3</v>
      </c>
      <c r="P69" s="57">
        <v>0</v>
      </c>
      <c r="Q69" s="57">
        <v>2.2839466668732772E-7</v>
      </c>
      <c r="R69" s="57">
        <v>0</v>
      </c>
      <c r="S69" s="57">
        <v>0</v>
      </c>
      <c r="T69" s="57">
        <v>0</v>
      </c>
      <c r="U69" s="57">
        <v>0</v>
      </c>
      <c r="V69" s="57">
        <v>0</v>
      </c>
      <c r="W69" s="57">
        <v>0</v>
      </c>
      <c r="X69" s="57">
        <v>9.2920703280210126E-7</v>
      </c>
      <c r="Y69" s="57">
        <v>0</v>
      </c>
      <c r="Z69" s="57">
        <v>6.2673041132841776E-8</v>
      </c>
      <c r="AA69" s="57">
        <v>2.4087688868281873E-7</v>
      </c>
      <c r="AB69" s="57">
        <v>1.2505063628674853E-6</v>
      </c>
      <c r="AC69" s="57">
        <v>1.8699418193654232E-7</v>
      </c>
      <c r="AD69" s="57">
        <v>0</v>
      </c>
      <c r="AE69" s="57">
        <v>5.9629524629804589E-9</v>
      </c>
      <c r="AF69" s="57">
        <v>0</v>
      </c>
      <c r="AG69" s="57">
        <v>0</v>
      </c>
      <c r="AH69" s="57">
        <v>0</v>
      </c>
      <c r="AI69" s="57">
        <v>6.8502859926388373E-9</v>
      </c>
      <c r="AJ69" s="57">
        <v>4.6240204437461595E-8</v>
      </c>
      <c r="AK69" s="57">
        <v>9.4533477932068896E-10</v>
      </c>
      <c r="AL69" s="57">
        <v>0</v>
      </c>
      <c r="AM69" s="57">
        <v>0</v>
      </c>
      <c r="AN69" s="57">
        <v>9.0058569986369719E-8</v>
      </c>
      <c r="AO69" s="57">
        <v>6.3657772136882868E-7</v>
      </c>
      <c r="AP69" s="57">
        <v>3.6042413148832829E-6</v>
      </c>
      <c r="AQ69" s="57">
        <v>2.1279914021276315E-6</v>
      </c>
      <c r="AR69" s="57">
        <v>3.201578145657875E-7</v>
      </c>
      <c r="AS69" s="57">
        <v>4.8460797534655443E-7</v>
      </c>
      <c r="AT69" s="57">
        <v>1.4294885438681794E-6</v>
      </c>
      <c r="AU69" s="57">
        <v>2.8946226670492603E-7</v>
      </c>
      <c r="AV69" s="57">
        <v>7.3961069279679999E-7</v>
      </c>
      <c r="AW69" s="57">
        <v>4.5296705071753032E-5</v>
      </c>
      <c r="AX69" s="57">
        <v>1.8078985551403365E-5</v>
      </c>
      <c r="AY69" s="57">
        <v>0</v>
      </c>
      <c r="AZ69" s="57">
        <v>7.3777702281712602E-4</v>
      </c>
      <c r="BA69" s="57">
        <v>1.7819379464040434E-6</v>
      </c>
      <c r="BB69" s="57">
        <v>0</v>
      </c>
      <c r="BC69" s="57">
        <v>0</v>
      </c>
      <c r="BD69" s="57">
        <v>0</v>
      </c>
      <c r="BE69" s="57">
        <v>7.5833520673868385E-8</v>
      </c>
      <c r="BF69" s="57">
        <v>1.3676016047704426E-4</v>
      </c>
      <c r="BG69" s="57">
        <v>1.2369859616415853E-3</v>
      </c>
      <c r="BH69" s="57">
        <v>5.901754253412599E-4</v>
      </c>
      <c r="BI69" s="57">
        <v>1.3790428134142873E-3</v>
      </c>
      <c r="BJ69" s="57">
        <v>7.5363824958581817E-7</v>
      </c>
      <c r="BK69" s="57">
        <v>9.5422634519485886E-5</v>
      </c>
      <c r="BL69" s="57">
        <v>3.345538321429198E-4</v>
      </c>
      <c r="BM69" s="57">
        <v>2.2669899483000271E-3</v>
      </c>
      <c r="BN69" s="57">
        <v>8.4826906855122732E-4</v>
      </c>
      <c r="BO69" s="57">
        <v>3.8969478599750775E-4</v>
      </c>
      <c r="BP69" s="57">
        <v>4.6162040878050276E-3</v>
      </c>
      <c r="BQ69" s="57">
        <v>3.0742688419467212E-7</v>
      </c>
      <c r="BR69" s="57">
        <v>0</v>
      </c>
      <c r="BS69" s="57">
        <v>0</v>
      </c>
      <c r="BT69" s="57">
        <v>1.7125721652403215E-4</v>
      </c>
    </row>
    <row r="70" spans="1:72">
      <c r="A70" s="38">
        <v>64</v>
      </c>
      <c r="B70" s="65" t="s">
        <v>15</v>
      </c>
      <c r="C70" s="39" t="s">
        <v>14</v>
      </c>
      <c r="D70" s="57">
        <v>6.671477976357244E-8</v>
      </c>
      <c r="E70" s="57">
        <v>0</v>
      </c>
      <c r="F70" s="57">
        <v>0</v>
      </c>
      <c r="G70" s="57">
        <v>1.0487298239259252E-4</v>
      </c>
      <c r="H70" s="57">
        <v>3.9645129262797559E-5</v>
      </c>
      <c r="I70" s="57">
        <v>3.7345616488240146E-5</v>
      </c>
      <c r="J70" s="57">
        <v>0</v>
      </c>
      <c r="K70" s="57">
        <v>4.5054683762135674E-6</v>
      </c>
      <c r="L70" s="57">
        <v>0</v>
      </c>
      <c r="M70" s="57">
        <v>3.959245636784643E-5</v>
      </c>
      <c r="N70" s="57">
        <v>4.2985278571665779E-7</v>
      </c>
      <c r="O70" s="57">
        <v>0</v>
      </c>
      <c r="P70" s="57">
        <v>0</v>
      </c>
      <c r="Q70" s="57">
        <v>2.9206479116026564E-8</v>
      </c>
      <c r="R70" s="57">
        <v>1.3514021587781614E-6</v>
      </c>
      <c r="S70" s="57">
        <v>0</v>
      </c>
      <c r="T70" s="57">
        <v>0</v>
      </c>
      <c r="U70" s="57">
        <v>0</v>
      </c>
      <c r="V70" s="57">
        <v>0</v>
      </c>
      <c r="W70" s="57">
        <v>1.9305919736007797E-4</v>
      </c>
      <c r="X70" s="57">
        <v>2.1978310086761951E-6</v>
      </c>
      <c r="Y70" s="57">
        <v>0</v>
      </c>
      <c r="Z70" s="57">
        <v>5.1825784013696087E-8</v>
      </c>
      <c r="AA70" s="57">
        <v>8.308211329992138E-7</v>
      </c>
      <c r="AB70" s="57">
        <v>2.0751195571916333E-5</v>
      </c>
      <c r="AC70" s="57">
        <v>1.1347510185892738E-7</v>
      </c>
      <c r="AD70" s="57">
        <v>0</v>
      </c>
      <c r="AE70" s="57">
        <v>1.5503676403749193E-7</v>
      </c>
      <c r="AF70" s="57">
        <v>0</v>
      </c>
      <c r="AG70" s="57">
        <v>6.9452471912271496E-9</v>
      </c>
      <c r="AH70" s="57">
        <v>0</v>
      </c>
      <c r="AI70" s="57">
        <v>8.3182044196328732E-9</v>
      </c>
      <c r="AJ70" s="57">
        <v>7.2250319433533743E-9</v>
      </c>
      <c r="AK70" s="57">
        <v>0</v>
      </c>
      <c r="AL70" s="57">
        <v>0</v>
      </c>
      <c r="AM70" s="57">
        <v>0</v>
      </c>
      <c r="AN70" s="57">
        <v>1.8198420788709101E-6</v>
      </c>
      <c r="AO70" s="57">
        <v>7.4501917592294474E-6</v>
      </c>
      <c r="AP70" s="57">
        <v>7.6296452302405805E-5</v>
      </c>
      <c r="AQ70" s="57">
        <v>2.2446514327594635E-5</v>
      </c>
      <c r="AR70" s="57">
        <v>9.1759257803606256E-6</v>
      </c>
      <c r="AS70" s="57">
        <v>6.5728285007855473E-6</v>
      </c>
      <c r="AT70" s="57">
        <v>1.3254173370644871E-5</v>
      </c>
      <c r="AU70" s="57">
        <v>1.8119947859950327E-6</v>
      </c>
      <c r="AV70" s="57">
        <v>6.0467596573674805E-7</v>
      </c>
      <c r="AW70" s="57">
        <v>6.1054746875599771E-7</v>
      </c>
      <c r="AX70" s="57">
        <v>5.6839248595139925E-5</v>
      </c>
      <c r="AY70" s="57">
        <v>0</v>
      </c>
      <c r="AZ70" s="57">
        <v>2.9907180526463387E-5</v>
      </c>
      <c r="BA70" s="57">
        <v>2.3579196987374493E-4</v>
      </c>
      <c r="BB70" s="57">
        <v>0</v>
      </c>
      <c r="BC70" s="57">
        <v>1.4025956264651773E-6</v>
      </c>
      <c r="BD70" s="57">
        <v>7.3997025885821674E-5</v>
      </c>
      <c r="BE70" s="57">
        <v>1.3718045847461215E-6</v>
      </c>
      <c r="BF70" s="57">
        <v>1.0205007578337658E-5</v>
      </c>
      <c r="BG70" s="57">
        <v>0</v>
      </c>
      <c r="BH70" s="57">
        <v>0</v>
      </c>
      <c r="BI70" s="57">
        <v>0</v>
      </c>
      <c r="BJ70" s="57">
        <v>2.9825760502946147E-5</v>
      </c>
      <c r="BK70" s="57">
        <v>1.7644618035987475E-5</v>
      </c>
      <c r="BL70" s="57">
        <v>2.5740408228015483E-4</v>
      </c>
      <c r="BM70" s="57">
        <v>0</v>
      </c>
      <c r="BN70" s="57">
        <v>0</v>
      </c>
      <c r="BO70" s="57">
        <v>0</v>
      </c>
      <c r="BP70" s="57">
        <v>0</v>
      </c>
      <c r="BQ70" s="57">
        <v>1.0696553960381633E-7</v>
      </c>
      <c r="BR70" s="57">
        <v>0</v>
      </c>
      <c r="BS70" s="57">
        <v>0</v>
      </c>
      <c r="BT70" s="57">
        <v>2.1027168887404404E-5</v>
      </c>
    </row>
    <row r="71" spans="1:72">
      <c r="A71" s="38">
        <v>65</v>
      </c>
      <c r="B71" s="65" t="s">
        <v>13</v>
      </c>
      <c r="C71" s="39" t="s">
        <v>12</v>
      </c>
      <c r="D71" s="57">
        <v>0</v>
      </c>
      <c r="E71" s="57">
        <v>0</v>
      </c>
      <c r="F71" s="57">
        <v>0</v>
      </c>
      <c r="G71" s="57">
        <v>0</v>
      </c>
      <c r="H71" s="57">
        <v>0</v>
      </c>
      <c r="I71" s="57">
        <v>0</v>
      </c>
      <c r="J71" s="57">
        <v>0</v>
      </c>
      <c r="K71" s="57">
        <v>0</v>
      </c>
      <c r="L71" s="57">
        <v>0</v>
      </c>
      <c r="M71" s="57">
        <v>0</v>
      </c>
      <c r="N71" s="57">
        <v>0</v>
      </c>
      <c r="O71" s="57">
        <v>0</v>
      </c>
      <c r="P71" s="57">
        <v>0</v>
      </c>
      <c r="Q71" s="57">
        <v>0</v>
      </c>
      <c r="R71" s="57">
        <v>0</v>
      </c>
      <c r="S71" s="57">
        <v>0</v>
      </c>
      <c r="T71" s="57">
        <v>0</v>
      </c>
      <c r="U71" s="57">
        <v>0</v>
      </c>
      <c r="V71" s="57">
        <v>0</v>
      </c>
      <c r="W71" s="57">
        <v>0</v>
      </c>
      <c r="X71" s="57">
        <v>0</v>
      </c>
      <c r="Y71" s="57">
        <v>0</v>
      </c>
      <c r="Z71" s="57">
        <v>0</v>
      </c>
      <c r="AA71" s="57">
        <v>0</v>
      </c>
      <c r="AB71" s="57">
        <v>0</v>
      </c>
      <c r="AC71" s="57">
        <v>0</v>
      </c>
      <c r="AD71" s="57">
        <v>0</v>
      </c>
      <c r="AE71" s="57">
        <v>0</v>
      </c>
      <c r="AF71" s="57">
        <v>0</v>
      </c>
      <c r="AG71" s="57">
        <v>0</v>
      </c>
      <c r="AH71" s="57">
        <v>0</v>
      </c>
      <c r="AI71" s="57">
        <v>0</v>
      </c>
      <c r="AJ71" s="57">
        <v>0</v>
      </c>
      <c r="AK71" s="57">
        <v>0</v>
      </c>
      <c r="AL71" s="57">
        <v>0</v>
      </c>
      <c r="AM71" s="57">
        <v>0</v>
      </c>
      <c r="AN71" s="57">
        <v>0</v>
      </c>
      <c r="AO71" s="57">
        <v>0</v>
      </c>
      <c r="AP71" s="57">
        <v>0</v>
      </c>
      <c r="AQ71" s="57">
        <v>0</v>
      </c>
      <c r="AR71" s="57">
        <v>0</v>
      </c>
      <c r="AS71" s="57">
        <v>0</v>
      </c>
      <c r="AT71" s="57">
        <v>0</v>
      </c>
      <c r="AU71" s="57">
        <v>0</v>
      </c>
      <c r="AV71" s="57">
        <v>0</v>
      </c>
      <c r="AW71" s="57">
        <v>0</v>
      </c>
      <c r="AX71" s="57">
        <v>0</v>
      </c>
      <c r="AY71" s="57">
        <v>0</v>
      </c>
      <c r="AZ71" s="57">
        <v>0</v>
      </c>
      <c r="BA71" s="57">
        <v>0</v>
      </c>
      <c r="BB71" s="57">
        <v>0</v>
      </c>
      <c r="BC71" s="57">
        <v>0</v>
      </c>
      <c r="BD71" s="57">
        <v>0</v>
      </c>
      <c r="BE71" s="57">
        <v>0</v>
      </c>
      <c r="BF71" s="57">
        <v>0</v>
      </c>
      <c r="BG71" s="57">
        <v>0</v>
      </c>
      <c r="BH71" s="57">
        <v>0</v>
      </c>
      <c r="BI71" s="57">
        <v>0</v>
      </c>
      <c r="BJ71" s="57">
        <v>0</v>
      </c>
      <c r="BK71" s="57">
        <v>0</v>
      </c>
      <c r="BL71" s="57">
        <v>0</v>
      </c>
      <c r="BM71" s="57">
        <v>0</v>
      </c>
      <c r="BN71" s="57">
        <v>0</v>
      </c>
      <c r="BO71" s="57">
        <v>0</v>
      </c>
      <c r="BP71" s="57">
        <v>0</v>
      </c>
      <c r="BQ71" s="57">
        <v>0</v>
      </c>
      <c r="BR71" s="57">
        <v>0</v>
      </c>
      <c r="BS71" s="57">
        <v>0</v>
      </c>
      <c r="BT71" s="57">
        <v>0</v>
      </c>
    </row>
    <row r="72" spans="1:72" ht="22.5">
      <c r="A72" s="38">
        <v>66</v>
      </c>
      <c r="B72" s="65" t="s">
        <v>93</v>
      </c>
      <c r="C72" s="39" t="s">
        <v>156</v>
      </c>
      <c r="D72" s="57">
        <v>0</v>
      </c>
      <c r="E72" s="57">
        <v>0</v>
      </c>
      <c r="F72" s="57">
        <v>0</v>
      </c>
      <c r="G72" s="57">
        <v>0</v>
      </c>
      <c r="H72" s="57">
        <v>6.4488487346586085E-7</v>
      </c>
      <c r="I72" s="57">
        <v>5.9363368842008931E-7</v>
      </c>
      <c r="J72" s="57">
        <v>0</v>
      </c>
      <c r="K72" s="57">
        <v>0</v>
      </c>
      <c r="L72" s="57">
        <v>0</v>
      </c>
      <c r="M72" s="57">
        <v>0</v>
      </c>
      <c r="N72" s="57">
        <v>0</v>
      </c>
      <c r="O72" s="57">
        <v>0</v>
      </c>
      <c r="P72" s="57">
        <v>0</v>
      </c>
      <c r="Q72" s="57">
        <v>0</v>
      </c>
      <c r="R72" s="57">
        <v>0</v>
      </c>
      <c r="S72" s="57">
        <v>0</v>
      </c>
      <c r="T72" s="57">
        <v>0</v>
      </c>
      <c r="U72" s="57">
        <v>0</v>
      </c>
      <c r="V72" s="57">
        <v>0</v>
      </c>
      <c r="W72" s="57">
        <v>0</v>
      </c>
      <c r="X72" s="57">
        <v>0</v>
      </c>
      <c r="Y72" s="57">
        <v>0</v>
      </c>
      <c r="Z72" s="57">
        <v>0</v>
      </c>
      <c r="AA72" s="57">
        <v>0</v>
      </c>
      <c r="AB72" s="57">
        <v>0</v>
      </c>
      <c r="AC72" s="57">
        <v>0</v>
      </c>
      <c r="AD72" s="57">
        <v>0</v>
      </c>
      <c r="AE72" s="57">
        <v>0</v>
      </c>
      <c r="AF72" s="57">
        <v>0</v>
      </c>
      <c r="AG72" s="57">
        <v>0</v>
      </c>
      <c r="AH72" s="57">
        <v>0</v>
      </c>
      <c r="AI72" s="57">
        <v>0</v>
      </c>
      <c r="AJ72" s="57">
        <v>0</v>
      </c>
      <c r="AK72" s="57">
        <v>0</v>
      </c>
      <c r="AL72" s="57">
        <v>0</v>
      </c>
      <c r="AM72" s="57">
        <v>0</v>
      </c>
      <c r="AN72" s="57">
        <v>0</v>
      </c>
      <c r="AO72" s="57">
        <v>0</v>
      </c>
      <c r="AP72" s="57">
        <v>0</v>
      </c>
      <c r="AQ72" s="57">
        <v>0</v>
      </c>
      <c r="AR72" s="57">
        <v>0</v>
      </c>
      <c r="AS72" s="57">
        <v>0</v>
      </c>
      <c r="AT72" s="57">
        <v>6.9517866575573183E-7</v>
      </c>
      <c r="AU72" s="57">
        <v>0</v>
      </c>
      <c r="AV72" s="57">
        <v>3.0318888224246658E-8</v>
      </c>
      <c r="AW72" s="57">
        <v>0</v>
      </c>
      <c r="AX72" s="57">
        <v>8.6232347087173221E-7</v>
      </c>
      <c r="AY72" s="57">
        <v>0</v>
      </c>
      <c r="AZ72" s="57">
        <v>0</v>
      </c>
      <c r="BA72" s="57">
        <v>0</v>
      </c>
      <c r="BB72" s="57">
        <v>0</v>
      </c>
      <c r="BC72" s="57">
        <v>3.1548808084255173E-4</v>
      </c>
      <c r="BD72" s="57">
        <v>0</v>
      </c>
      <c r="BE72" s="57">
        <v>1.5124060531668284E-4</v>
      </c>
      <c r="BF72" s="57">
        <v>4.6024012850232602E-5</v>
      </c>
      <c r="BG72" s="57">
        <v>1.4839184343016078E-4</v>
      </c>
      <c r="BH72" s="57">
        <v>0</v>
      </c>
      <c r="BI72" s="57">
        <v>0</v>
      </c>
      <c r="BJ72" s="57">
        <v>1.5917063293403674E-5</v>
      </c>
      <c r="BK72" s="57">
        <v>1.634305166683652E-6</v>
      </c>
      <c r="BL72" s="57">
        <v>1.1490223377819765E-5</v>
      </c>
      <c r="BM72" s="57">
        <v>2.7232540207262476E-3</v>
      </c>
      <c r="BN72" s="57">
        <v>1.8990704265541051E-3</v>
      </c>
      <c r="BO72" s="57">
        <v>8.9221913386637244E-6</v>
      </c>
      <c r="BP72" s="57">
        <v>1.9700467567229526E-3</v>
      </c>
      <c r="BQ72" s="57">
        <v>2.7301801133058387E-3</v>
      </c>
      <c r="BR72" s="57">
        <v>0</v>
      </c>
      <c r="BS72" s="57">
        <v>0</v>
      </c>
      <c r="BT72" s="57">
        <v>1.9039257343500928E-4</v>
      </c>
    </row>
    <row r="73" spans="1:72">
      <c r="A73" s="38">
        <v>67</v>
      </c>
      <c r="B73" s="65" t="s">
        <v>92</v>
      </c>
      <c r="C73" s="39" t="s">
        <v>155</v>
      </c>
      <c r="D73" s="57">
        <v>1.1706164772179636E-7</v>
      </c>
      <c r="E73" s="57">
        <v>3.4283994208747698E-7</v>
      </c>
      <c r="F73" s="57">
        <v>0</v>
      </c>
      <c r="G73" s="57">
        <v>8.6641937454456982E-7</v>
      </c>
      <c r="H73" s="57">
        <v>3.383432895050891E-7</v>
      </c>
      <c r="I73" s="57">
        <v>3.113548120897203E-7</v>
      </c>
      <c r="J73" s="57">
        <v>0</v>
      </c>
      <c r="K73" s="57">
        <v>5.3780473326929875E-7</v>
      </c>
      <c r="L73" s="57">
        <v>0</v>
      </c>
      <c r="M73" s="57">
        <v>2.2036970100619865E-7</v>
      </c>
      <c r="N73" s="57">
        <v>2.4561276736274754E-7</v>
      </c>
      <c r="O73" s="57">
        <v>0</v>
      </c>
      <c r="P73" s="57">
        <v>0</v>
      </c>
      <c r="Q73" s="57">
        <v>3.9136682015475596E-8</v>
      </c>
      <c r="R73" s="57">
        <v>2.2730005728684671E-8</v>
      </c>
      <c r="S73" s="57">
        <v>0</v>
      </c>
      <c r="T73" s="57">
        <v>0</v>
      </c>
      <c r="U73" s="57">
        <v>0</v>
      </c>
      <c r="V73" s="57">
        <v>0</v>
      </c>
      <c r="W73" s="57">
        <v>0</v>
      </c>
      <c r="X73" s="57">
        <v>3.2515993072482681E-9</v>
      </c>
      <c r="Y73" s="57">
        <v>0</v>
      </c>
      <c r="Z73" s="57">
        <v>5.5441536386744655E-8</v>
      </c>
      <c r="AA73" s="57">
        <v>1.9865811061724201E-5</v>
      </c>
      <c r="AB73" s="57">
        <v>0</v>
      </c>
      <c r="AC73" s="57">
        <v>0</v>
      </c>
      <c r="AD73" s="57">
        <v>0</v>
      </c>
      <c r="AE73" s="57">
        <v>3.0842857567140301E-10</v>
      </c>
      <c r="AF73" s="57">
        <v>0</v>
      </c>
      <c r="AG73" s="57">
        <v>0</v>
      </c>
      <c r="AH73" s="57">
        <v>0</v>
      </c>
      <c r="AI73" s="57">
        <v>3.2387173560911762E-6</v>
      </c>
      <c r="AJ73" s="57">
        <v>1.685840786782454E-9</v>
      </c>
      <c r="AK73" s="57">
        <v>0</v>
      </c>
      <c r="AL73" s="57">
        <v>7.1402011952058648E-9</v>
      </c>
      <c r="AM73" s="57">
        <v>7.8655482254340012E-8</v>
      </c>
      <c r="AN73" s="57">
        <v>0</v>
      </c>
      <c r="AO73" s="57">
        <v>1.0871205082249817E-6</v>
      </c>
      <c r="AP73" s="57">
        <v>2.8975759985465996E-6</v>
      </c>
      <c r="AQ73" s="57">
        <v>0</v>
      </c>
      <c r="AR73" s="57">
        <v>7.3882572592104812E-8</v>
      </c>
      <c r="AS73" s="57">
        <v>1.0650724732891307E-8</v>
      </c>
      <c r="AT73" s="57">
        <v>2.1685955933728689E-6</v>
      </c>
      <c r="AU73" s="57">
        <v>4.3851165331429606E-7</v>
      </c>
      <c r="AV73" s="57">
        <v>2.0580568808644836E-6</v>
      </c>
      <c r="AW73" s="57">
        <v>2.1994450463998761E-5</v>
      </c>
      <c r="AX73" s="57">
        <v>1.507043632288E-4</v>
      </c>
      <c r="AY73" s="57">
        <v>0</v>
      </c>
      <c r="AZ73" s="57">
        <v>1.7592856084663891E-4</v>
      </c>
      <c r="BA73" s="57">
        <v>4.0021469779727426E-6</v>
      </c>
      <c r="BB73" s="57">
        <v>0</v>
      </c>
      <c r="BC73" s="57">
        <v>4.1199758925992572E-3</v>
      </c>
      <c r="BD73" s="57">
        <v>1.0140721559861342E-6</v>
      </c>
      <c r="BE73" s="57">
        <v>2.9629516769803679E-4</v>
      </c>
      <c r="BF73" s="57">
        <v>6.4379292852675884E-3</v>
      </c>
      <c r="BG73" s="57">
        <v>1.3606976953992847E-3</v>
      </c>
      <c r="BH73" s="57">
        <v>3.3048328461059164E-3</v>
      </c>
      <c r="BI73" s="57">
        <v>5.6022045509346819E-3</v>
      </c>
      <c r="BJ73" s="57">
        <v>3.0270012975266655E-6</v>
      </c>
      <c r="BK73" s="57">
        <v>1.7226035209173181E-4</v>
      </c>
      <c r="BL73" s="57">
        <v>2.3352029712060818E-6</v>
      </c>
      <c r="BM73" s="57">
        <v>2.5680276151204807E-3</v>
      </c>
      <c r="BN73" s="57">
        <v>1.2473304796368698E-3</v>
      </c>
      <c r="BO73" s="57">
        <v>9.5462251179877569E-4</v>
      </c>
      <c r="BP73" s="57">
        <v>3.4931345373575358E-3</v>
      </c>
      <c r="BQ73" s="57">
        <v>1.4420539413255239E-6</v>
      </c>
      <c r="BR73" s="57">
        <v>6.743324003161244E-6</v>
      </c>
      <c r="BS73" s="57">
        <v>0</v>
      </c>
      <c r="BT73" s="57">
        <v>2.9553485084366507E-4</v>
      </c>
    </row>
    <row r="74" spans="1:72" ht="45">
      <c r="A74" s="38">
        <v>68</v>
      </c>
      <c r="B74" s="65" t="s">
        <v>11</v>
      </c>
      <c r="C74" s="39" t="s">
        <v>10</v>
      </c>
      <c r="D74" s="57">
        <v>0</v>
      </c>
      <c r="E74" s="57">
        <v>0</v>
      </c>
      <c r="F74" s="57">
        <v>0</v>
      </c>
      <c r="G74" s="57">
        <v>0</v>
      </c>
      <c r="H74" s="57">
        <v>0</v>
      </c>
      <c r="I74" s="57">
        <v>0</v>
      </c>
      <c r="J74" s="57">
        <v>0</v>
      </c>
      <c r="K74" s="57">
        <v>0</v>
      </c>
      <c r="L74" s="57">
        <v>0</v>
      </c>
      <c r="M74" s="57">
        <v>0</v>
      </c>
      <c r="N74" s="57">
        <v>0</v>
      </c>
      <c r="O74" s="57">
        <v>0</v>
      </c>
      <c r="P74" s="57">
        <v>0</v>
      </c>
      <c r="Q74" s="57">
        <v>0</v>
      </c>
      <c r="R74" s="57">
        <v>0</v>
      </c>
      <c r="S74" s="57">
        <v>0</v>
      </c>
      <c r="T74" s="57">
        <v>0</v>
      </c>
      <c r="U74" s="57">
        <v>0</v>
      </c>
      <c r="V74" s="57">
        <v>0</v>
      </c>
      <c r="W74" s="57">
        <v>0</v>
      </c>
      <c r="X74" s="57">
        <v>0</v>
      </c>
      <c r="Y74" s="57">
        <v>0</v>
      </c>
      <c r="Z74" s="57">
        <v>0</v>
      </c>
      <c r="AA74" s="57">
        <v>0</v>
      </c>
      <c r="AB74" s="57">
        <v>0</v>
      </c>
      <c r="AC74" s="57">
        <v>0</v>
      </c>
      <c r="AD74" s="57">
        <v>0</v>
      </c>
      <c r="AE74" s="57">
        <v>0</v>
      </c>
      <c r="AF74" s="57">
        <v>0</v>
      </c>
      <c r="AG74" s="57">
        <v>0</v>
      </c>
      <c r="AH74" s="57">
        <v>0</v>
      </c>
      <c r="AI74" s="57">
        <v>0</v>
      </c>
      <c r="AJ74" s="57">
        <v>0</v>
      </c>
      <c r="AK74" s="57">
        <v>0</v>
      </c>
      <c r="AL74" s="57">
        <v>0</v>
      </c>
      <c r="AM74" s="57">
        <v>0</v>
      </c>
      <c r="AN74" s="57">
        <v>0</v>
      </c>
      <c r="AO74" s="57">
        <v>0</v>
      </c>
      <c r="AP74" s="57">
        <v>0</v>
      </c>
      <c r="AQ74" s="57">
        <v>0</v>
      </c>
      <c r="AR74" s="57">
        <v>0</v>
      </c>
      <c r="AS74" s="57">
        <v>0</v>
      </c>
      <c r="AT74" s="57">
        <v>0</v>
      </c>
      <c r="AU74" s="57">
        <v>0</v>
      </c>
      <c r="AV74" s="57">
        <v>0</v>
      </c>
      <c r="AW74" s="57">
        <v>0</v>
      </c>
      <c r="AX74" s="57">
        <v>0</v>
      </c>
      <c r="AY74" s="57">
        <v>0</v>
      </c>
      <c r="AZ74" s="57">
        <v>0</v>
      </c>
      <c r="BA74" s="57">
        <v>0</v>
      </c>
      <c r="BB74" s="57">
        <v>0</v>
      </c>
      <c r="BC74" s="57">
        <v>0</v>
      </c>
      <c r="BD74" s="57">
        <v>0</v>
      </c>
      <c r="BE74" s="57">
        <v>0</v>
      </c>
      <c r="BF74" s="57">
        <v>0</v>
      </c>
      <c r="BG74" s="57">
        <v>0</v>
      </c>
      <c r="BH74" s="57">
        <v>0</v>
      </c>
      <c r="BI74" s="57">
        <v>0</v>
      </c>
      <c r="BJ74" s="57">
        <v>0</v>
      </c>
      <c r="BK74" s="57">
        <v>0</v>
      </c>
      <c r="BL74" s="57">
        <v>0</v>
      </c>
      <c r="BM74" s="57">
        <v>0</v>
      </c>
      <c r="BN74" s="57">
        <v>0</v>
      </c>
      <c r="BO74" s="57">
        <v>0</v>
      </c>
      <c r="BP74" s="57">
        <v>0</v>
      </c>
      <c r="BQ74" s="57">
        <v>0</v>
      </c>
      <c r="BR74" s="57">
        <v>0</v>
      </c>
      <c r="BS74" s="57">
        <v>0</v>
      </c>
      <c r="BT74" s="57">
        <v>0</v>
      </c>
    </row>
    <row r="75" spans="1:72">
      <c r="A75" s="38">
        <v>69</v>
      </c>
      <c r="B75" s="65"/>
      <c r="C75" s="60" t="s">
        <v>7</v>
      </c>
      <c r="D75" s="57">
        <v>0.36961841644671645</v>
      </c>
      <c r="E75" s="57">
        <v>0.3436690319194271</v>
      </c>
      <c r="F75" s="57">
        <v>0.15249500144771413</v>
      </c>
      <c r="G75" s="57">
        <v>0.37036660661337184</v>
      </c>
      <c r="H75" s="57">
        <v>0.31077933677484976</v>
      </c>
      <c r="I75" s="57">
        <v>0.17150465301049034</v>
      </c>
      <c r="J75" s="57">
        <v>0.40846997326646606</v>
      </c>
      <c r="K75" s="57">
        <v>0.39384666928732087</v>
      </c>
      <c r="L75" s="57">
        <v>0.41823115405597566</v>
      </c>
      <c r="M75" s="57">
        <v>0.36938970929937542</v>
      </c>
      <c r="N75" s="57">
        <v>0.32901468353553254</v>
      </c>
      <c r="O75" s="57">
        <v>0.26504897163499619</v>
      </c>
      <c r="P75" s="57">
        <v>9.4564305688831007E-2</v>
      </c>
      <c r="Q75" s="57">
        <v>2.4023044631670189E-2</v>
      </c>
      <c r="R75" s="57">
        <v>1.3717420010862669E-2</v>
      </c>
      <c r="S75" s="57">
        <v>8.5005743891940641E-2</v>
      </c>
      <c r="T75" s="57">
        <v>0.13084248319817587</v>
      </c>
      <c r="U75" s="57">
        <v>0.43757942531170368</v>
      </c>
      <c r="V75" s="57">
        <v>0.42291951748111373</v>
      </c>
      <c r="W75" s="57">
        <v>0.42224066730300241</v>
      </c>
      <c r="X75" s="57">
        <v>0.20113812178804674</v>
      </c>
      <c r="Y75" s="57">
        <v>6.2056811453299568E-2</v>
      </c>
      <c r="Z75" s="57">
        <v>0.15742116966958206</v>
      </c>
      <c r="AA75" s="57">
        <v>0.38536292323933075</v>
      </c>
      <c r="AB75" s="57">
        <v>0.51787608889779513</v>
      </c>
      <c r="AC75" s="57">
        <v>0.17884762537111232</v>
      </c>
      <c r="AD75" s="57">
        <v>0.41296441832766334</v>
      </c>
      <c r="AE75" s="57">
        <v>0.61788347796278165</v>
      </c>
      <c r="AF75" s="57">
        <v>0.50840481461994924</v>
      </c>
      <c r="AG75" s="57">
        <v>0.20780035250764176</v>
      </c>
      <c r="AH75" s="57">
        <v>1.9716908878476155E-2</v>
      </c>
      <c r="AI75" s="57">
        <v>0.12628778930053186</v>
      </c>
      <c r="AJ75" s="57">
        <v>7.704419002238902E-2</v>
      </c>
      <c r="AK75" s="57">
        <v>0.19366289941410897</v>
      </c>
      <c r="AL75" s="57">
        <v>0.1622224771422803</v>
      </c>
      <c r="AM75" s="57">
        <v>0.17516672429769742</v>
      </c>
      <c r="AN75" s="57">
        <v>4.597779942468521E-2</v>
      </c>
      <c r="AO75" s="57">
        <v>0.41848882895903133</v>
      </c>
      <c r="AP75" s="57">
        <v>0.46807446651746831</v>
      </c>
      <c r="AQ75" s="57">
        <v>0.41703960582740185</v>
      </c>
      <c r="AR75" s="57">
        <v>0.47242005576795654</v>
      </c>
      <c r="AS75" s="57">
        <v>0.43173699893823592</v>
      </c>
      <c r="AT75" s="57">
        <v>0.5820704199471064</v>
      </c>
      <c r="AU75" s="57">
        <v>0.32706466410017665</v>
      </c>
      <c r="AV75" s="57">
        <v>0.21867813448175435</v>
      </c>
      <c r="AW75" s="57">
        <v>0.24707295458638276</v>
      </c>
      <c r="AX75" s="57">
        <v>0.34816604059073913</v>
      </c>
      <c r="AY75" s="57">
        <v>0.41849296775967876</v>
      </c>
      <c r="AZ75" s="57">
        <v>0.45675053509992875</v>
      </c>
      <c r="BA75" s="57">
        <v>0.24335777922784324</v>
      </c>
      <c r="BB75" s="57">
        <v>0.28022599021150385</v>
      </c>
      <c r="BC75" s="57">
        <v>0.26846034521837209</v>
      </c>
      <c r="BD75" s="57">
        <v>0.46692323909728101</v>
      </c>
      <c r="BE75" s="57">
        <v>0.31936038461151156</v>
      </c>
      <c r="BF75" s="57">
        <v>0.25601210065452701</v>
      </c>
      <c r="BG75" s="57">
        <v>0.30600102551570846</v>
      </c>
      <c r="BH75" s="57">
        <v>0.30599766899292702</v>
      </c>
      <c r="BI75" s="57">
        <v>0.53547577531610269</v>
      </c>
      <c r="BJ75" s="57">
        <v>0.18792306993028104</v>
      </c>
      <c r="BK75" s="57">
        <v>0.31396254258774725</v>
      </c>
      <c r="BL75" s="57">
        <v>0.29017455091509187</v>
      </c>
      <c r="BM75" s="57">
        <v>0.63380673077650085</v>
      </c>
      <c r="BN75" s="57">
        <v>0.33376172523606223</v>
      </c>
      <c r="BO75" s="57">
        <v>0.49737484925034137</v>
      </c>
      <c r="BP75" s="57">
        <v>0.62882783868720415</v>
      </c>
      <c r="BQ75" s="57">
        <v>0.3914814899251563</v>
      </c>
      <c r="BR75" s="57">
        <v>0.34914627751478639</v>
      </c>
      <c r="BS75" s="57">
        <v>0</v>
      </c>
      <c r="BT75" s="57">
        <v>0.33102818079371699</v>
      </c>
    </row>
    <row r="76" spans="1:72">
      <c r="A76" s="38">
        <v>70</v>
      </c>
      <c r="B76" s="65"/>
      <c r="C76" s="60" t="s">
        <v>145</v>
      </c>
      <c r="D76" s="57">
        <v>0.54331806499988666</v>
      </c>
      <c r="E76" s="57">
        <v>0.57196049249643366</v>
      </c>
      <c r="F76" s="57">
        <v>0.80486466611210061</v>
      </c>
      <c r="G76" s="57">
        <v>0.55614493632847639</v>
      </c>
      <c r="H76" s="57">
        <v>0.68922054517428932</v>
      </c>
      <c r="I76" s="57">
        <v>0.38027834497491197</v>
      </c>
      <c r="J76" s="57">
        <v>0.59151933352559405</v>
      </c>
      <c r="K76" s="57">
        <v>0.56806312910813228</v>
      </c>
      <c r="L76" s="57">
        <v>0.51551820299513906</v>
      </c>
      <c r="M76" s="57">
        <v>0.62955982348109585</v>
      </c>
      <c r="N76" s="57">
        <v>0.33291951653254087</v>
      </c>
      <c r="O76" s="57">
        <v>0.35478809793904609</v>
      </c>
      <c r="P76" s="57">
        <v>6.5249208025945249E-2</v>
      </c>
      <c r="Q76" s="57">
        <v>2.8715562011804831E-2</v>
      </c>
      <c r="R76" s="57">
        <v>1.8532532026242287E-2</v>
      </c>
      <c r="S76" s="57">
        <v>0.10268210424800162</v>
      </c>
      <c r="T76" s="57">
        <v>0.15750494868846132</v>
      </c>
      <c r="U76" s="57">
        <v>0.54044466533395885</v>
      </c>
      <c r="V76" s="57">
        <v>0.32855128703820213</v>
      </c>
      <c r="W76" s="57">
        <v>0.30241622057913703</v>
      </c>
      <c r="X76" s="57">
        <v>0.21307646119012752</v>
      </c>
      <c r="Y76" s="57">
        <v>0.19548671868343642</v>
      </c>
      <c r="Z76" s="57">
        <v>0.13428441376673539</v>
      </c>
      <c r="AA76" s="57">
        <v>0.36370136884848747</v>
      </c>
      <c r="AB76" s="57">
        <v>0.3162103219004051</v>
      </c>
      <c r="AC76" s="57">
        <v>8.2708808459711403E-2</v>
      </c>
      <c r="AD76" s="57">
        <v>0.20441368042036173</v>
      </c>
      <c r="AE76" s="57">
        <v>0.29216088076752472</v>
      </c>
      <c r="AF76" s="57">
        <v>0.32139952784905185</v>
      </c>
      <c r="AG76" s="57">
        <v>0.16381719360695043</v>
      </c>
      <c r="AH76" s="57">
        <v>1.4204015547931262E-2</v>
      </c>
      <c r="AI76" s="57">
        <v>9.0525329124755097E-2</v>
      </c>
      <c r="AJ76" s="57">
        <v>5.7373338524338964E-2</v>
      </c>
      <c r="AK76" s="57">
        <v>0.18270108091354006</v>
      </c>
      <c r="AL76" s="57">
        <v>0.14731808141285518</v>
      </c>
      <c r="AM76" s="57">
        <v>0.15788936117268651</v>
      </c>
      <c r="AN76" s="57">
        <v>3.6819852172020398E-2</v>
      </c>
      <c r="AO76" s="57">
        <v>0.48102458043397467</v>
      </c>
      <c r="AP76" s="57">
        <v>0.47519019799481443</v>
      </c>
      <c r="AQ76" s="57">
        <v>0.57771766428515292</v>
      </c>
      <c r="AR76" s="57">
        <v>0.51743605244591795</v>
      </c>
      <c r="AS76" s="57">
        <v>0.53560082425692435</v>
      </c>
      <c r="AT76" s="57">
        <v>0.40426217436372186</v>
      </c>
      <c r="AU76" s="57">
        <v>0.66933420075284467</v>
      </c>
      <c r="AV76" s="57">
        <v>0.78132186551824567</v>
      </c>
      <c r="AW76" s="57">
        <v>0.75292704541361721</v>
      </c>
      <c r="AX76" s="57">
        <v>0.61366334677557921</v>
      </c>
      <c r="AY76" s="57">
        <v>0.50408788884818667</v>
      </c>
      <c r="AZ76" s="57">
        <v>0.48055998111437603</v>
      </c>
      <c r="BA76" s="57">
        <v>0.70327696730020683</v>
      </c>
      <c r="BB76" s="57">
        <v>0.70255742176258029</v>
      </c>
      <c r="BC76" s="57">
        <v>0.36281118003266322</v>
      </c>
      <c r="BD76" s="57">
        <v>0.44390189594182228</v>
      </c>
      <c r="BE76" s="57">
        <v>0.58633649219235273</v>
      </c>
      <c r="BF76" s="57">
        <v>0.66932716555697946</v>
      </c>
      <c r="BG76" s="57">
        <v>0.63229469404343042</v>
      </c>
      <c r="BH76" s="57">
        <v>0.69179486808386415</v>
      </c>
      <c r="BI76" s="57">
        <v>0.46452422468389737</v>
      </c>
      <c r="BJ76" s="57">
        <v>0.8075029578652656</v>
      </c>
      <c r="BK76" s="57">
        <v>0.56092825559605664</v>
      </c>
      <c r="BL76" s="57">
        <v>0.62733246634131123</v>
      </c>
      <c r="BM76" s="57">
        <v>0.36619326922349915</v>
      </c>
      <c r="BN76" s="57">
        <v>0.65649766703433676</v>
      </c>
      <c r="BO76" s="57">
        <v>0.50075747702109563</v>
      </c>
      <c r="BP76" s="57">
        <v>0.3711721613127959</v>
      </c>
      <c r="BQ76" s="57">
        <v>0.48304674123655955</v>
      </c>
      <c r="BR76" s="57">
        <v>0.65006621163454492</v>
      </c>
      <c r="BS76" s="57">
        <v>1</v>
      </c>
      <c r="BT76" s="57">
        <v>0.52188157131107682</v>
      </c>
    </row>
    <row r="77" spans="1:72">
      <c r="A77" s="38">
        <v>71</v>
      </c>
      <c r="B77" s="65"/>
      <c r="C77" s="39" t="s">
        <v>146</v>
      </c>
      <c r="D77" s="57">
        <v>0.91293648144660322</v>
      </c>
      <c r="E77" s="57">
        <v>0.91562952441586076</v>
      </c>
      <c r="F77" s="57">
        <v>0.95735966755981472</v>
      </c>
      <c r="G77" s="57">
        <v>0.92651154294184823</v>
      </c>
      <c r="H77" s="57">
        <v>0.99999988194913914</v>
      </c>
      <c r="I77" s="57">
        <v>0.55178299798540231</v>
      </c>
      <c r="J77" s="57">
        <v>0.99998930679206011</v>
      </c>
      <c r="K77" s="57">
        <v>0.96190979839545321</v>
      </c>
      <c r="L77" s="57">
        <v>0.93374935705111473</v>
      </c>
      <c r="M77" s="57">
        <v>0.99894953278047127</v>
      </c>
      <c r="N77" s="57">
        <v>0.66193420006807346</v>
      </c>
      <c r="O77" s="57">
        <v>0.61983706957404228</v>
      </c>
      <c r="P77" s="57">
        <v>0.15981351371477626</v>
      </c>
      <c r="Q77" s="57">
        <v>5.2738606643475024E-2</v>
      </c>
      <c r="R77" s="57">
        <v>3.2249952037104956E-2</v>
      </c>
      <c r="S77" s="57">
        <v>0.18768784813994227</v>
      </c>
      <c r="T77" s="57">
        <v>0.2883474318866372</v>
      </c>
      <c r="U77" s="57">
        <v>0.97802409064566254</v>
      </c>
      <c r="V77" s="57">
        <v>0.7514708045193158</v>
      </c>
      <c r="W77" s="57">
        <v>0.72465688788213944</v>
      </c>
      <c r="X77" s="57">
        <v>0.41421458297817426</v>
      </c>
      <c r="Y77" s="57">
        <v>0.25754353013673598</v>
      </c>
      <c r="Z77" s="57">
        <v>0.29170558343631742</v>
      </c>
      <c r="AA77" s="57">
        <v>0.74906429208781822</v>
      </c>
      <c r="AB77" s="57">
        <v>0.83408641079820012</v>
      </c>
      <c r="AC77" s="57">
        <v>0.26155643383082372</v>
      </c>
      <c r="AD77" s="57">
        <v>0.61737809874802507</v>
      </c>
      <c r="AE77" s="57">
        <v>0.91004435873030642</v>
      </c>
      <c r="AF77" s="57">
        <v>0.82980434246900114</v>
      </c>
      <c r="AG77" s="57">
        <v>0.37161754611459219</v>
      </c>
      <c r="AH77" s="57">
        <v>3.3920924426407414E-2</v>
      </c>
      <c r="AI77" s="57">
        <v>0.21681311842528694</v>
      </c>
      <c r="AJ77" s="57">
        <v>0.13441752854672798</v>
      </c>
      <c r="AK77" s="57">
        <v>0.37636398032764906</v>
      </c>
      <c r="AL77" s="57">
        <v>0.30954055855513546</v>
      </c>
      <c r="AM77" s="57">
        <v>0.3330560854703839</v>
      </c>
      <c r="AN77" s="57">
        <v>8.2797651596705601E-2</v>
      </c>
      <c r="AO77" s="57">
        <v>0.89951340939300595</v>
      </c>
      <c r="AP77" s="57">
        <v>0.94326466451228275</v>
      </c>
      <c r="AQ77" s="57">
        <v>0.99475727011255477</v>
      </c>
      <c r="AR77" s="57">
        <v>0.98985610821387449</v>
      </c>
      <c r="AS77" s="57">
        <v>0.96733782319516026</v>
      </c>
      <c r="AT77" s="57">
        <v>0.98633259431082831</v>
      </c>
      <c r="AU77" s="57">
        <v>0.99639886485302132</v>
      </c>
      <c r="AV77" s="57">
        <v>1</v>
      </c>
      <c r="AW77" s="57">
        <v>1</v>
      </c>
      <c r="AX77" s="57">
        <v>0.96182938736631829</v>
      </c>
      <c r="AY77" s="57">
        <v>0.92258085660786537</v>
      </c>
      <c r="AZ77" s="57">
        <v>0.93731051621430472</v>
      </c>
      <c r="BA77" s="57">
        <v>0.94663474652805002</v>
      </c>
      <c r="BB77" s="57">
        <v>0.98278341197408414</v>
      </c>
      <c r="BC77" s="57">
        <v>0.63127152525103536</v>
      </c>
      <c r="BD77" s="57">
        <v>0.91082513503910323</v>
      </c>
      <c r="BE77" s="57">
        <v>0.90569687680386435</v>
      </c>
      <c r="BF77" s="57">
        <v>0.92533926621150653</v>
      </c>
      <c r="BG77" s="57">
        <v>0.93829571955913882</v>
      </c>
      <c r="BH77" s="57">
        <v>0.99779253707679116</v>
      </c>
      <c r="BI77" s="57">
        <v>1</v>
      </c>
      <c r="BJ77" s="57">
        <v>0.99542602779554668</v>
      </c>
      <c r="BK77" s="57">
        <v>0.874890798183804</v>
      </c>
      <c r="BL77" s="57">
        <v>0.91750701725640316</v>
      </c>
      <c r="BM77" s="57">
        <v>1</v>
      </c>
      <c r="BN77" s="57">
        <v>0.99025939227039894</v>
      </c>
      <c r="BO77" s="57">
        <v>0.998132326271437</v>
      </c>
      <c r="BP77" s="57">
        <v>1</v>
      </c>
      <c r="BQ77" s="57">
        <v>0.87452823116171585</v>
      </c>
      <c r="BR77" s="57">
        <v>0.99921248914933136</v>
      </c>
      <c r="BS77" s="57">
        <v>1</v>
      </c>
      <c r="BT77" s="57">
        <v>0.85290975210479381</v>
      </c>
    </row>
    <row r="78" spans="1:72">
      <c r="A78" s="38">
        <v>72</v>
      </c>
      <c r="B78" s="65"/>
      <c r="C78" s="39" t="s">
        <v>154</v>
      </c>
      <c r="D78" s="57">
        <v>8.7063518553396821E-2</v>
      </c>
      <c r="E78" s="57">
        <v>8.4370475584139265E-2</v>
      </c>
      <c r="F78" s="57">
        <v>4.2640332440185301E-2</v>
      </c>
      <c r="G78" s="57">
        <v>7.3488457058151796E-2</v>
      </c>
      <c r="H78" s="57">
        <v>1.1805086088811877E-7</v>
      </c>
      <c r="I78" s="57">
        <v>0.44821700201459769</v>
      </c>
      <c r="J78" s="57">
        <v>1.0693207939933097E-5</v>
      </c>
      <c r="K78" s="57">
        <v>3.8090201604546813E-2</v>
      </c>
      <c r="L78" s="57">
        <v>6.625064294888533E-2</v>
      </c>
      <c r="M78" s="57">
        <v>1.0504672195287162E-3</v>
      </c>
      <c r="N78" s="57">
        <v>0.33806579993192654</v>
      </c>
      <c r="O78" s="57">
        <v>0.38016293042595767</v>
      </c>
      <c r="P78" s="57">
        <v>0.84018648628522374</v>
      </c>
      <c r="Q78" s="57">
        <v>0.94726139335652493</v>
      </c>
      <c r="R78" s="57">
        <v>0.96775004796289499</v>
      </c>
      <c r="S78" s="57">
        <v>0.81231215186005779</v>
      </c>
      <c r="T78" s="57">
        <v>0.71165256811336275</v>
      </c>
      <c r="U78" s="57">
        <v>2.1975909354337492E-2</v>
      </c>
      <c r="V78" s="57">
        <v>0.24852919548068414</v>
      </c>
      <c r="W78" s="57">
        <v>0.27534311211786056</v>
      </c>
      <c r="X78" s="57">
        <v>0.58578541702182574</v>
      </c>
      <c r="Y78" s="57">
        <v>0.74245646986326397</v>
      </c>
      <c r="Z78" s="57">
        <v>0.70829441656368253</v>
      </c>
      <c r="AA78" s="57">
        <v>0.25093570791218178</v>
      </c>
      <c r="AB78" s="57">
        <v>0.16591358920179983</v>
      </c>
      <c r="AC78" s="57">
        <v>0.73844356616917628</v>
      </c>
      <c r="AD78" s="57">
        <v>0.38262190125197493</v>
      </c>
      <c r="AE78" s="57">
        <v>8.9955641269693604E-2</v>
      </c>
      <c r="AF78" s="57">
        <v>0.17019565753099886</v>
      </c>
      <c r="AG78" s="57">
        <v>0.62838245388540781</v>
      </c>
      <c r="AH78" s="57">
        <v>0.96607907557359263</v>
      </c>
      <c r="AI78" s="57">
        <v>0.78318688157471306</v>
      </c>
      <c r="AJ78" s="57">
        <v>0.86558247145327205</v>
      </c>
      <c r="AK78" s="57">
        <v>0.62363601967235094</v>
      </c>
      <c r="AL78" s="57">
        <v>0.69045944144486449</v>
      </c>
      <c r="AM78" s="57">
        <v>0.6669439145296161</v>
      </c>
      <c r="AN78" s="57">
        <v>0.9172023484032944</v>
      </c>
      <c r="AO78" s="57">
        <v>0.10048659060699401</v>
      </c>
      <c r="AP78" s="57">
        <v>5.6735335487717253E-2</v>
      </c>
      <c r="AQ78" s="57">
        <v>5.2427298874452776E-3</v>
      </c>
      <c r="AR78" s="57">
        <v>1.0143891786125563E-2</v>
      </c>
      <c r="AS78" s="57">
        <v>3.2662176804839696E-2</v>
      </c>
      <c r="AT78" s="57">
        <v>1.3667405689171736E-2</v>
      </c>
      <c r="AU78" s="57">
        <v>3.6011351469786394E-3</v>
      </c>
      <c r="AV78" s="57">
        <v>0</v>
      </c>
      <c r="AW78" s="57">
        <v>0</v>
      </c>
      <c r="AX78" s="57">
        <v>3.8170612633681711E-2</v>
      </c>
      <c r="AY78" s="57">
        <v>7.7419143392134612E-2</v>
      </c>
      <c r="AZ78" s="57">
        <v>6.2689483785695235E-2</v>
      </c>
      <c r="BA78" s="57">
        <v>5.3365253471949974E-2</v>
      </c>
      <c r="BB78" s="57">
        <v>1.7216588025915851E-2</v>
      </c>
      <c r="BC78" s="57">
        <v>0.3687284747489647</v>
      </c>
      <c r="BD78" s="57">
        <v>8.9174864960896758E-2</v>
      </c>
      <c r="BE78" s="57">
        <v>9.4303123196135638E-2</v>
      </c>
      <c r="BF78" s="57">
        <v>7.46607337884935E-2</v>
      </c>
      <c r="BG78" s="57">
        <v>6.1704280440861146E-2</v>
      </c>
      <c r="BH78" s="57">
        <v>2.2074629232088283E-3</v>
      </c>
      <c r="BI78" s="57">
        <v>0</v>
      </c>
      <c r="BJ78" s="57">
        <v>4.5739722044533786E-3</v>
      </c>
      <c r="BK78" s="57">
        <v>0.12510920181619606</v>
      </c>
      <c r="BL78" s="57">
        <v>8.2492982743596871E-2</v>
      </c>
      <c r="BM78" s="57">
        <v>0</v>
      </c>
      <c r="BN78" s="57">
        <v>9.7406077296010255E-3</v>
      </c>
      <c r="BO78" s="57">
        <v>1.8676737285629658E-3</v>
      </c>
      <c r="BP78" s="57">
        <v>0</v>
      </c>
      <c r="BQ78" s="57">
        <v>0.12547176883828415</v>
      </c>
      <c r="BR78" s="57">
        <v>7.8751085066869006E-4</v>
      </c>
      <c r="BS78" s="57">
        <v>0</v>
      </c>
      <c r="BT78" s="57">
        <v>0.14709024789520617</v>
      </c>
    </row>
    <row r="79" spans="1:72">
      <c r="A79" s="43">
        <v>73</v>
      </c>
      <c r="B79" s="66"/>
      <c r="C79" s="59" t="s">
        <v>153</v>
      </c>
      <c r="D79" s="58">
        <v>1</v>
      </c>
      <c r="E79" s="58">
        <v>1</v>
      </c>
      <c r="F79" s="58">
        <v>1</v>
      </c>
      <c r="G79" s="58">
        <v>1</v>
      </c>
      <c r="H79" s="58">
        <v>1</v>
      </c>
      <c r="I79" s="58">
        <v>1</v>
      </c>
      <c r="J79" s="58">
        <v>1</v>
      </c>
      <c r="K79" s="58">
        <v>1</v>
      </c>
      <c r="L79" s="58">
        <v>1</v>
      </c>
      <c r="M79" s="58">
        <v>1</v>
      </c>
      <c r="N79" s="58">
        <v>1</v>
      </c>
      <c r="O79" s="58">
        <v>1</v>
      </c>
      <c r="P79" s="58">
        <v>1</v>
      </c>
      <c r="Q79" s="58">
        <v>1</v>
      </c>
      <c r="R79" s="58">
        <v>1</v>
      </c>
      <c r="S79" s="58">
        <v>1</v>
      </c>
      <c r="T79" s="58">
        <v>1</v>
      </c>
      <c r="U79" s="58">
        <v>1</v>
      </c>
      <c r="V79" s="58">
        <v>1</v>
      </c>
      <c r="W79" s="58">
        <v>1</v>
      </c>
      <c r="X79" s="58">
        <v>1</v>
      </c>
      <c r="Y79" s="58">
        <v>1</v>
      </c>
      <c r="Z79" s="58">
        <v>1</v>
      </c>
      <c r="AA79" s="58">
        <v>1</v>
      </c>
      <c r="AB79" s="58">
        <v>1</v>
      </c>
      <c r="AC79" s="58">
        <v>1</v>
      </c>
      <c r="AD79" s="58">
        <v>1</v>
      </c>
      <c r="AE79" s="58">
        <v>1</v>
      </c>
      <c r="AF79" s="58">
        <v>1</v>
      </c>
      <c r="AG79" s="58">
        <v>1</v>
      </c>
      <c r="AH79" s="58">
        <v>1</v>
      </c>
      <c r="AI79" s="58">
        <v>1</v>
      </c>
      <c r="AJ79" s="58">
        <v>1</v>
      </c>
      <c r="AK79" s="58">
        <v>1</v>
      </c>
      <c r="AL79" s="58">
        <v>1</v>
      </c>
      <c r="AM79" s="58">
        <v>1</v>
      </c>
      <c r="AN79" s="58">
        <v>1</v>
      </c>
      <c r="AO79" s="58">
        <v>1</v>
      </c>
      <c r="AP79" s="58">
        <v>1</v>
      </c>
      <c r="AQ79" s="58">
        <v>1</v>
      </c>
      <c r="AR79" s="58">
        <v>1</v>
      </c>
      <c r="AS79" s="58">
        <v>1</v>
      </c>
      <c r="AT79" s="58">
        <v>1</v>
      </c>
      <c r="AU79" s="58">
        <v>1</v>
      </c>
      <c r="AV79" s="58">
        <v>1</v>
      </c>
      <c r="AW79" s="58">
        <v>1</v>
      </c>
      <c r="AX79" s="58">
        <v>1</v>
      </c>
      <c r="AY79" s="58">
        <v>1</v>
      </c>
      <c r="AZ79" s="58">
        <v>1</v>
      </c>
      <c r="BA79" s="58">
        <v>1</v>
      </c>
      <c r="BB79" s="58">
        <v>1</v>
      </c>
      <c r="BC79" s="58">
        <v>1</v>
      </c>
      <c r="BD79" s="58">
        <v>1</v>
      </c>
      <c r="BE79" s="58">
        <v>1</v>
      </c>
      <c r="BF79" s="58">
        <v>1</v>
      </c>
      <c r="BG79" s="58">
        <v>1</v>
      </c>
      <c r="BH79" s="58">
        <v>1</v>
      </c>
      <c r="BI79" s="58">
        <v>1</v>
      </c>
      <c r="BJ79" s="58">
        <v>1</v>
      </c>
      <c r="BK79" s="58">
        <v>1</v>
      </c>
      <c r="BL79" s="58">
        <v>1</v>
      </c>
      <c r="BM79" s="58">
        <v>1</v>
      </c>
      <c r="BN79" s="58">
        <v>1</v>
      </c>
      <c r="BO79" s="58">
        <v>1</v>
      </c>
      <c r="BP79" s="58">
        <v>1</v>
      </c>
      <c r="BQ79" s="58">
        <v>1</v>
      </c>
      <c r="BR79" s="58">
        <v>1</v>
      </c>
      <c r="BS79" s="58">
        <v>1</v>
      </c>
      <c r="BT79" s="58">
        <v>1</v>
      </c>
    </row>
  </sheetData>
  <mergeCells count="1">
    <mergeCell ref="A2:K2"/>
  </mergeCells>
  <pageMargins left="0.78740157480314965" right="0.59055118110236227" top="0.59055118110236227" bottom="0.59055118110236227" header="0.11811023622047245" footer="0.11811023622047245"/>
  <pageSetup paperSize="9" firstPageNumber="549" orientation="landscape" useFirstPageNumber="1" r:id="rId1"/>
  <headerFooter>
    <oddFooter>&amp;R&amp;P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92"/>
  <sheetViews>
    <sheetView tabSelected="1" workbookViewId="0">
      <pane xSplit="6" ySplit="7" topLeftCell="G63" activePane="bottomRight" state="frozen"/>
      <selection pane="topRight" activeCell="E1" sqref="E1"/>
      <selection pane="bottomLeft" activeCell="A9" sqref="A9"/>
      <selection pane="bottomRight" activeCell="Q77" sqref="Q77"/>
    </sheetView>
  </sheetViews>
  <sheetFormatPr defaultColWidth="8" defaultRowHeight="11.25"/>
  <cols>
    <col min="1" max="1" width="4.140625" style="24" customWidth="1"/>
    <col min="2" max="2" width="8.140625" style="62" customWidth="1"/>
    <col min="3" max="3" width="35" style="27" customWidth="1"/>
    <col min="4" max="4" width="4.5703125" style="27" customWidth="1"/>
    <col min="5" max="5" width="5.28515625" style="90" customWidth="1"/>
    <col min="6" max="6" width="13.5703125" style="24" customWidth="1"/>
    <col min="7" max="8" width="5" style="24" customWidth="1"/>
    <col min="9" max="9" width="12.42578125" style="24" customWidth="1"/>
    <col min="10" max="10" width="4.140625" style="24" customWidth="1"/>
    <col min="11" max="11" width="5.28515625" style="24" customWidth="1"/>
    <col min="12" max="12" width="13" style="24" customWidth="1"/>
    <col min="13" max="13" width="5.28515625" style="24" customWidth="1"/>
    <col min="14" max="14" width="4.7109375" style="24" customWidth="1"/>
    <col min="15" max="15" width="12.7109375" style="24" customWidth="1"/>
    <col min="16" max="16" width="4.5703125" style="24" customWidth="1"/>
    <col min="17" max="17" width="5.140625" style="24" customWidth="1"/>
    <col min="18" max="18" width="13.42578125" style="24" customWidth="1"/>
    <col min="19" max="19" width="4.42578125" style="24" customWidth="1"/>
    <col min="20" max="20" width="5.5703125" style="24" customWidth="1"/>
    <col min="21" max="21" width="12.28515625" style="24" customWidth="1"/>
    <col min="22" max="22" width="5.28515625" style="24" customWidth="1"/>
    <col min="23" max="23" width="5.7109375" style="24" customWidth="1"/>
    <col min="24" max="24" width="13" style="24" customWidth="1"/>
    <col min="25" max="25" width="5.28515625" style="24" customWidth="1"/>
    <col min="26" max="26" width="5.7109375" style="24" customWidth="1"/>
    <col min="27" max="27" width="13.28515625" style="24" customWidth="1"/>
    <col min="28" max="28" width="5.28515625" style="24" customWidth="1"/>
    <col min="29" max="29" width="5.7109375" style="24" customWidth="1"/>
    <col min="30" max="30" width="12" style="24" customWidth="1"/>
    <col min="31" max="31" width="5.28515625" style="24" customWidth="1"/>
    <col min="32" max="32" width="5.7109375" style="24" customWidth="1"/>
    <col min="33" max="33" width="11.5703125" style="24" customWidth="1"/>
    <col min="34" max="34" width="5.28515625" style="24" customWidth="1"/>
    <col min="35" max="35" width="5.7109375" style="24" customWidth="1"/>
    <col min="36" max="36" width="12.5703125" style="24" customWidth="1"/>
    <col min="37" max="37" width="5.28515625" style="24" customWidth="1"/>
    <col min="38" max="38" width="5.7109375" style="24" customWidth="1"/>
    <col min="39" max="39" width="12" style="24" customWidth="1"/>
    <col min="40" max="40" width="5.28515625" style="24" customWidth="1"/>
    <col min="41" max="41" width="5.7109375" style="24" customWidth="1"/>
    <col min="42" max="42" width="13.42578125" style="24" customWidth="1"/>
    <col min="43" max="43" width="5.28515625" style="24" customWidth="1"/>
    <col min="44" max="44" width="5.7109375" style="24" customWidth="1"/>
    <col min="45" max="45" width="13.42578125" style="24" customWidth="1"/>
    <col min="46" max="46" width="5.28515625" style="24" customWidth="1"/>
    <col min="47" max="47" width="5.7109375" style="24" customWidth="1"/>
    <col min="48" max="48" width="12.7109375" style="24" customWidth="1"/>
    <col min="49" max="49" width="5.28515625" style="24" customWidth="1"/>
    <col min="50" max="50" width="5.7109375" style="24" customWidth="1"/>
    <col min="51" max="51" width="13.5703125" style="24" customWidth="1"/>
    <col min="52" max="52" width="5.28515625" style="24" customWidth="1"/>
    <col min="53" max="53" width="5.7109375" style="24" customWidth="1"/>
    <col min="54" max="54" width="13.140625" style="24" customWidth="1"/>
    <col min="55" max="55" width="5.28515625" style="24" customWidth="1"/>
    <col min="56" max="56" width="5.7109375" style="24" customWidth="1"/>
    <col min="57" max="57" width="13.140625" style="24" customWidth="1"/>
    <col min="58" max="58" width="5.28515625" style="24" customWidth="1"/>
    <col min="59" max="59" width="5.7109375" style="24" customWidth="1"/>
    <col min="60" max="60" width="13.42578125" style="24" customWidth="1"/>
    <col min="61" max="61" width="5.28515625" style="24" customWidth="1"/>
    <col min="62" max="62" width="5.7109375" style="24" customWidth="1"/>
    <col min="63" max="63" width="13.42578125" style="24" customWidth="1"/>
    <col min="64" max="64" width="5.28515625" style="24" customWidth="1"/>
    <col min="65" max="65" width="5.7109375" style="24" customWidth="1"/>
    <col min="66" max="66" width="12.85546875" style="24" customWidth="1"/>
    <col min="67" max="67" width="5.28515625" style="24" customWidth="1"/>
    <col min="68" max="68" width="5.7109375" style="24" customWidth="1"/>
    <col min="69" max="69" width="13" style="24" customWidth="1"/>
    <col min="70" max="70" width="5.28515625" style="24" customWidth="1"/>
    <col min="71" max="71" width="5.7109375" style="24" customWidth="1"/>
    <col min="72" max="72" width="11" style="24" customWidth="1"/>
    <col min="73" max="73" width="5.28515625" style="24" customWidth="1"/>
    <col min="74" max="74" width="5.7109375" style="24" customWidth="1"/>
    <col min="75" max="75" width="13.85546875" style="24" customWidth="1"/>
    <col min="76" max="76" width="5.28515625" style="24" customWidth="1"/>
    <col min="77" max="77" width="5.7109375" style="24" customWidth="1"/>
    <col min="78" max="78" width="13.5703125" style="24" customWidth="1"/>
    <col min="79" max="79" width="5.28515625" style="24" customWidth="1"/>
    <col min="80" max="80" width="5.7109375" style="24" customWidth="1"/>
    <col min="81" max="81" width="12" style="24" customWidth="1"/>
    <col min="82" max="82" width="5.28515625" style="24" customWidth="1"/>
    <col min="83" max="83" width="5.7109375" style="24" customWidth="1"/>
    <col min="84" max="84" width="12.140625" style="24" customWidth="1"/>
    <col min="85" max="85" width="5.28515625" style="24" customWidth="1"/>
    <col min="86" max="86" width="5.7109375" style="24" customWidth="1"/>
    <col min="87" max="87" width="13" style="24" customWidth="1"/>
    <col min="88" max="88" width="5.28515625" style="24" customWidth="1"/>
    <col min="89" max="89" width="5.7109375" style="24" customWidth="1"/>
    <col min="90" max="90" width="13.85546875" style="24" customWidth="1"/>
    <col min="91" max="91" width="5.28515625" style="24" customWidth="1"/>
    <col min="92" max="92" width="5.7109375" style="24" customWidth="1"/>
    <col min="93" max="93" width="14" style="24" customWidth="1"/>
    <col min="94" max="16384" width="8" style="24"/>
  </cols>
  <sheetData>
    <row r="1" spans="1:93">
      <c r="C1" s="45"/>
      <c r="D1" s="45"/>
      <c r="E1" s="89"/>
    </row>
    <row r="2" spans="1:93" ht="12.75">
      <c r="A2" s="122" t="s">
        <v>192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86"/>
      <c r="AC2" s="86"/>
      <c r="AE2" s="86"/>
      <c r="AF2" s="86"/>
      <c r="AH2" s="86"/>
      <c r="AI2" s="86"/>
      <c r="AK2" s="86"/>
      <c r="AL2" s="86"/>
      <c r="AN2" s="86"/>
      <c r="AO2" s="86"/>
      <c r="AQ2" s="86"/>
      <c r="AR2" s="86"/>
      <c r="AT2" s="86"/>
      <c r="AU2" s="86"/>
      <c r="AW2" s="86"/>
      <c r="AX2" s="86"/>
      <c r="AZ2" s="86"/>
      <c r="BA2" s="86"/>
      <c r="BC2" s="86"/>
      <c r="BD2" s="86"/>
      <c r="BF2" s="86"/>
      <c r="BG2" s="86"/>
      <c r="BI2" s="86"/>
      <c r="BJ2" s="86"/>
      <c r="BL2" s="86"/>
      <c r="BM2" s="86"/>
      <c r="BO2" s="86"/>
      <c r="BP2" s="86"/>
      <c r="BR2" s="86"/>
      <c r="BS2" s="86"/>
      <c r="BU2" s="86"/>
      <c r="BV2" s="86"/>
      <c r="BX2" s="86"/>
      <c r="BY2" s="86"/>
      <c r="CA2" s="86"/>
      <c r="CB2" s="86"/>
      <c r="CD2" s="86"/>
      <c r="CE2" s="86"/>
      <c r="CG2" s="86"/>
      <c r="CH2" s="86"/>
      <c r="CJ2" s="86"/>
      <c r="CK2" s="86"/>
      <c r="CM2" s="86"/>
      <c r="CN2" s="86"/>
    </row>
    <row r="3" spans="1:93">
      <c r="A3" s="26"/>
      <c r="B3" s="26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9"/>
      <c r="CJ3" s="28"/>
      <c r="CK3" s="28"/>
      <c r="CL3" s="28"/>
      <c r="CM3" s="28"/>
      <c r="CN3" s="28"/>
      <c r="CO3" s="28"/>
    </row>
    <row r="4" spans="1:93" ht="116.25" customHeight="1">
      <c r="A4" s="30"/>
      <c r="B4" s="63"/>
      <c r="C4" s="31"/>
      <c r="D4" s="37"/>
      <c r="E4" s="37"/>
      <c r="F4" s="33" t="s">
        <v>189</v>
      </c>
      <c r="G4" s="33"/>
      <c r="H4" s="33"/>
      <c r="I4" s="33" t="s">
        <v>134</v>
      </c>
      <c r="J4" s="33"/>
      <c r="K4" s="33"/>
      <c r="L4" s="33" t="s">
        <v>89</v>
      </c>
      <c r="M4" s="33"/>
      <c r="N4" s="33"/>
      <c r="O4" s="33" t="s">
        <v>87</v>
      </c>
      <c r="P4" s="33"/>
      <c r="Q4" s="33"/>
      <c r="R4" s="33" t="s">
        <v>187</v>
      </c>
      <c r="S4" s="33"/>
      <c r="T4" s="33"/>
      <c r="U4" s="33" t="s">
        <v>185</v>
      </c>
      <c r="V4" s="33"/>
      <c r="W4" s="33"/>
      <c r="X4" s="33" t="s">
        <v>183</v>
      </c>
      <c r="Y4" s="33"/>
      <c r="Z4" s="33"/>
      <c r="AA4" s="33" t="s">
        <v>181</v>
      </c>
      <c r="AB4" s="33"/>
      <c r="AC4" s="33"/>
      <c r="AD4" s="33" t="s">
        <v>180</v>
      </c>
      <c r="AE4" s="33"/>
      <c r="AF4" s="33"/>
      <c r="AG4" s="33" t="s">
        <v>85</v>
      </c>
      <c r="AH4" s="33"/>
      <c r="AI4" s="33"/>
      <c r="AJ4" s="33" t="s">
        <v>178</v>
      </c>
      <c r="AK4" s="33"/>
      <c r="AL4" s="33"/>
      <c r="AM4" s="33" t="s">
        <v>82</v>
      </c>
      <c r="AN4" s="33"/>
      <c r="AO4" s="33"/>
      <c r="AP4" s="33" t="s">
        <v>76</v>
      </c>
      <c r="AQ4" s="33"/>
      <c r="AR4" s="33"/>
      <c r="AS4" s="33" t="s">
        <v>70</v>
      </c>
      <c r="AT4" s="33"/>
      <c r="AU4" s="33"/>
      <c r="AV4" s="33" t="s">
        <v>175</v>
      </c>
      <c r="AW4" s="33"/>
      <c r="AX4" s="33"/>
      <c r="AY4" s="33" t="s">
        <v>171</v>
      </c>
      <c r="AZ4" s="33"/>
      <c r="BA4" s="33"/>
      <c r="BB4" s="33" t="s">
        <v>165</v>
      </c>
      <c r="BC4" s="33"/>
      <c r="BD4" s="33"/>
      <c r="BE4" s="33" t="s">
        <v>164</v>
      </c>
      <c r="BF4" s="33"/>
      <c r="BG4" s="33"/>
      <c r="BH4" s="33" t="s">
        <v>60</v>
      </c>
      <c r="BI4" s="33"/>
      <c r="BJ4" s="33"/>
      <c r="BK4" s="33" t="s">
        <v>136</v>
      </c>
      <c r="BL4" s="33"/>
      <c r="BM4" s="33"/>
      <c r="BN4" s="33" t="s">
        <v>49</v>
      </c>
      <c r="BO4" s="33"/>
      <c r="BP4" s="33"/>
      <c r="BQ4" s="33" t="s">
        <v>137</v>
      </c>
      <c r="BR4" s="33"/>
      <c r="BS4" s="33"/>
      <c r="BT4" s="33" t="s">
        <v>40</v>
      </c>
      <c r="BU4" s="33"/>
      <c r="BV4" s="33"/>
      <c r="BW4" s="33" t="s">
        <v>34</v>
      </c>
      <c r="BX4" s="33"/>
      <c r="BY4" s="33"/>
      <c r="BZ4" s="33" t="s">
        <v>28</v>
      </c>
      <c r="CA4" s="33"/>
      <c r="CB4" s="33"/>
      <c r="CC4" s="33" t="s">
        <v>24</v>
      </c>
      <c r="CD4" s="33"/>
      <c r="CE4" s="33"/>
      <c r="CF4" s="33" t="s">
        <v>20</v>
      </c>
      <c r="CG4" s="33"/>
      <c r="CH4" s="33"/>
      <c r="CI4" s="33" t="s">
        <v>18</v>
      </c>
      <c r="CJ4" s="33"/>
      <c r="CK4" s="33"/>
      <c r="CL4" s="33" t="s">
        <v>12</v>
      </c>
      <c r="CM4" s="33"/>
      <c r="CN4" s="33"/>
      <c r="CO4" s="33" t="s">
        <v>10</v>
      </c>
    </row>
    <row r="5" spans="1:93" s="25" customFormat="1" ht="15.75" customHeight="1">
      <c r="A5" s="36"/>
      <c r="B5" s="64" t="s">
        <v>148</v>
      </c>
      <c r="C5" s="37"/>
      <c r="D5" s="37"/>
      <c r="E5" s="37"/>
      <c r="F5" s="33" t="s">
        <v>103</v>
      </c>
      <c r="G5" s="33"/>
      <c r="H5" s="33"/>
      <c r="I5" s="33" t="s">
        <v>91</v>
      </c>
      <c r="J5" s="33"/>
      <c r="K5" s="33"/>
      <c r="L5" s="33" t="s">
        <v>90</v>
      </c>
      <c r="M5" s="33"/>
      <c r="N5" s="33"/>
      <c r="O5" s="33" t="s">
        <v>88</v>
      </c>
      <c r="P5" s="33"/>
      <c r="Q5" s="33"/>
      <c r="R5" s="33" t="s">
        <v>188</v>
      </c>
      <c r="S5" s="33"/>
      <c r="T5" s="33"/>
      <c r="U5" s="33" t="s">
        <v>186</v>
      </c>
      <c r="V5" s="33"/>
      <c r="W5" s="33"/>
      <c r="X5" s="33" t="s">
        <v>184</v>
      </c>
      <c r="Y5" s="33"/>
      <c r="Z5" s="33"/>
      <c r="AA5" s="33" t="s">
        <v>182</v>
      </c>
      <c r="AB5" s="33"/>
      <c r="AC5" s="33"/>
      <c r="AD5" s="33" t="s">
        <v>102</v>
      </c>
      <c r="AE5" s="33"/>
      <c r="AF5" s="33"/>
      <c r="AG5" s="33" t="s">
        <v>86</v>
      </c>
      <c r="AH5" s="33"/>
      <c r="AI5" s="33"/>
      <c r="AJ5" s="33" t="s">
        <v>179</v>
      </c>
      <c r="AK5" s="33"/>
      <c r="AL5" s="33"/>
      <c r="AM5" s="33" t="s">
        <v>100</v>
      </c>
      <c r="AN5" s="33"/>
      <c r="AO5" s="33"/>
      <c r="AP5" s="33" t="s">
        <v>77</v>
      </c>
      <c r="AQ5" s="33"/>
      <c r="AR5" s="33"/>
      <c r="AS5" s="33" t="s">
        <v>71</v>
      </c>
      <c r="AT5" s="33"/>
      <c r="AU5" s="33"/>
      <c r="AV5" s="33" t="s">
        <v>98</v>
      </c>
      <c r="AW5" s="33"/>
      <c r="AX5" s="33"/>
      <c r="AY5" s="33">
        <v>242</v>
      </c>
      <c r="AZ5" s="33"/>
      <c r="BA5" s="33"/>
      <c r="BB5" s="33">
        <v>245</v>
      </c>
      <c r="BC5" s="33"/>
      <c r="BD5" s="33"/>
      <c r="BE5" s="33" t="s">
        <v>96</v>
      </c>
      <c r="BF5" s="33"/>
      <c r="BG5" s="33"/>
      <c r="BH5" s="33" t="s">
        <v>61</v>
      </c>
      <c r="BI5" s="33"/>
      <c r="BJ5" s="33"/>
      <c r="BK5" s="33" t="s">
        <v>55</v>
      </c>
      <c r="BL5" s="33"/>
      <c r="BM5" s="33"/>
      <c r="BN5" s="33">
        <v>353</v>
      </c>
      <c r="BO5" s="33"/>
      <c r="BP5" s="33"/>
      <c r="BQ5" s="33" t="s">
        <v>46</v>
      </c>
      <c r="BR5" s="33"/>
      <c r="BS5" s="33"/>
      <c r="BT5" s="33" t="s">
        <v>41</v>
      </c>
      <c r="BU5" s="33"/>
      <c r="BV5" s="33"/>
      <c r="BW5" s="33" t="s">
        <v>35</v>
      </c>
      <c r="BX5" s="33"/>
      <c r="BY5" s="33"/>
      <c r="BZ5" s="33" t="s">
        <v>29</v>
      </c>
      <c r="CA5" s="33"/>
      <c r="CB5" s="33"/>
      <c r="CC5" s="33" t="s">
        <v>25</v>
      </c>
      <c r="CD5" s="33"/>
      <c r="CE5" s="33"/>
      <c r="CF5" s="33" t="s">
        <v>21</v>
      </c>
      <c r="CG5" s="33"/>
      <c r="CH5" s="33"/>
      <c r="CI5" s="33" t="s">
        <v>19</v>
      </c>
      <c r="CJ5" s="33"/>
      <c r="CK5" s="33"/>
      <c r="CL5" s="33" t="s">
        <v>13</v>
      </c>
      <c r="CM5" s="33"/>
      <c r="CN5" s="33"/>
      <c r="CO5" s="33" t="s">
        <v>11</v>
      </c>
    </row>
    <row r="6" spans="1:93" ht="11.25" customHeight="1">
      <c r="A6" s="30" t="s">
        <v>147</v>
      </c>
      <c r="B6" s="63"/>
      <c r="C6" s="30"/>
      <c r="D6" s="30"/>
      <c r="E6" s="91"/>
      <c r="F6" s="35">
        <v>1</v>
      </c>
      <c r="G6" s="35"/>
      <c r="H6" s="35"/>
      <c r="I6" s="35">
        <v>2</v>
      </c>
      <c r="J6" s="35"/>
      <c r="K6" s="35"/>
      <c r="L6" s="35">
        <v>3</v>
      </c>
      <c r="M6" s="35"/>
      <c r="N6" s="35"/>
      <c r="O6" s="35">
        <v>4</v>
      </c>
      <c r="P6" s="35"/>
      <c r="Q6" s="35"/>
      <c r="R6" s="35">
        <v>5</v>
      </c>
      <c r="S6" s="35"/>
      <c r="T6" s="35"/>
      <c r="U6" s="35">
        <v>6</v>
      </c>
      <c r="V6" s="35"/>
      <c r="W6" s="35"/>
      <c r="X6" s="35">
        <v>7</v>
      </c>
      <c r="Y6" s="35"/>
      <c r="Z6" s="35"/>
      <c r="AA6" s="35">
        <v>8</v>
      </c>
      <c r="AB6" s="35"/>
      <c r="AC6" s="35"/>
      <c r="AD6" s="35">
        <v>9</v>
      </c>
      <c r="AE6" s="35"/>
      <c r="AF6" s="35"/>
      <c r="AG6" s="35">
        <v>10</v>
      </c>
      <c r="AH6" s="35"/>
      <c r="AI6" s="35"/>
      <c r="AJ6" s="35">
        <v>11</v>
      </c>
      <c r="AK6" s="35"/>
      <c r="AL6" s="35"/>
      <c r="AM6" s="35">
        <v>14</v>
      </c>
      <c r="AN6" s="35"/>
      <c r="AO6" s="35"/>
      <c r="AP6" s="35">
        <v>17</v>
      </c>
      <c r="AQ6" s="35"/>
      <c r="AR6" s="35"/>
      <c r="AS6" s="35">
        <v>20</v>
      </c>
      <c r="AT6" s="35"/>
      <c r="AU6" s="35"/>
      <c r="AV6" s="35">
        <v>23</v>
      </c>
      <c r="AW6" s="35"/>
      <c r="AX6" s="35"/>
      <c r="AY6" s="35">
        <v>26</v>
      </c>
      <c r="AZ6" s="35"/>
      <c r="BA6" s="35"/>
      <c r="BB6" s="35">
        <v>29</v>
      </c>
      <c r="BC6" s="35"/>
      <c r="BD6" s="35"/>
      <c r="BE6" s="35">
        <v>32</v>
      </c>
      <c r="BF6" s="35"/>
      <c r="BG6" s="35"/>
      <c r="BH6" s="35">
        <v>35</v>
      </c>
      <c r="BI6" s="35"/>
      <c r="BJ6" s="35"/>
      <c r="BK6" s="35">
        <v>38</v>
      </c>
      <c r="BL6" s="35"/>
      <c r="BM6" s="35"/>
      <c r="BN6" s="35">
        <v>41</v>
      </c>
      <c r="BO6" s="35"/>
      <c r="BP6" s="35"/>
      <c r="BQ6" s="35">
        <v>44</v>
      </c>
      <c r="BR6" s="35"/>
      <c r="BS6" s="35"/>
      <c r="BT6" s="35">
        <v>47</v>
      </c>
      <c r="BU6" s="35"/>
      <c r="BV6" s="35"/>
      <c r="BW6" s="35">
        <v>50</v>
      </c>
      <c r="BX6" s="35"/>
      <c r="BY6" s="35"/>
      <c r="BZ6" s="35">
        <v>53</v>
      </c>
      <c r="CA6" s="35"/>
      <c r="CB6" s="35"/>
      <c r="CC6" s="35">
        <v>56</v>
      </c>
      <c r="CD6" s="35"/>
      <c r="CE6" s="35"/>
      <c r="CF6" s="35">
        <v>59</v>
      </c>
      <c r="CG6" s="35"/>
      <c r="CH6" s="35"/>
      <c r="CI6" s="35">
        <v>62</v>
      </c>
      <c r="CJ6" s="35"/>
      <c r="CK6" s="35"/>
      <c r="CL6" s="35">
        <v>65</v>
      </c>
      <c r="CM6" s="35"/>
      <c r="CN6" s="35"/>
      <c r="CO6" s="35">
        <v>68</v>
      </c>
    </row>
    <row r="7" spans="1:93" ht="22.5">
      <c r="A7" s="38">
        <v>1</v>
      </c>
      <c r="B7" s="68" t="s">
        <v>103</v>
      </c>
      <c r="C7" s="46" t="s">
        <v>189</v>
      </c>
      <c r="D7" s="101">
        <f>E7*F7</f>
        <v>0.67345323049709205</v>
      </c>
      <c r="E7" s="92">
        <v>0.59513238438994831</v>
      </c>
      <c r="F7" s="57">
        <v>1.1316023932850301</v>
      </c>
      <c r="G7" s="101">
        <f>H7*I7</f>
        <v>4.6615046239879502E-3</v>
      </c>
      <c r="H7" s="92">
        <v>0.59513238438994831</v>
      </c>
      <c r="I7" s="57">
        <v>7.8327188139262725E-3</v>
      </c>
      <c r="J7" s="101">
        <f>K7*L7</f>
        <v>1.3570866348878283E-3</v>
      </c>
      <c r="K7" s="92">
        <v>0.59513238438994831</v>
      </c>
      <c r="L7" s="57">
        <v>2.2803105165902465E-3</v>
      </c>
      <c r="M7" s="101">
        <f>N7*O7</f>
        <v>9.1257102798347468E-5</v>
      </c>
      <c r="N7" s="92">
        <v>0.59513238438994831</v>
      </c>
      <c r="O7" s="57">
        <v>1.5333916485135032E-4</v>
      </c>
      <c r="P7" s="101">
        <f>Q7*R7</f>
        <v>1.4105998102945295E-4</v>
      </c>
      <c r="Q7" s="92">
        <v>0.59513238438994831</v>
      </c>
      <c r="R7" s="57">
        <v>2.3702286202094202E-4</v>
      </c>
      <c r="S7" s="101">
        <f>T7*U7</f>
        <v>1.3054610805914284E-4</v>
      </c>
      <c r="T7" s="92">
        <v>0.59513238438994831</v>
      </c>
      <c r="U7" s="57">
        <v>2.1935641797238376E-4</v>
      </c>
      <c r="V7" s="101">
        <f>W7*X7</f>
        <v>2.4717798525482945E-4</v>
      </c>
      <c r="W7" s="92">
        <v>0.59513238438994831</v>
      </c>
      <c r="X7" s="57">
        <v>4.1533277593052499E-4</v>
      </c>
      <c r="Y7" s="101">
        <f>Z7*AA7</f>
        <v>1.3771994163528959E-4</v>
      </c>
      <c r="Z7" s="92">
        <v>0.59513238438994831</v>
      </c>
      <c r="AA7" s="57">
        <v>2.3141059913327016E-4</v>
      </c>
      <c r="AB7" s="101">
        <f>AC7*AD7</f>
        <v>1.727490277647329E-4</v>
      </c>
      <c r="AC7" s="92">
        <v>0.59513238438994831</v>
      </c>
      <c r="AD7" s="57">
        <v>2.9026991690565211E-4</v>
      </c>
      <c r="AE7" s="101">
        <f>AF7*AG7</f>
        <v>1.1917018077525551E-4</v>
      </c>
      <c r="AF7" s="92">
        <v>0.59513238438994831</v>
      </c>
      <c r="AG7" s="57">
        <v>2.0024146543027254E-4</v>
      </c>
      <c r="AH7" s="101">
        <f>AI7*AJ7</f>
        <v>0.1152672907860167</v>
      </c>
      <c r="AI7" s="92">
        <v>0.59513238438994831</v>
      </c>
      <c r="AJ7" s="57">
        <v>0.19368344558189959</v>
      </c>
      <c r="AK7" s="101">
        <f>AL7*AM7</f>
        <v>8.280117660906679E-5</v>
      </c>
      <c r="AL7" s="92">
        <v>0.59513238438994831</v>
      </c>
      <c r="AM7" s="57">
        <v>1.3913068550948325E-4</v>
      </c>
      <c r="AN7" s="101">
        <f>AO7*AP7</f>
        <v>1.2834833450656061E-4</v>
      </c>
      <c r="AO7" s="92">
        <v>0.59513238438994831</v>
      </c>
      <c r="AP7" s="57">
        <v>2.1566350256359599E-4</v>
      </c>
      <c r="AQ7" s="101">
        <f>AR7*AS7</f>
        <v>1.5402834363629719E-4</v>
      </c>
      <c r="AR7" s="92">
        <v>0.59513238438994831</v>
      </c>
      <c r="AS7" s="57">
        <v>2.5881358110630602E-4</v>
      </c>
      <c r="AT7" s="101">
        <f>AU7*AV7</f>
        <v>1.0843702194215461E-3</v>
      </c>
      <c r="AU7" s="92">
        <v>0.59513238438994831</v>
      </c>
      <c r="AV7" s="57">
        <v>1.8220655569484766E-3</v>
      </c>
      <c r="AW7" s="101">
        <f>AX7*AY7</f>
        <v>4.0916380543006482E-5</v>
      </c>
      <c r="AX7" s="92">
        <v>0.59513238438994831</v>
      </c>
      <c r="AY7" s="57">
        <v>6.875172922231176E-5</v>
      </c>
      <c r="AZ7" s="101">
        <f>BA7*BB7</f>
        <v>1.1404815783471462E-4</v>
      </c>
      <c r="BA7" s="92">
        <v>0.59513238438994831</v>
      </c>
      <c r="BB7" s="57">
        <v>1.9163493842067061E-4</v>
      </c>
      <c r="BC7" s="101">
        <f>BD7*BE7</f>
        <v>2.8542519185479485E-5</v>
      </c>
      <c r="BD7" s="92">
        <v>0.59513238438994831</v>
      </c>
      <c r="BE7" s="57">
        <v>4.7959949641687762E-5</v>
      </c>
      <c r="BF7" s="101">
        <f>BG7*BH7</f>
        <v>6.433441854432093E-5</v>
      </c>
      <c r="BG7" s="92">
        <v>0.59513238438994831</v>
      </c>
      <c r="BH7" s="57">
        <v>1.0810102127154136E-4</v>
      </c>
      <c r="BI7" s="101">
        <f>BJ7*BK7</f>
        <v>9.7653115132461719E-5</v>
      </c>
      <c r="BJ7" s="92">
        <v>0.59513238438994831</v>
      </c>
      <c r="BK7" s="57">
        <v>1.6408637421497888E-4</v>
      </c>
      <c r="BL7" s="101">
        <f>BM7*BN7</f>
        <v>9.7454914544212854E-5</v>
      </c>
      <c r="BM7" s="92">
        <v>0.59513238438994831</v>
      </c>
      <c r="BN7" s="57">
        <v>1.637533380814268E-4</v>
      </c>
      <c r="BO7" s="101">
        <f>BP7*BQ7</f>
        <v>7.6031749842123863E-5</v>
      </c>
      <c r="BP7" s="92">
        <v>0.59513238438994831</v>
      </c>
      <c r="BQ7" s="57">
        <v>1.2775602846761843E-4</v>
      </c>
      <c r="BR7" s="101">
        <f>BS7*BT7</f>
        <v>1.2440699925284188E-4</v>
      </c>
      <c r="BS7" s="92">
        <v>0.59513238438994831</v>
      </c>
      <c r="BT7" s="57">
        <v>2.0904088319839565E-4</v>
      </c>
      <c r="BU7" s="101">
        <f>BV7*BW7</f>
        <v>5.6105190226514627E-5</v>
      </c>
      <c r="BV7" s="92">
        <v>0.59513238438994831</v>
      </c>
      <c r="BW7" s="57">
        <v>9.4273462002956383E-5</v>
      </c>
      <c r="BX7" s="101">
        <f>BY7*BZ7</f>
        <v>0.10505587801569903</v>
      </c>
      <c r="BY7" s="92">
        <v>0.59513238438994831</v>
      </c>
      <c r="BZ7" s="57">
        <v>0.17652522492686823</v>
      </c>
      <c r="CA7" s="101">
        <f>CB7*CC7</f>
        <v>6.793922353313833E-4</v>
      </c>
      <c r="CB7" s="92">
        <v>0.59513238438994831</v>
      </c>
      <c r="CC7" s="57">
        <v>1.1415816936727568E-3</v>
      </c>
      <c r="CD7" s="101">
        <f>CE7*CF7</f>
        <v>1.2521881363850295E-4</v>
      </c>
      <c r="CE7" s="92">
        <v>0.59513238438994831</v>
      </c>
      <c r="CF7" s="57">
        <v>2.1040497362088747E-4</v>
      </c>
      <c r="CG7" s="101">
        <f>CH7*CI7</f>
        <v>2.7027069035961701E-3</v>
      </c>
      <c r="CH7" s="92">
        <v>0.59513238438994831</v>
      </c>
      <c r="CI7" s="57">
        <v>4.541354116305788E-3</v>
      </c>
      <c r="CJ7" s="101">
        <f>CK7*CL7</f>
        <v>7.9177804625264504E-3</v>
      </c>
      <c r="CK7" s="92">
        <v>0.59513238438994831</v>
      </c>
      <c r="CL7" s="57">
        <v>1.3304233932157331E-2</v>
      </c>
      <c r="CM7" s="101">
        <f>CN7*CO7</f>
        <v>0</v>
      </c>
      <c r="CN7" s="92">
        <v>0.59513238438994831</v>
      </c>
      <c r="CO7" s="57">
        <v>0</v>
      </c>
    </row>
    <row r="8" spans="1:93" ht="22.5">
      <c r="A8" s="38">
        <v>2</v>
      </c>
      <c r="B8" s="68" t="s">
        <v>91</v>
      </c>
      <c r="C8" s="46" t="s">
        <v>134</v>
      </c>
      <c r="D8" s="101">
        <f t="shared" ref="D8:D71" si="0">E8*F8</f>
        <v>1.431396448363904E-5</v>
      </c>
      <c r="E8" s="92">
        <v>0.62466366280764507</v>
      </c>
      <c r="F8" s="57">
        <v>2.2914674465459968E-5</v>
      </c>
      <c r="G8" s="101">
        <f t="shared" ref="G8:G71" si="1">H8*I8</f>
        <v>0.90987649907874646</v>
      </c>
      <c r="H8" s="92">
        <v>0.62466366280764507</v>
      </c>
      <c r="I8" s="57">
        <v>1.4565862451309706</v>
      </c>
      <c r="J8" s="101">
        <f t="shared" ref="J8:J71" si="2">K8*L8</f>
        <v>1.5444501213821433E-5</v>
      </c>
      <c r="K8" s="92">
        <v>0.62466366280764507</v>
      </c>
      <c r="L8" s="57">
        <v>2.4724507176235917E-5</v>
      </c>
      <c r="M8" s="101">
        <f t="shared" ref="M8:M71" si="3">N8*O8</f>
        <v>6.6302872171680407E-5</v>
      </c>
      <c r="N8" s="92">
        <v>0.62466366280764507</v>
      </c>
      <c r="O8" s="57">
        <v>1.0614171452469661E-4</v>
      </c>
      <c r="P8" s="101">
        <f t="shared" ref="P8:P71" si="4">Q8*R8</f>
        <v>1.1707361349525084E-5</v>
      </c>
      <c r="Q8" s="92">
        <v>0.62466366280764507</v>
      </c>
      <c r="R8" s="57">
        <v>1.874186389665213E-5</v>
      </c>
      <c r="S8" s="101">
        <f t="shared" ref="S8:S71" si="5">T8*U8</f>
        <v>1.126702249752029E-5</v>
      </c>
      <c r="T8" s="92">
        <v>0.62466366280764507</v>
      </c>
      <c r="U8" s="57">
        <v>1.8036942387330418E-5</v>
      </c>
      <c r="V8" s="101">
        <f t="shared" ref="V8:V71" si="6">W8*X8</f>
        <v>1.1498121103282864E-5</v>
      </c>
      <c r="W8" s="92">
        <v>0.62466366280764507</v>
      </c>
      <c r="X8" s="57">
        <v>1.8406899244951793E-5</v>
      </c>
      <c r="Y8" s="101">
        <f t="shared" ref="Y8:Y71" si="7">Z8*AA8</f>
        <v>6.6691039567700518E-6</v>
      </c>
      <c r="Z8" s="92">
        <v>0.62466366280764507</v>
      </c>
      <c r="AA8" s="57">
        <v>1.0676311675942151E-5</v>
      </c>
      <c r="AB8" s="101">
        <f t="shared" ref="AB8:AB71" si="8">AC8*AD8</f>
        <v>2.0712967684507487E-5</v>
      </c>
      <c r="AC8" s="92">
        <v>0.62466366280764507</v>
      </c>
      <c r="AD8" s="57">
        <v>3.3158592243720289E-5</v>
      </c>
      <c r="AE8" s="101">
        <f t="shared" ref="AE8:AE71" si="9">AF8*AG8</f>
        <v>4.1771417486981059E-5</v>
      </c>
      <c r="AF8" s="92">
        <v>0.62466366280764507</v>
      </c>
      <c r="AG8" s="57">
        <v>6.6870253504474901E-5</v>
      </c>
      <c r="AH8" s="101">
        <f t="shared" ref="AH8:AH71" si="10">AI8*AJ8</f>
        <v>6.3151013181190122E-6</v>
      </c>
      <c r="AI8" s="92">
        <v>0.62466366280764507</v>
      </c>
      <c r="AJ8" s="57">
        <v>1.0109602485495693E-5</v>
      </c>
      <c r="AK8" s="101">
        <f t="shared" ref="AK8:AK71" si="11">AL8*AM8</f>
        <v>8.332444506092643E-8</v>
      </c>
      <c r="AL8" s="92">
        <v>0.62466366280764507</v>
      </c>
      <c r="AM8" s="57">
        <v>1.3339089500806264E-7</v>
      </c>
      <c r="AN8" s="101">
        <f t="shared" ref="AN8:AN71" si="12">AO8*AP8</f>
        <v>5.4945746127575917E-4</v>
      </c>
      <c r="AO8" s="92">
        <v>0.62466366280764507</v>
      </c>
      <c r="AP8" s="57">
        <v>8.7960528839814325E-4</v>
      </c>
      <c r="AQ8" s="101">
        <f t="shared" ref="AQ8:AQ71" si="13">AR8*AS8</f>
        <v>6.5793087766144685E-6</v>
      </c>
      <c r="AR8" s="92">
        <v>0.62466366280764507</v>
      </c>
      <c r="AS8" s="57">
        <v>1.0532562030329686E-5</v>
      </c>
      <c r="AT8" s="101">
        <f t="shared" ref="AT8:AT71" si="14">AU8*AV8</f>
        <v>4.3251204915756031E-6</v>
      </c>
      <c r="AU8" s="92">
        <v>0.62466366280764507</v>
      </c>
      <c r="AV8" s="57">
        <v>6.9239188207870079E-6</v>
      </c>
      <c r="AW8" s="101">
        <f t="shared" ref="AW8:AW71" si="15">AX8*AY8</f>
        <v>1.5409272284095457E-6</v>
      </c>
      <c r="AX8" s="92">
        <v>0.62466366280764507</v>
      </c>
      <c r="AY8" s="57">
        <v>2.4668110539415978E-6</v>
      </c>
      <c r="AZ8" s="101">
        <f t="shared" ref="AZ8:AZ71" si="16">BA8*BB8</f>
        <v>4.2820233720650559E-6</v>
      </c>
      <c r="BA8" s="92">
        <v>0.62466366280764507</v>
      </c>
      <c r="BB8" s="57">
        <v>6.854926301970016E-6</v>
      </c>
      <c r="BC8" s="101">
        <f t="shared" ref="BC8:BC71" si="17">BD8*BE8</f>
        <v>1.1542605208434437E-6</v>
      </c>
      <c r="BD8" s="92">
        <v>0.62466366280764507</v>
      </c>
      <c r="BE8" s="57">
        <v>1.8478112135664266E-6</v>
      </c>
      <c r="BF8" s="101">
        <f t="shared" ref="BF8:BF71" si="18">BG8*BH8</f>
        <v>1.8130049129637916E-6</v>
      </c>
      <c r="BG8" s="92">
        <v>0.62466366280764507</v>
      </c>
      <c r="BH8" s="57">
        <v>2.902369740565615E-6</v>
      </c>
      <c r="BI8" s="101">
        <f t="shared" ref="BI8:BI71" si="19">BJ8*BK8</f>
        <v>7.5013635587998558E-6</v>
      </c>
      <c r="BJ8" s="92">
        <v>0.62466366280764507</v>
      </c>
      <c r="BK8" s="57">
        <v>1.2008644019861577E-5</v>
      </c>
      <c r="BL8" s="101">
        <f t="shared" ref="BL8:BL71" si="20">BM8*BN8</f>
        <v>7.4930432996958915E-5</v>
      </c>
      <c r="BM8" s="92">
        <v>0.62466366280764507</v>
      </c>
      <c r="BN8" s="57">
        <v>1.199532443750174E-4</v>
      </c>
      <c r="BO8" s="101">
        <f t="shared" ref="BO8:BO71" si="21">BP8*BQ8</f>
        <v>3.1678092761522865E-6</v>
      </c>
      <c r="BP8" s="92">
        <v>0.62466366280764507</v>
      </c>
      <c r="BQ8" s="57">
        <v>5.0712238677596354E-6</v>
      </c>
      <c r="BR8" s="101">
        <f t="shared" ref="BR8:BR71" si="22">BS8*BT8</f>
        <v>9.2359906326294286E-6</v>
      </c>
      <c r="BS8" s="92">
        <v>0.62466366280764507</v>
      </c>
      <c r="BT8" s="57">
        <v>1.4785541696337636E-5</v>
      </c>
      <c r="BU8" s="101">
        <f t="shared" ref="BU8:BU71" si="23">BV8*BW8</f>
        <v>2.6093158395878152E-5</v>
      </c>
      <c r="BV8" s="92">
        <v>0.62466366280764507</v>
      </c>
      <c r="BW8" s="57">
        <v>4.1771532345260034E-5</v>
      </c>
      <c r="BX8" s="101">
        <f t="shared" ref="BX8:BX71" si="24">BY8*BZ8</f>
        <v>2.4526720516430067E-5</v>
      </c>
      <c r="BY8" s="92">
        <v>0.62466366280764507</v>
      </c>
      <c r="BZ8" s="57">
        <v>3.9263882272567321E-5</v>
      </c>
      <c r="CA8" s="101">
        <f t="shared" ref="CA8:CA71" si="25">CB8*CC8</f>
        <v>9.9606907089208848E-6</v>
      </c>
      <c r="CB8" s="92">
        <v>0.62466366280764507</v>
      </c>
      <c r="CC8" s="57">
        <v>1.5945686137962721E-5</v>
      </c>
      <c r="CD8" s="101">
        <f t="shared" ref="CD8:CD71" si="26">CE8*CF8</f>
        <v>2.0855341231958803E-5</v>
      </c>
      <c r="CE8" s="92">
        <v>0.62466366280764507</v>
      </c>
      <c r="CF8" s="57">
        <v>3.3386512572575979E-5</v>
      </c>
      <c r="CG8" s="101">
        <f t="shared" ref="CG8:CG71" si="27">CH8*CI8</f>
        <v>5.2074685207195346E-4</v>
      </c>
      <c r="CH8" s="92">
        <v>0.62466366280764507</v>
      </c>
      <c r="CI8" s="57">
        <v>8.3364357986084577E-4</v>
      </c>
      <c r="CJ8" s="101">
        <f t="shared" ref="CJ8:CJ71" si="28">CK8*CL8</f>
        <v>1.1960310912741751E-4</v>
      </c>
      <c r="CK8" s="92">
        <v>0.62466366280764507</v>
      </c>
      <c r="CL8" s="57">
        <v>1.9146801110511743E-4</v>
      </c>
      <c r="CM8" s="101">
        <f>CN8*CO8</f>
        <v>0</v>
      </c>
      <c r="CN8" s="92">
        <v>0.62466366280764507</v>
      </c>
      <c r="CO8" s="57">
        <v>0</v>
      </c>
    </row>
    <row r="9" spans="1:93" ht="33.75">
      <c r="A9" s="38">
        <v>3</v>
      </c>
      <c r="B9" s="68" t="s">
        <v>90</v>
      </c>
      <c r="C9" s="46" t="s">
        <v>89</v>
      </c>
      <c r="D9" s="101">
        <f t="shared" si="0"/>
        <v>1.8387568929794055E-5</v>
      </c>
      <c r="E9" s="92">
        <v>0.84071294559921872</v>
      </c>
      <c r="F9" s="57">
        <v>2.1871399775684797E-5</v>
      </c>
      <c r="G9" s="101">
        <f t="shared" si="1"/>
        <v>1.5435135973162715E-7</v>
      </c>
      <c r="H9" s="92">
        <v>0.84071294559921872</v>
      </c>
      <c r="I9" s="57">
        <v>1.8359579276088476E-7</v>
      </c>
      <c r="J9" s="101">
        <f t="shared" si="2"/>
        <v>0.84093844696889797</v>
      </c>
      <c r="K9" s="92">
        <v>0.84071294559921872</v>
      </c>
      <c r="L9" s="57">
        <v>1.0002682263558087</v>
      </c>
      <c r="M9" s="101">
        <f t="shared" si="3"/>
        <v>7.7435074492466584E-7</v>
      </c>
      <c r="N9" s="92">
        <v>0.84071294559921872</v>
      </c>
      <c r="O9" s="57">
        <v>9.2106437634637211E-7</v>
      </c>
      <c r="P9" s="101">
        <f t="shared" si="4"/>
        <v>1.6930924782588698E-6</v>
      </c>
      <c r="Q9" s="92">
        <v>0.84071294559921872</v>
      </c>
      <c r="R9" s="57">
        <v>2.0138770160748709E-6</v>
      </c>
      <c r="S9" s="101">
        <f t="shared" si="5"/>
        <v>1.5019215089567106E-6</v>
      </c>
      <c r="T9" s="92">
        <v>0.84071294559921872</v>
      </c>
      <c r="U9" s="57">
        <v>1.7864855261461629E-6</v>
      </c>
      <c r="V9" s="101">
        <f t="shared" si="6"/>
        <v>8.9741474288310796E-7</v>
      </c>
      <c r="W9" s="92">
        <v>0.84071294559921872</v>
      </c>
      <c r="X9" s="57">
        <v>1.0674448961214401E-6</v>
      </c>
      <c r="Y9" s="101">
        <f t="shared" si="7"/>
        <v>5.7747852613385493E-7</v>
      </c>
      <c r="Z9" s="92">
        <v>0.84071294559921872</v>
      </c>
      <c r="AA9" s="57">
        <v>6.8689144036227103E-7</v>
      </c>
      <c r="AB9" s="101">
        <f t="shared" si="8"/>
        <v>2.3115529751573645E-6</v>
      </c>
      <c r="AC9" s="92">
        <v>0.84071294559921872</v>
      </c>
      <c r="AD9" s="57">
        <v>2.7495151433760827E-6</v>
      </c>
      <c r="AE9" s="101">
        <f t="shared" si="9"/>
        <v>1.3049152028428953E-6</v>
      </c>
      <c r="AF9" s="92">
        <v>0.84071294559921872</v>
      </c>
      <c r="AG9" s="57">
        <v>1.5521530977649166E-6</v>
      </c>
      <c r="AH9" s="101">
        <f t="shared" si="10"/>
        <v>7.4972120706960697E-4</v>
      </c>
      <c r="AI9" s="92">
        <v>0.84071294559921872</v>
      </c>
      <c r="AJ9" s="57">
        <v>8.9176836278551965E-4</v>
      </c>
      <c r="AK9" s="101">
        <f t="shared" si="11"/>
        <v>3.2823178011294562E-8</v>
      </c>
      <c r="AL9" s="92">
        <v>0.84071294559921872</v>
      </c>
      <c r="AM9" s="57">
        <v>3.9042075161456948E-8</v>
      </c>
      <c r="AN9" s="101">
        <f t="shared" si="12"/>
        <v>5.9786234729632868E-7</v>
      </c>
      <c r="AO9" s="92">
        <v>0.84071294559921872</v>
      </c>
      <c r="AP9" s="57">
        <v>7.1113731556756502E-7</v>
      </c>
      <c r="AQ9" s="101">
        <f t="shared" si="13"/>
        <v>8.3159453037753388E-7</v>
      </c>
      <c r="AR9" s="92">
        <v>0.84071294559921872</v>
      </c>
      <c r="AS9" s="57">
        <v>9.8915394931240684E-7</v>
      </c>
      <c r="AT9" s="101">
        <f t="shared" si="14"/>
        <v>6.7908564635111581E-7</v>
      </c>
      <c r="AU9" s="92">
        <v>0.84071294559921872</v>
      </c>
      <c r="AV9" s="57">
        <v>8.077497199321667E-7</v>
      </c>
      <c r="AW9" s="101">
        <f t="shared" si="15"/>
        <v>1.885316516823646E-7</v>
      </c>
      <c r="AX9" s="92">
        <v>0.84071294559921872</v>
      </c>
      <c r="AY9" s="57">
        <v>2.2425210967578063E-7</v>
      </c>
      <c r="AZ9" s="101">
        <f t="shared" si="16"/>
        <v>4.9560015248423962E-7</v>
      </c>
      <c r="BA9" s="92">
        <v>0.84071294559921872</v>
      </c>
      <c r="BB9" s="57">
        <v>5.8949984662244047E-7</v>
      </c>
      <c r="BC9" s="101">
        <f t="shared" si="17"/>
        <v>1.2264360503397594E-7</v>
      </c>
      <c r="BD9" s="92">
        <v>0.84071294559921872</v>
      </c>
      <c r="BE9" s="57">
        <v>1.4588047641702678E-7</v>
      </c>
      <c r="BF9" s="101">
        <f t="shared" si="18"/>
        <v>2.2531958806306189E-7</v>
      </c>
      <c r="BG9" s="92">
        <v>0.84071294559921872</v>
      </c>
      <c r="BH9" s="57">
        <v>2.6801013264101127E-7</v>
      </c>
      <c r="BI9" s="101">
        <f t="shared" si="19"/>
        <v>6.6588737819555704E-7</v>
      </c>
      <c r="BJ9" s="92">
        <v>0.84071294559921872</v>
      </c>
      <c r="BK9" s="57">
        <v>7.9205082029627287E-7</v>
      </c>
      <c r="BL9" s="101">
        <f t="shared" si="20"/>
        <v>4.9382034635227491E-7</v>
      </c>
      <c r="BM9" s="92">
        <v>0.84071294559921872</v>
      </c>
      <c r="BN9" s="57">
        <v>5.8738282660831888E-7</v>
      </c>
      <c r="BO9" s="101">
        <f t="shared" si="21"/>
        <v>4.0103139059363044E-7</v>
      </c>
      <c r="BP9" s="92">
        <v>0.84071294559921872</v>
      </c>
      <c r="BQ9" s="57">
        <v>4.7701345946064273E-7</v>
      </c>
      <c r="BR9" s="101">
        <f t="shared" si="22"/>
        <v>9.3032559929397762E-7</v>
      </c>
      <c r="BS9" s="92">
        <v>0.84071294559921872</v>
      </c>
      <c r="BT9" s="57">
        <v>1.1065912618139685E-6</v>
      </c>
      <c r="BU9" s="101">
        <f t="shared" si="23"/>
        <v>5.0637842054384608E-7</v>
      </c>
      <c r="BV9" s="92">
        <v>0.84071294559921872</v>
      </c>
      <c r="BW9" s="57">
        <v>6.0232023688290476E-7</v>
      </c>
      <c r="BX9" s="101">
        <f t="shared" si="24"/>
        <v>3.6770949663179368E-3</v>
      </c>
      <c r="BY9" s="92">
        <v>0.84071294559921872</v>
      </c>
      <c r="BZ9" s="57">
        <v>4.3737817831472608E-3</v>
      </c>
      <c r="CA9" s="101">
        <f t="shared" si="25"/>
        <v>6.1970357008426212E-6</v>
      </c>
      <c r="CB9" s="92">
        <v>0.84071294559921872</v>
      </c>
      <c r="CC9" s="57">
        <v>7.3711672138290676E-6</v>
      </c>
      <c r="CD9" s="101">
        <f t="shared" si="26"/>
        <v>1.1510219610757478E-6</v>
      </c>
      <c r="CE9" s="92">
        <v>0.84071294559921872</v>
      </c>
      <c r="CF9" s="57">
        <v>1.3691022210385451E-6</v>
      </c>
      <c r="CG9" s="101">
        <f t="shared" si="27"/>
        <v>5.6888859945399711E-4</v>
      </c>
      <c r="CH9" s="92">
        <v>0.84071294559921872</v>
      </c>
      <c r="CI9" s="57">
        <v>6.7667400916316496E-4</v>
      </c>
      <c r="CJ9" s="101">
        <f t="shared" si="28"/>
        <v>1.1124197191952144E-3</v>
      </c>
      <c r="CK9" s="92">
        <v>0.84071294559921872</v>
      </c>
      <c r="CL9" s="57">
        <v>1.3231861422121156E-3</v>
      </c>
      <c r="CM9" s="101">
        <f t="shared" ref="CM9:CM71" si="29">CN9*CO9</f>
        <v>0</v>
      </c>
      <c r="CN9" s="92">
        <v>0.84071294559921872</v>
      </c>
      <c r="CO9" s="57">
        <v>0</v>
      </c>
    </row>
    <row r="10" spans="1:93">
      <c r="A10" s="38">
        <v>4</v>
      </c>
      <c r="B10" s="68" t="s">
        <v>88</v>
      </c>
      <c r="C10" s="46" t="s">
        <v>87</v>
      </c>
      <c r="D10" s="101">
        <f t="shared" si="0"/>
        <v>3.7034664375861615E-4</v>
      </c>
      <c r="E10" s="92">
        <v>0.60025688893482287</v>
      </c>
      <c r="F10" s="57">
        <v>6.1698024726681503E-4</v>
      </c>
      <c r="G10" s="101">
        <f t="shared" si="1"/>
        <v>2.9503016727617791E-5</v>
      </c>
      <c r="H10" s="92">
        <v>0.60025688893482287</v>
      </c>
      <c r="I10" s="57">
        <v>4.9150650782154188E-5</v>
      </c>
      <c r="J10" s="101">
        <f t="shared" si="2"/>
        <v>9.8308427824988375E-5</v>
      </c>
      <c r="K10" s="92">
        <v>0.60025688893482287</v>
      </c>
      <c r="L10" s="57">
        <v>1.6377725876572639E-4</v>
      </c>
      <c r="M10" s="101">
        <f t="shared" si="3"/>
        <v>0.60924459842125234</v>
      </c>
      <c r="N10" s="92">
        <v>0.60025688893482287</v>
      </c>
      <c r="O10" s="57">
        <v>1.0149731051023478</v>
      </c>
      <c r="P10" s="101">
        <f t="shared" si="4"/>
        <v>7.4847618497368219E-4</v>
      </c>
      <c r="Q10" s="92">
        <v>0.60025688893482287</v>
      </c>
      <c r="R10" s="57">
        <v>1.2469264389482972E-3</v>
      </c>
      <c r="S10" s="101">
        <f t="shared" si="5"/>
        <v>3.1881119259461154E-4</v>
      </c>
      <c r="T10" s="92">
        <v>0.60025688893482287</v>
      </c>
      <c r="U10" s="57">
        <v>5.3112458760840432E-4</v>
      </c>
      <c r="V10" s="101">
        <f t="shared" si="6"/>
        <v>1.6298145375154343E-3</v>
      </c>
      <c r="W10" s="92">
        <v>0.60025688893482287</v>
      </c>
      <c r="X10" s="57">
        <v>2.7151950565825209E-3</v>
      </c>
      <c r="Y10" s="101">
        <f t="shared" si="7"/>
        <v>4.2181583458489021E-4</v>
      </c>
      <c r="Z10" s="92">
        <v>0.60025688893482287</v>
      </c>
      <c r="AA10" s="57">
        <v>7.0272552029084976E-4</v>
      </c>
      <c r="AB10" s="101">
        <f t="shared" si="8"/>
        <v>7.5207003839421085E-4</v>
      </c>
      <c r="AC10" s="92">
        <v>0.60025688893482287</v>
      </c>
      <c r="AD10" s="57">
        <v>1.2529136312434261E-3</v>
      </c>
      <c r="AE10" s="101">
        <f t="shared" si="9"/>
        <v>7.385812175458562E-4</v>
      </c>
      <c r="AF10" s="92">
        <v>0.60025688893482287</v>
      </c>
      <c r="AG10" s="57">
        <v>1.2304418844013515E-3</v>
      </c>
      <c r="AH10" s="101">
        <f t="shared" si="10"/>
        <v>2.6434931655346398E-4</v>
      </c>
      <c r="AI10" s="92">
        <v>0.60025688893482287</v>
      </c>
      <c r="AJ10" s="57">
        <v>4.4039364050042177E-4</v>
      </c>
      <c r="AK10" s="101">
        <f t="shared" si="11"/>
        <v>6.5677759441426844E-6</v>
      </c>
      <c r="AL10" s="92">
        <v>0.60025688893482287</v>
      </c>
      <c r="AM10" s="57">
        <v>1.0941608609936049E-5</v>
      </c>
      <c r="AN10" s="101">
        <f t="shared" si="12"/>
        <v>7.0276965228324788E-5</v>
      </c>
      <c r="AO10" s="92">
        <v>0.60025688893482287</v>
      </c>
      <c r="AP10" s="57">
        <v>1.1707814857907545E-4</v>
      </c>
      <c r="AQ10" s="101">
        <f t="shared" si="13"/>
        <v>1.4861066313960677E-3</v>
      </c>
      <c r="AR10" s="92">
        <v>0.60025688893482287</v>
      </c>
      <c r="AS10" s="57">
        <v>2.4757843829717914E-3</v>
      </c>
      <c r="AT10" s="101">
        <f t="shared" si="14"/>
        <v>7.6148272594696548E-5</v>
      </c>
      <c r="AU10" s="92">
        <v>0.60025688893482287</v>
      </c>
      <c r="AV10" s="57">
        <v>1.2685947299967578E-4</v>
      </c>
      <c r="AW10" s="101">
        <f t="shared" si="15"/>
        <v>4.1876645456520513E-4</v>
      </c>
      <c r="AX10" s="92">
        <v>0.60025688893482287</v>
      </c>
      <c r="AY10" s="57">
        <v>6.9764539530453541E-4</v>
      </c>
      <c r="AZ10" s="101">
        <f t="shared" si="16"/>
        <v>5.1253226787963428E-4</v>
      </c>
      <c r="BA10" s="92">
        <v>0.60025688893482287</v>
      </c>
      <c r="BB10" s="57">
        <v>8.5385487001930283E-4</v>
      </c>
      <c r="BC10" s="101">
        <f t="shared" si="17"/>
        <v>1.0648565511851645E-4</v>
      </c>
      <c r="BD10" s="92">
        <v>0.60025688893482287</v>
      </c>
      <c r="BE10" s="57">
        <v>1.7740013830991431E-4</v>
      </c>
      <c r="BF10" s="101">
        <f t="shared" si="18"/>
        <v>2.8563644930511945E-4</v>
      </c>
      <c r="BG10" s="92">
        <v>0.60025688893482287</v>
      </c>
      <c r="BH10" s="57">
        <v>4.7585701150717563E-4</v>
      </c>
      <c r="BI10" s="101">
        <f t="shared" si="19"/>
        <v>9.5345713487831989E-4</v>
      </c>
      <c r="BJ10" s="92">
        <v>0.60025688893482287</v>
      </c>
      <c r="BK10" s="57">
        <v>1.5884151476716301E-3</v>
      </c>
      <c r="BL10" s="101">
        <f t="shared" si="20"/>
        <v>2.3264307361773019E-2</v>
      </c>
      <c r="BM10" s="92">
        <v>0.60025688893482287</v>
      </c>
      <c r="BN10" s="57">
        <v>3.8757251754421941E-2</v>
      </c>
      <c r="BO10" s="101">
        <f t="shared" si="21"/>
        <v>2.5806156293783867E-4</v>
      </c>
      <c r="BP10" s="92">
        <v>0.60025688893482287</v>
      </c>
      <c r="BQ10" s="57">
        <v>4.2991853603842529E-4</v>
      </c>
      <c r="BR10" s="101">
        <f t="shared" si="22"/>
        <v>7.9963460404021761E-3</v>
      </c>
      <c r="BS10" s="92">
        <v>0.60025688893482287</v>
      </c>
      <c r="BT10" s="57">
        <v>1.332153980705157E-2</v>
      </c>
      <c r="BU10" s="101">
        <f t="shared" si="23"/>
        <v>8.0895055700538313E-4</v>
      </c>
      <c r="BV10" s="92">
        <v>0.60025688893482287</v>
      </c>
      <c r="BW10" s="57">
        <v>1.3476739241442019E-3</v>
      </c>
      <c r="BX10" s="101">
        <f t="shared" si="24"/>
        <v>3.2664097553791662E-4</v>
      </c>
      <c r="BY10" s="92">
        <v>0.60025688893482287</v>
      </c>
      <c r="BZ10" s="57">
        <v>5.4416864105891834E-4</v>
      </c>
      <c r="CA10" s="101">
        <f t="shared" si="25"/>
        <v>3.8187804723206791E-4</v>
      </c>
      <c r="CB10" s="92">
        <v>0.60025688893482287</v>
      </c>
      <c r="CC10" s="57">
        <v>6.3619102799423771E-4</v>
      </c>
      <c r="CD10" s="101">
        <f t="shared" si="26"/>
        <v>3.954479279217196E-4</v>
      </c>
      <c r="CE10" s="92">
        <v>0.60025688893482287</v>
      </c>
      <c r="CF10" s="57">
        <v>6.5879781675385013E-4</v>
      </c>
      <c r="CG10" s="101">
        <f t="shared" si="27"/>
        <v>3.4046739172420015E-3</v>
      </c>
      <c r="CH10" s="92">
        <v>0.60025688893482287</v>
      </c>
      <c r="CI10" s="57">
        <v>5.672028059992308E-3</v>
      </c>
      <c r="CJ10" s="101">
        <f t="shared" si="28"/>
        <v>2.8351604816761696E-3</v>
      </c>
      <c r="CK10" s="92">
        <v>0.60025688893482287</v>
      </c>
      <c r="CL10" s="57">
        <v>4.7232452204043216E-3</v>
      </c>
      <c r="CM10" s="101">
        <f t="shared" si="29"/>
        <v>0</v>
      </c>
      <c r="CN10" s="92">
        <v>0.60025688893482287</v>
      </c>
      <c r="CO10" s="57">
        <v>0</v>
      </c>
    </row>
    <row r="11" spans="1:93">
      <c r="A11" s="38">
        <v>5</v>
      </c>
      <c r="B11" s="68" t="s">
        <v>188</v>
      </c>
      <c r="C11" s="46" t="s">
        <v>187</v>
      </c>
      <c r="D11" s="101">
        <f t="shared" si="0"/>
        <v>7.9885290899805604E-4</v>
      </c>
      <c r="E11" s="92">
        <v>0.68922062653737759</v>
      </c>
      <c r="F11" s="57">
        <v>1.1590670363588326E-3</v>
      </c>
      <c r="G11" s="101">
        <f t="shared" si="1"/>
        <v>3.2428276476392342E-4</v>
      </c>
      <c r="H11" s="92">
        <v>0.68922062653737759</v>
      </c>
      <c r="I11" s="57">
        <v>4.7050647104557747E-4</v>
      </c>
      <c r="J11" s="101">
        <f t="shared" si="2"/>
        <v>1.0077280889899328E-4</v>
      </c>
      <c r="K11" s="92">
        <v>0.68922062653737759</v>
      </c>
      <c r="L11" s="57">
        <v>1.4621270028622425E-4</v>
      </c>
      <c r="M11" s="101">
        <f t="shared" si="3"/>
        <v>9.8765537037761274E-4</v>
      </c>
      <c r="N11" s="92">
        <v>0.68922062653737759</v>
      </c>
      <c r="O11" s="57">
        <v>1.4330032102195806E-3</v>
      </c>
      <c r="P11" s="101">
        <f t="shared" si="4"/>
        <v>0.69239037539011483</v>
      </c>
      <c r="Q11" s="92">
        <v>0.68922062653737759</v>
      </c>
      <c r="R11" s="57">
        <v>1.0045990336485748</v>
      </c>
      <c r="S11" s="101">
        <f t="shared" si="5"/>
        <v>6.3180961887162766E-4</v>
      </c>
      <c r="T11" s="92">
        <v>0.68922062653737759</v>
      </c>
      <c r="U11" s="57">
        <v>9.1670155323966287E-4</v>
      </c>
      <c r="V11" s="101">
        <f t="shared" si="6"/>
        <v>2.6144474399103653E-4</v>
      </c>
      <c r="W11" s="92">
        <v>0.68922062653737759</v>
      </c>
      <c r="X11" s="57">
        <v>3.7933389385707531E-4</v>
      </c>
      <c r="Y11" s="101">
        <f t="shared" si="7"/>
        <v>1.7461570520381104E-4</v>
      </c>
      <c r="Z11" s="92">
        <v>0.68922062653737759</v>
      </c>
      <c r="AA11" s="57">
        <v>2.5335240774942383E-4</v>
      </c>
      <c r="AB11" s="101">
        <f t="shared" si="8"/>
        <v>5.9334112871774669E-4</v>
      </c>
      <c r="AC11" s="92">
        <v>0.68922062653737759</v>
      </c>
      <c r="AD11" s="57">
        <v>8.6088707428660916E-4</v>
      </c>
      <c r="AE11" s="101">
        <f t="shared" si="9"/>
        <v>2.8721820204745976E-4</v>
      </c>
      <c r="AF11" s="92">
        <v>0.68922062653737759</v>
      </c>
      <c r="AG11" s="57">
        <v>4.1672897035951296E-4</v>
      </c>
      <c r="AH11" s="101">
        <f t="shared" si="10"/>
        <v>2.4149346765863617E-4</v>
      </c>
      <c r="AI11" s="92">
        <v>0.68922062653737759</v>
      </c>
      <c r="AJ11" s="57">
        <v>3.5038630354389076E-4</v>
      </c>
      <c r="AK11" s="101">
        <f t="shared" si="11"/>
        <v>4.2227437371867106E-6</v>
      </c>
      <c r="AL11" s="92">
        <v>0.68922062653737759</v>
      </c>
      <c r="AM11" s="57">
        <v>6.126838888153479E-6</v>
      </c>
      <c r="AN11" s="101">
        <f t="shared" si="12"/>
        <v>6.7978313087180129E-5</v>
      </c>
      <c r="AO11" s="92">
        <v>0.68922062653737759</v>
      </c>
      <c r="AP11" s="57">
        <v>9.8630700344388991E-5</v>
      </c>
      <c r="AQ11" s="101">
        <f t="shared" si="13"/>
        <v>8.152809026938182E-2</v>
      </c>
      <c r="AR11" s="92">
        <v>0.68922062653737759</v>
      </c>
      <c r="AS11" s="57">
        <v>0.11829026458331106</v>
      </c>
      <c r="AT11" s="101">
        <f t="shared" si="14"/>
        <v>6.8662357415688125E-5</v>
      </c>
      <c r="AU11" s="92">
        <v>0.68922062653737759</v>
      </c>
      <c r="AV11" s="57">
        <v>9.9623189980029502E-5</v>
      </c>
      <c r="AW11" s="101">
        <f t="shared" si="15"/>
        <v>8.3055669030726934E-5</v>
      </c>
      <c r="AX11" s="92">
        <v>0.68922062653737759</v>
      </c>
      <c r="AY11" s="57">
        <v>1.2050665031311666E-4</v>
      </c>
      <c r="AZ11" s="101">
        <f t="shared" si="16"/>
        <v>2.2522443923682779E-4</v>
      </c>
      <c r="BA11" s="92">
        <v>0.68922062653737759</v>
      </c>
      <c r="BB11" s="57">
        <v>3.2678133904428858E-4</v>
      </c>
      <c r="BC11" s="101">
        <f t="shared" si="17"/>
        <v>5.4537482151296952E-5</v>
      </c>
      <c r="BD11" s="92">
        <v>0.68922062653737759</v>
      </c>
      <c r="BE11" s="57">
        <v>7.9129207762239386E-5</v>
      </c>
      <c r="BF11" s="101">
        <f t="shared" si="18"/>
        <v>6.5688677326433925E-5</v>
      </c>
      <c r="BG11" s="92">
        <v>0.68922062653737759</v>
      </c>
      <c r="BH11" s="57">
        <v>9.5308635286282337E-5</v>
      </c>
      <c r="BI11" s="101">
        <f t="shared" si="19"/>
        <v>2.2314019090509415E-4</v>
      </c>
      <c r="BJ11" s="92">
        <v>0.68922062653737759</v>
      </c>
      <c r="BK11" s="57">
        <v>3.2375727352523288E-4</v>
      </c>
      <c r="BL11" s="101">
        <f t="shared" si="20"/>
        <v>6.8466764872701094E-4</v>
      </c>
      <c r="BM11" s="92">
        <v>0.68922062653737759</v>
      </c>
      <c r="BN11" s="57">
        <v>9.9339401980285953E-4</v>
      </c>
      <c r="BO11" s="101">
        <f t="shared" si="21"/>
        <v>2.9087585023269996E-4</v>
      </c>
      <c r="BP11" s="92">
        <v>0.68922062653737759</v>
      </c>
      <c r="BQ11" s="57">
        <v>4.2203590408205127E-4</v>
      </c>
      <c r="BR11" s="101">
        <f t="shared" si="22"/>
        <v>2.8845821582199416E-3</v>
      </c>
      <c r="BS11" s="92">
        <v>0.68922062653737759</v>
      </c>
      <c r="BT11" s="57">
        <v>4.1852812396401861E-3</v>
      </c>
      <c r="BU11" s="101">
        <f t="shared" si="23"/>
        <v>4.187193836890808E-3</v>
      </c>
      <c r="BV11" s="92">
        <v>0.68922062653737759</v>
      </c>
      <c r="BW11" s="57">
        <v>6.0752590326948516E-3</v>
      </c>
      <c r="BX11" s="101">
        <f t="shared" si="24"/>
        <v>2.4960031224004745E-4</v>
      </c>
      <c r="BY11" s="92">
        <v>0.68922062653737759</v>
      </c>
      <c r="BZ11" s="57">
        <v>3.6214863953511005E-4</v>
      </c>
      <c r="CA11" s="101">
        <f t="shared" si="25"/>
        <v>1.0939653883613104E-4</v>
      </c>
      <c r="CB11" s="92">
        <v>0.68922062653737759</v>
      </c>
      <c r="CC11" s="57">
        <v>1.5872499258435684E-4</v>
      </c>
      <c r="CD11" s="101">
        <f t="shared" si="26"/>
        <v>1.4302453259774244E-4</v>
      </c>
      <c r="CE11" s="92">
        <v>0.68922062653737759</v>
      </c>
      <c r="CF11" s="57">
        <v>2.0751632654451033E-4</v>
      </c>
      <c r="CG11" s="101">
        <f t="shared" si="27"/>
        <v>1.4812349634434608E-3</v>
      </c>
      <c r="CH11" s="92">
        <v>0.68922062653737759</v>
      </c>
      <c r="CI11" s="57">
        <v>2.1491448549430942E-3</v>
      </c>
      <c r="CJ11" s="101">
        <f t="shared" si="28"/>
        <v>7.4503474083934516E-4</v>
      </c>
      <c r="CK11" s="92">
        <v>0.68922062653737759</v>
      </c>
      <c r="CL11" s="57">
        <v>1.0809814914889821E-3</v>
      </c>
      <c r="CM11" s="101">
        <f t="shared" si="29"/>
        <v>0</v>
      </c>
      <c r="CN11" s="92">
        <v>0.68922062653737759</v>
      </c>
      <c r="CO11" s="57">
        <v>0</v>
      </c>
    </row>
    <row r="12" spans="1:93" ht="22.5">
      <c r="A12" s="38">
        <v>6</v>
      </c>
      <c r="B12" s="68" t="s">
        <v>186</v>
      </c>
      <c r="C12" s="46" t="s">
        <v>185</v>
      </c>
      <c r="D12" s="101">
        <f t="shared" si="0"/>
        <v>1.660575521156926E-4</v>
      </c>
      <c r="E12" s="92">
        <v>0.68918097578818915</v>
      </c>
      <c r="F12" s="57">
        <v>2.4094912359671437E-4</v>
      </c>
      <c r="G12" s="101">
        <f t="shared" si="1"/>
        <v>1.5972423017711147E-5</v>
      </c>
      <c r="H12" s="92">
        <v>0.68918097578818915</v>
      </c>
      <c r="I12" s="57">
        <v>2.317594881292844E-5</v>
      </c>
      <c r="J12" s="101">
        <f t="shared" si="2"/>
        <v>2.2319386014320451E-5</v>
      </c>
      <c r="K12" s="92">
        <v>0.68918097578818915</v>
      </c>
      <c r="L12" s="57">
        <v>3.2385377423970023E-5</v>
      </c>
      <c r="M12" s="101">
        <f t="shared" si="3"/>
        <v>1.5927449738595368E-4</v>
      </c>
      <c r="N12" s="92">
        <v>0.68918097578818915</v>
      </c>
      <c r="O12" s="57">
        <v>2.3110692689071649E-4</v>
      </c>
      <c r="P12" s="101">
        <f t="shared" si="4"/>
        <v>1.0313620095123415E-3</v>
      </c>
      <c r="Q12" s="92">
        <v>0.68918097578818915</v>
      </c>
      <c r="R12" s="57">
        <v>1.49650388757875E-3</v>
      </c>
      <c r="S12" s="101">
        <f t="shared" si="5"/>
        <v>0.68986928204611409</v>
      </c>
      <c r="T12" s="92">
        <v>0.68918097578818915</v>
      </c>
      <c r="U12" s="57">
        <v>1.0009987307864059</v>
      </c>
      <c r="V12" s="101">
        <f t="shared" si="6"/>
        <v>3.2246188133551397E-4</v>
      </c>
      <c r="W12" s="92">
        <v>0.68918097578818915</v>
      </c>
      <c r="X12" s="57">
        <v>4.6789144312453924E-4</v>
      </c>
      <c r="Y12" s="101">
        <f t="shared" si="7"/>
        <v>1.1169545037864851E-4</v>
      </c>
      <c r="Z12" s="92">
        <v>0.68918097578818915</v>
      </c>
      <c r="AA12" s="57">
        <v>1.6206983985724043E-4</v>
      </c>
      <c r="AB12" s="101">
        <f t="shared" si="8"/>
        <v>2.1551436248249683E-4</v>
      </c>
      <c r="AC12" s="92">
        <v>0.68918097578818915</v>
      </c>
      <c r="AD12" s="57">
        <v>3.1271084091667148E-4</v>
      </c>
      <c r="AE12" s="101">
        <f t="shared" si="9"/>
        <v>4.4253095630304354E-4</v>
      </c>
      <c r="AF12" s="92">
        <v>0.68918097578818915</v>
      </c>
      <c r="AG12" s="57">
        <v>6.4211139287026649E-4</v>
      </c>
      <c r="AH12" s="101">
        <f t="shared" si="10"/>
        <v>2.0059784826793222E-4</v>
      </c>
      <c r="AI12" s="92">
        <v>0.68918097578818915</v>
      </c>
      <c r="AJ12" s="57">
        <v>2.910670133320444E-4</v>
      </c>
      <c r="AK12" s="101">
        <f t="shared" si="11"/>
        <v>2.7593465027434335E-6</v>
      </c>
      <c r="AL12" s="92">
        <v>0.68918097578818915</v>
      </c>
      <c r="AM12" s="57">
        <v>4.0038053859331762E-6</v>
      </c>
      <c r="AN12" s="101">
        <f t="shared" si="12"/>
        <v>7.7104472949124172E-5</v>
      </c>
      <c r="AO12" s="92">
        <v>0.68918097578818915</v>
      </c>
      <c r="AP12" s="57">
        <v>1.1187841170592792E-4</v>
      </c>
      <c r="AQ12" s="101">
        <f t="shared" si="13"/>
        <v>2.3096424091738539E-3</v>
      </c>
      <c r="AR12" s="92">
        <v>0.68918097578818915</v>
      </c>
      <c r="AS12" s="57">
        <v>3.3512857874992948E-3</v>
      </c>
      <c r="AT12" s="101">
        <f t="shared" si="14"/>
        <v>2.8413434801718824E-5</v>
      </c>
      <c r="AU12" s="92">
        <v>0.68918097578818915</v>
      </c>
      <c r="AV12" s="57">
        <v>4.1227828103095119E-5</v>
      </c>
      <c r="AW12" s="101">
        <f t="shared" si="15"/>
        <v>5.0164778323909368E-5</v>
      </c>
      <c r="AX12" s="92">
        <v>0.68918097578818915</v>
      </c>
      <c r="AY12" s="57">
        <v>7.278897718634483E-5</v>
      </c>
      <c r="AZ12" s="101">
        <f t="shared" si="16"/>
        <v>1.373231100233287E-4</v>
      </c>
      <c r="BA12" s="92">
        <v>0.68918097578818915</v>
      </c>
      <c r="BB12" s="57">
        <v>1.9925551465821829E-4</v>
      </c>
      <c r="BC12" s="101">
        <f t="shared" si="17"/>
        <v>3.0649292976007499E-5</v>
      </c>
      <c r="BD12" s="92">
        <v>0.68918097578818915</v>
      </c>
      <c r="BE12" s="57">
        <v>4.4472053136630929E-5</v>
      </c>
      <c r="BF12" s="101">
        <f t="shared" si="18"/>
        <v>4.1200357988406339E-5</v>
      </c>
      <c r="BG12" s="92">
        <v>0.68918097578818915</v>
      </c>
      <c r="BH12" s="57">
        <v>5.9781624037557206E-5</v>
      </c>
      <c r="BI12" s="101">
        <f t="shared" si="19"/>
        <v>1.2063611264985926E-4</v>
      </c>
      <c r="BJ12" s="92">
        <v>0.68918097578818915</v>
      </c>
      <c r="BK12" s="57">
        <v>1.7504272010975417E-4</v>
      </c>
      <c r="BL12" s="101">
        <f t="shared" si="20"/>
        <v>4.1713020943436579E-3</v>
      </c>
      <c r="BM12" s="92">
        <v>0.68918097578818915</v>
      </c>
      <c r="BN12" s="57">
        <v>6.0525496798182858E-3</v>
      </c>
      <c r="BO12" s="101">
        <f t="shared" si="21"/>
        <v>7.8897389605386839E-5</v>
      </c>
      <c r="BP12" s="92">
        <v>0.68918097578818915</v>
      </c>
      <c r="BQ12" s="57">
        <v>1.1447992962248413E-4</v>
      </c>
      <c r="BR12" s="101">
        <f t="shared" si="22"/>
        <v>3.2705280332553915E-3</v>
      </c>
      <c r="BS12" s="92">
        <v>0.68918097578818915</v>
      </c>
      <c r="BT12" s="57">
        <v>4.7455286030131886E-3</v>
      </c>
      <c r="BU12" s="101">
        <f t="shared" si="23"/>
        <v>3.3008692292689587E-4</v>
      </c>
      <c r="BV12" s="92">
        <v>0.68918097578818915</v>
      </c>
      <c r="BW12" s="57">
        <v>4.7895536081707488E-4</v>
      </c>
      <c r="BX12" s="101">
        <f t="shared" si="24"/>
        <v>1.1878761329092609E-4</v>
      </c>
      <c r="BY12" s="92">
        <v>0.68918097578818915</v>
      </c>
      <c r="BZ12" s="57">
        <v>1.7236055182033046E-4</v>
      </c>
      <c r="CA12" s="101">
        <f t="shared" si="25"/>
        <v>1.1307478567918599E-4</v>
      </c>
      <c r="CB12" s="92">
        <v>0.68918097578818915</v>
      </c>
      <c r="CC12" s="57">
        <v>1.6407125218432909E-4</v>
      </c>
      <c r="CD12" s="101">
        <f t="shared" si="26"/>
        <v>3.4010215124535278E-4</v>
      </c>
      <c r="CE12" s="92">
        <v>0.68918097578818915</v>
      </c>
      <c r="CF12" s="57">
        <v>4.9348743391587581E-4</v>
      </c>
      <c r="CG12" s="101">
        <f t="shared" si="27"/>
        <v>5.2773236153900722E-4</v>
      </c>
      <c r="CH12" s="92">
        <v>0.68918097578818915</v>
      </c>
      <c r="CI12" s="57">
        <v>7.6573843457512813E-4</v>
      </c>
      <c r="CJ12" s="101">
        <f t="shared" si="28"/>
        <v>3.3332330538071432E-4</v>
      </c>
      <c r="CK12" s="92">
        <v>0.68918097578818915</v>
      </c>
      <c r="CL12" s="57">
        <v>4.8365134426339262E-4</v>
      </c>
      <c r="CM12" s="101">
        <f t="shared" si="29"/>
        <v>0</v>
      </c>
      <c r="CN12" s="92">
        <v>0.68918097578818915</v>
      </c>
      <c r="CO12" s="57">
        <v>0</v>
      </c>
    </row>
    <row r="13" spans="1:93">
      <c r="A13" s="38">
        <v>7</v>
      </c>
      <c r="B13" s="68" t="s">
        <v>184</v>
      </c>
      <c r="C13" s="46" t="s">
        <v>183</v>
      </c>
      <c r="D13" s="101">
        <f t="shared" si="0"/>
        <v>3.3498633441539057E-4</v>
      </c>
      <c r="E13" s="92">
        <v>0.59152565883246566</v>
      </c>
      <c r="F13" s="57">
        <v>5.6630905086446431E-4</v>
      </c>
      <c r="G13" s="101">
        <f t="shared" si="1"/>
        <v>1.1724517761207814E-4</v>
      </c>
      <c r="H13" s="92">
        <v>0.59152565883246566</v>
      </c>
      <c r="I13" s="57">
        <v>1.9820810113882955E-4</v>
      </c>
      <c r="J13" s="101">
        <f t="shared" si="2"/>
        <v>3.2840360731309224E-4</v>
      </c>
      <c r="K13" s="92">
        <v>0.59152565883246566</v>
      </c>
      <c r="L13" s="57">
        <v>5.5518066276496732E-4</v>
      </c>
      <c r="M13" s="101">
        <f t="shared" si="3"/>
        <v>2.7046360672749467E-3</v>
      </c>
      <c r="N13" s="92">
        <v>0.59152565883246566</v>
      </c>
      <c r="O13" s="57">
        <v>4.5723055743909242E-3</v>
      </c>
      <c r="P13" s="101">
        <f t="shared" si="4"/>
        <v>1.5675815570048131E-3</v>
      </c>
      <c r="Q13" s="92">
        <v>0.59152565883246566</v>
      </c>
      <c r="R13" s="57">
        <v>2.6500651892241755E-3</v>
      </c>
      <c r="S13" s="101">
        <f t="shared" si="5"/>
        <v>7.1758256559540171E-4</v>
      </c>
      <c r="T13" s="92">
        <v>0.59152565883246566</v>
      </c>
      <c r="U13" s="57">
        <v>1.2131047146995164E-3</v>
      </c>
      <c r="V13" s="101">
        <f t="shared" si="6"/>
        <v>0.6011309344886685</v>
      </c>
      <c r="W13" s="92">
        <v>0.59152565883246566</v>
      </c>
      <c r="X13" s="57">
        <v>1.0162381386382484</v>
      </c>
      <c r="Y13" s="101">
        <f t="shared" si="7"/>
        <v>9.281419974500163E-4</v>
      </c>
      <c r="Z13" s="92">
        <v>0.59152565883246566</v>
      </c>
      <c r="AA13" s="57">
        <v>1.5690646442657334E-3</v>
      </c>
      <c r="AB13" s="101">
        <f t="shared" si="8"/>
        <v>4.9802245781404358E-3</v>
      </c>
      <c r="AC13" s="92">
        <v>0.59152565883246566</v>
      </c>
      <c r="AD13" s="57">
        <v>8.4192874878331447E-3</v>
      </c>
      <c r="AE13" s="101">
        <f t="shared" si="9"/>
        <v>1.0153575635137966E-2</v>
      </c>
      <c r="AF13" s="92">
        <v>0.59152565883246566</v>
      </c>
      <c r="AG13" s="57">
        <v>1.7165063735660711E-2</v>
      </c>
      <c r="AH13" s="101">
        <f t="shared" si="10"/>
        <v>1.2942998342500179E-3</v>
      </c>
      <c r="AI13" s="92">
        <v>0.59152565883246566</v>
      </c>
      <c r="AJ13" s="57">
        <v>2.1880704833745763E-3</v>
      </c>
      <c r="AK13" s="101">
        <f t="shared" si="11"/>
        <v>8.782843296632291E-6</v>
      </c>
      <c r="AL13" s="92">
        <v>0.59152565883246566</v>
      </c>
      <c r="AM13" s="57">
        <v>1.4847780760631052E-5</v>
      </c>
      <c r="AN13" s="101">
        <f t="shared" si="12"/>
        <v>9.6043924664951271E-5</v>
      </c>
      <c r="AO13" s="92">
        <v>0.59152565883246566</v>
      </c>
      <c r="AP13" s="57">
        <v>1.6236645567416244E-4</v>
      </c>
      <c r="AQ13" s="101">
        <f t="shared" si="13"/>
        <v>3.2066121156799519E-3</v>
      </c>
      <c r="AR13" s="92">
        <v>0.59152565883246566</v>
      </c>
      <c r="AS13" s="57">
        <v>5.4209180410010613E-3</v>
      </c>
      <c r="AT13" s="101">
        <f t="shared" si="14"/>
        <v>1.4188546758328238E-4</v>
      </c>
      <c r="AU13" s="92">
        <v>0.59152565883246566</v>
      </c>
      <c r="AV13" s="57">
        <v>2.398635891185707E-4</v>
      </c>
      <c r="AW13" s="101">
        <f t="shared" si="15"/>
        <v>7.2223796145103819E-3</v>
      </c>
      <c r="AX13" s="92">
        <v>0.59152565883246566</v>
      </c>
      <c r="AY13" s="57">
        <v>1.2209748650237223E-2</v>
      </c>
      <c r="AZ13" s="101">
        <f t="shared" si="16"/>
        <v>3.3937688728788197E-3</v>
      </c>
      <c r="BA13" s="92">
        <v>0.59152565883246566</v>
      </c>
      <c r="BB13" s="57">
        <v>5.7373147254124726E-3</v>
      </c>
      <c r="BC13" s="101">
        <f t="shared" si="17"/>
        <v>6.7067453393336064E-4</v>
      </c>
      <c r="BD13" s="92">
        <v>0.59152565883246566</v>
      </c>
      <c r="BE13" s="57">
        <v>1.133804635384907E-3</v>
      </c>
      <c r="BF13" s="101">
        <f t="shared" si="18"/>
        <v>4.1682293710098624E-3</v>
      </c>
      <c r="BG13" s="92">
        <v>0.59152565883246566</v>
      </c>
      <c r="BH13" s="57">
        <v>7.0465740729438167E-3</v>
      </c>
      <c r="BI13" s="101">
        <f t="shared" si="19"/>
        <v>1.5471147835991636E-2</v>
      </c>
      <c r="BJ13" s="92">
        <v>0.59152565883246566</v>
      </c>
      <c r="BK13" s="57">
        <v>2.6154652135510218E-2</v>
      </c>
      <c r="BL13" s="101">
        <f t="shared" si="20"/>
        <v>7.8651580447931749E-3</v>
      </c>
      <c r="BM13" s="92">
        <v>0.59152565883246566</v>
      </c>
      <c r="BN13" s="57">
        <v>1.3296393702205872E-2</v>
      </c>
      <c r="BO13" s="101">
        <f t="shared" si="21"/>
        <v>6.8347511080407524E-4</v>
      </c>
      <c r="BP13" s="92">
        <v>0.59152565883246566</v>
      </c>
      <c r="BQ13" s="57">
        <v>1.155444570490985E-3</v>
      </c>
      <c r="BR13" s="101">
        <f t="shared" si="22"/>
        <v>3.7671086447995869E-3</v>
      </c>
      <c r="BS13" s="92">
        <v>0.59152565883246566</v>
      </c>
      <c r="BT13" s="57">
        <v>6.3684619399858068E-3</v>
      </c>
      <c r="BU13" s="101">
        <f t="shared" si="23"/>
        <v>1.916165984737274E-3</v>
      </c>
      <c r="BV13" s="92">
        <v>0.59152565883246566</v>
      </c>
      <c r="BW13" s="57">
        <v>3.2393624116312061E-3</v>
      </c>
      <c r="BX13" s="101">
        <f t="shared" si="24"/>
        <v>4.3180739152283789E-4</v>
      </c>
      <c r="BY13" s="92">
        <v>0.59152565883246566</v>
      </c>
      <c r="BZ13" s="57">
        <v>7.2998928292497989E-4</v>
      </c>
      <c r="CA13" s="101">
        <f t="shared" si="25"/>
        <v>2.0652789526423048E-4</v>
      </c>
      <c r="CB13" s="92">
        <v>0.59152565883246566</v>
      </c>
      <c r="CC13" s="57">
        <v>3.4914444061795831E-4</v>
      </c>
      <c r="CD13" s="101">
        <f t="shared" si="26"/>
        <v>3.1919017439992496E-4</v>
      </c>
      <c r="CE13" s="92">
        <v>0.59152565883246566</v>
      </c>
      <c r="CF13" s="57">
        <v>5.3960495142329459E-4</v>
      </c>
      <c r="CG13" s="101">
        <f t="shared" si="27"/>
        <v>1.051119133537338E-3</v>
      </c>
      <c r="CH13" s="92">
        <v>0.59152565883246566</v>
      </c>
      <c r="CI13" s="57">
        <v>1.7769628719268122E-3</v>
      </c>
      <c r="CJ13" s="101">
        <f t="shared" si="28"/>
        <v>1.0341547219234035E-3</v>
      </c>
      <c r="CK13" s="92">
        <v>0.59152565883246566</v>
      </c>
      <c r="CL13" s="57">
        <v>1.7482837920582935E-3</v>
      </c>
      <c r="CM13" s="101">
        <f t="shared" si="29"/>
        <v>0</v>
      </c>
      <c r="CN13" s="92">
        <v>0.59152565883246566</v>
      </c>
      <c r="CO13" s="57">
        <v>0</v>
      </c>
    </row>
    <row r="14" spans="1:93">
      <c r="A14" s="38">
        <v>8</v>
      </c>
      <c r="B14" s="68" t="s">
        <v>182</v>
      </c>
      <c r="C14" s="46" t="s">
        <v>181</v>
      </c>
      <c r="D14" s="101">
        <f t="shared" si="0"/>
        <v>4.8106234309447937E-3</v>
      </c>
      <c r="E14" s="92">
        <v>0.5905575866424374</v>
      </c>
      <c r="F14" s="57">
        <v>8.1459006534742272E-3</v>
      </c>
      <c r="G14" s="101">
        <f t="shared" si="1"/>
        <v>3.9380387741060199E-4</v>
      </c>
      <c r="H14" s="92">
        <v>0.5905575866424374</v>
      </c>
      <c r="I14" s="57">
        <v>6.6683399945725679E-4</v>
      </c>
      <c r="J14" s="101">
        <f t="shared" si="2"/>
        <v>1.7559697321731639E-3</v>
      </c>
      <c r="K14" s="92">
        <v>0.5905575866424374</v>
      </c>
      <c r="L14" s="57">
        <v>2.9734098280856463E-3</v>
      </c>
      <c r="M14" s="101">
        <f t="shared" si="3"/>
        <v>4.7894846663967209E-3</v>
      </c>
      <c r="N14" s="92">
        <v>0.5905575866424374</v>
      </c>
      <c r="O14" s="57">
        <v>8.1101060670931511E-3</v>
      </c>
      <c r="P14" s="101">
        <f t="shared" si="4"/>
        <v>3.5342096241212434E-3</v>
      </c>
      <c r="Q14" s="92">
        <v>0.5905575866424374</v>
      </c>
      <c r="R14" s="57">
        <v>5.9845300510229281E-3</v>
      </c>
      <c r="S14" s="101">
        <f t="shared" si="5"/>
        <v>2.4321651366378707E-3</v>
      </c>
      <c r="T14" s="92">
        <v>0.5905575866424374</v>
      </c>
      <c r="U14" s="57">
        <v>4.1184216266964401E-3</v>
      </c>
      <c r="V14" s="101">
        <f t="shared" si="6"/>
        <v>2.3371798256712342E-2</v>
      </c>
      <c r="W14" s="92">
        <v>0.5905575866424374</v>
      </c>
      <c r="X14" s="57">
        <v>3.9575815780456942E-2</v>
      </c>
      <c r="Y14" s="101">
        <f t="shared" si="7"/>
        <v>0.67322109671608255</v>
      </c>
      <c r="Z14" s="92">
        <v>0.5905575866424374</v>
      </c>
      <c r="AA14" s="57">
        <v>1.1399753587852814</v>
      </c>
      <c r="AB14" s="101">
        <f t="shared" si="8"/>
        <v>4.8977293089207865E-3</v>
      </c>
      <c r="AC14" s="92">
        <v>0.5905575866424374</v>
      </c>
      <c r="AD14" s="57">
        <v>8.2933983403149399E-3</v>
      </c>
      <c r="AE14" s="101">
        <f t="shared" si="9"/>
        <v>8.7623358975074516E-3</v>
      </c>
      <c r="AF14" s="92">
        <v>0.5905575866424374</v>
      </c>
      <c r="AG14" s="57">
        <v>1.4837394516129971E-2</v>
      </c>
      <c r="AH14" s="101">
        <f t="shared" si="10"/>
        <v>2.2457411590114875E-3</v>
      </c>
      <c r="AI14" s="92">
        <v>0.5905575866424374</v>
      </c>
      <c r="AJ14" s="57">
        <v>3.8027471152804063E-3</v>
      </c>
      <c r="AK14" s="101">
        <f t="shared" si="11"/>
        <v>5.0661881214479522E-5</v>
      </c>
      <c r="AL14" s="92">
        <v>0.5905575866424374</v>
      </c>
      <c r="AM14" s="57">
        <v>8.5786521687940942E-5</v>
      </c>
      <c r="AN14" s="101">
        <f t="shared" si="12"/>
        <v>2.2345729980592158E-3</v>
      </c>
      <c r="AO14" s="92">
        <v>0.5905575866424374</v>
      </c>
      <c r="AP14" s="57">
        <v>3.7838359011924333E-3</v>
      </c>
      <c r="AQ14" s="101">
        <f t="shared" si="13"/>
        <v>8.6413428908621946E-3</v>
      </c>
      <c r="AR14" s="92">
        <v>0.5905575866424374</v>
      </c>
      <c r="AS14" s="57">
        <v>1.4632515247144279E-2</v>
      </c>
      <c r="AT14" s="101">
        <f t="shared" si="14"/>
        <v>8.8971525595384748E-3</v>
      </c>
      <c r="AU14" s="92">
        <v>0.5905575866424374</v>
      </c>
      <c r="AV14" s="57">
        <v>1.5065681587671142E-2</v>
      </c>
      <c r="AW14" s="101">
        <f t="shared" si="15"/>
        <v>5.2556105037303465E-3</v>
      </c>
      <c r="AX14" s="92">
        <v>0.5905575866424374</v>
      </c>
      <c r="AY14" s="57">
        <v>8.8994039236895625E-3</v>
      </c>
      <c r="AZ14" s="101">
        <f t="shared" si="16"/>
        <v>7.919875600181342E-2</v>
      </c>
      <c r="BA14" s="92">
        <v>0.5905575866424374</v>
      </c>
      <c r="BB14" s="57">
        <v>0.13410843886045204</v>
      </c>
      <c r="BC14" s="101">
        <f t="shared" si="17"/>
        <v>2.025215691135808E-2</v>
      </c>
      <c r="BD14" s="92">
        <v>0.5905575866424374</v>
      </c>
      <c r="BE14" s="57">
        <v>3.4293280400476973E-2</v>
      </c>
      <c r="BF14" s="101">
        <f t="shared" si="18"/>
        <v>9.0540428909055871E-3</v>
      </c>
      <c r="BG14" s="92">
        <v>0.5905575866424374</v>
      </c>
      <c r="BH14" s="57">
        <v>1.5331346333863126E-2</v>
      </c>
      <c r="BI14" s="101">
        <f t="shared" si="19"/>
        <v>1.337996805221334E-2</v>
      </c>
      <c r="BJ14" s="92">
        <v>0.5905575866424374</v>
      </c>
      <c r="BK14" s="57">
        <v>2.2656500153158572E-2</v>
      </c>
      <c r="BL14" s="101">
        <f t="shared" si="20"/>
        <v>1.2443785142081347E-2</v>
      </c>
      <c r="BM14" s="92">
        <v>0.5905575866424374</v>
      </c>
      <c r="BN14" s="57">
        <v>2.1071247620116744E-2</v>
      </c>
      <c r="BO14" s="101">
        <f t="shared" si="21"/>
        <v>3.6105219226342023E-3</v>
      </c>
      <c r="BP14" s="92">
        <v>0.5905575866424374</v>
      </c>
      <c r="BQ14" s="57">
        <v>6.1137508082175409E-3</v>
      </c>
      <c r="BR14" s="101">
        <f t="shared" si="22"/>
        <v>4.7516770481366754E-3</v>
      </c>
      <c r="BS14" s="92">
        <v>0.5905575866424374</v>
      </c>
      <c r="BT14" s="57">
        <v>8.0460858612483709E-3</v>
      </c>
      <c r="BU14" s="101">
        <f t="shared" si="23"/>
        <v>2.9431524160139499E-3</v>
      </c>
      <c r="BV14" s="92">
        <v>0.5905575866424374</v>
      </c>
      <c r="BW14" s="57">
        <v>4.9836840345189384E-3</v>
      </c>
      <c r="BX14" s="101">
        <f t="shared" si="24"/>
        <v>1.9174366906503405E-3</v>
      </c>
      <c r="BY14" s="92">
        <v>0.5905575866424374</v>
      </c>
      <c r="BZ14" s="57">
        <v>3.2468242454588656E-3</v>
      </c>
      <c r="CA14" s="101">
        <f t="shared" si="25"/>
        <v>2.5904254942594296E-2</v>
      </c>
      <c r="CB14" s="92">
        <v>0.5905575866424374</v>
      </c>
      <c r="CC14" s="57">
        <v>4.3864062588494769E-2</v>
      </c>
      <c r="CD14" s="101">
        <f t="shared" si="26"/>
        <v>3.7426055018615219E-3</v>
      </c>
      <c r="CE14" s="92">
        <v>0.5905575866424374</v>
      </c>
      <c r="CF14" s="57">
        <v>6.3374099097427104E-3</v>
      </c>
      <c r="CG14" s="101">
        <f t="shared" si="27"/>
        <v>5.8077556247009259E-3</v>
      </c>
      <c r="CH14" s="92">
        <v>0.5905575866424374</v>
      </c>
      <c r="CI14" s="57">
        <v>9.8343595206699542E-3</v>
      </c>
      <c r="CJ14" s="101">
        <f t="shared" si="28"/>
        <v>7.7558170266095157E-3</v>
      </c>
      <c r="CK14" s="92">
        <v>0.5905575866424374</v>
      </c>
      <c r="CL14" s="57">
        <v>1.313304104804499E-2</v>
      </c>
      <c r="CM14" s="101">
        <f t="shared" si="29"/>
        <v>0</v>
      </c>
      <c r="CN14" s="92">
        <v>0.5905575866424374</v>
      </c>
      <c r="CO14" s="57">
        <v>0</v>
      </c>
    </row>
    <row r="15" spans="1:93" ht="22.5">
      <c r="A15" s="38">
        <v>9</v>
      </c>
      <c r="B15" s="68" t="s">
        <v>102</v>
      </c>
      <c r="C15" s="46" t="s">
        <v>180</v>
      </c>
      <c r="D15" s="101">
        <f t="shared" si="0"/>
        <v>3.3918667990804859E-4</v>
      </c>
      <c r="E15" s="92">
        <v>0.55209484119293362</v>
      </c>
      <c r="F15" s="57">
        <v>6.1436306699615996E-4</v>
      </c>
      <c r="G15" s="101">
        <f t="shared" si="1"/>
        <v>9.234633655186644E-6</v>
      </c>
      <c r="H15" s="92">
        <v>0.55209484119293362</v>
      </c>
      <c r="I15" s="57">
        <v>1.6726534946845361E-5</v>
      </c>
      <c r="J15" s="101">
        <f t="shared" si="2"/>
        <v>2.3647412720279493E-4</v>
      </c>
      <c r="K15" s="92">
        <v>0.55209484119293362</v>
      </c>
      <c r="L15" s="57">
        <v>4.2832156643926562E-4</v>
      </c>
      <c r="M15" s="101">
        <f t="shared" si="3"/>
        <v>3.9748834551854101E-4</v>
      </c>
      <c r="N15" s="92">
        <v>0.55209484119293362</v>
      </c>
      <c r="O15" s="57">
        <v>7.1996388276273672E-4</v>
      </c>
      <c r="P15" s="101">
        <f t="shared" si="4"/>
        <v>2.3020971563061494E-3</v>
      </c>
      <c r="Q15" s="92">
        <v>0.55209484119293362</v>
      </c>
      <c r="R15" s="57">
        <v>4.1697494425630118E-3</v>
      </c>
      <c r="S15" s="101">
        <f t="shared" si="5"/>
        <v>2.147348720081101E-3</v>
      </c>
      <c r="T15" s="92">
        <v>0.55209484119293362</v>
      </c>
      <c r="U15" s="57">
        <v>3.8894562308193969E-3</v>
      </c>
      <c r="V15" s="101">
        <f t="shared" si="6"/>
        <v>4.9272251592067469E-4</v>
      </c>
      <c r="W15" s="92">
        <v>0.55209484119293362</v>
      </c>
      <c r="X15" s="57">
        <v>8.9245991658974623E-4</v>
      </c>
      <c r="Y15" s="101">
        <f t="shared" si="7"/>
        <v>2.4621864224044174E-4</v>
      </c>
      <c r="Z15" s="92">
        <v>0.55209484119293362</v>
      </c>
      <c r="AA15" s="57">
        <v>4.4597164086595555E-4</v>
      </c>
      <c r="AB15" s="101">
        <f t="shared" si="8"/>
        <v>0.56351266837916947</v>
      </c>
      <c r="AC15" s="92">
        <v>0.55209484119293362</v>
      </c>
      <c r="AD15" s="57">
        <v>1.0206809162743939</v>
      </c>
      <c r="AE15" s="101">
        <f t="shared" si="9"/>
        <v>5.7864715733187101E-4</v>
      </c>
      <c r="AF15" s="92">
        <v>0.55209484119293362</v>
      </c>
      <c r="AG15" s="57">
        <v>1.0480937588215184E-3</v>
      </c>
      <c r="AH15" s="101">
        <f t="shared" si="10"/>
        <v>1.3051298165585076E-4</v>
      </c>
      <c r="AI15" s="92">
        <v>0.55209484119293362</v>
      </c>
      <c r="AJ15" s="57">
        <v>2.3639594489571048E-4</v>
      </c>
      <c r="AK15" s="101">
        <f t="shared" si="11"/>
        <v>2.4562973961247925E-6</v>
      </c>
      <c r="AL15" s="92">
        <v>0.55209484119293362</v>
      </c>
      <c r="AM15" s="57">
        <v>4.4490497154752822E-6</v>
      </c>
      <c r="AN15" s="101">
        <f t="shared" si="12"/>
        <v>1.4502317038222576E-3</v>
      </c>
      <c r="AO15" s="92">
        <v>0.55209484119293362</v>
      </c>
      <c r="AP15" s="57">
        <v>2.6267800305626535E-3</v>
      </c>
      <c r="AQ15" s="101">
        <f t="shared" si="13"/>
        <v>5.3079171000669251E-4</v>
      </c>
      <c r="AR15" s="92">
        <v>0.55209484119293362</v>
      </c>
      <c r="AS15" s="57">
        <v>9.6141400064486996E-4</v>
      </c>
      <c r="AT15" s="101">
        <f t="shared" si="14"/>
        <v>5.3739253303719623E-4</v>
      </c>
      <c r="AU15" s="92">
        <v>0.55209484119293362</v>
      </c>
      <c r="AV15" s="57">
        <v>9.7336995918315507E-4</v>
      </c>
      <c r="AW15" s="101">
        <f t="shared" si="15"/>
        <v>7.1992488280892835E-5</v>
      </c>
      <c r="AX15" s="92">
        <v>0.55209484119293362</v>
      </c>
      <c r="AY15" s="57">
        <v>1.3039877011952468E-4</v>
      </c>
      <c r="AZ15" s="101">
        <f t="shared" si="16"/>
        <v>1.0551920661883126E-4</v>
      </c>
      <c r="BA15" s="92">
        <v>0.55209484119293362</v>
      </c>
      <c r="BB15" s="57">
        <v>1.9112514507621851E-4</v>
      </c>
      <c r="BC15" s="101">
        <f t="shared" si="17"/>
        <v>2.4960231778390847E-5</v>
      </c>
      <c r="BD15" s="92">
        <v>0.55209484119293362</v>
      </c>
      <c r="BE15" s="57">
        <v>4.5210043485387887E-5</v>
      </c>
      <c r="BF15" s="101">
        <f t="shared" si="18"/>
        <v>1.4667169071024485E-4</v>
      </c>
      <c r="BG15" s="92">
        <v>0.55209484119293362</v>
      </c>
      <c r="BH15" s="57">
        <v>2.6566393990084278E-4</v>
      </c>
      <c r="BI15" s="101">
        <f t="shared" si="19"/>
        <v>2.1840301055763822E-4</v>
      </c>
      <c r="BJ15" s="92">
        <v>0.55209484119293362</v>
      </c>
      <c r="BK15" s="57">
        <v>3.9558966007674701E-4</v>
      </c>
      <c r="BL15" s="101">
        <f t="shared" si="20"/>
        <v>1.1801383624343686E-3</v>
      </c>
      <c r="BM15" s="92">
        <v>0.55209484119293362</v>
      </c>
      <c r="BN15" s="57">
        <v>2.1375645530112108E-3</v>
      </c>
      <c r="BO15" s="101">
        <f t="shared" si="21"/>
        <v>6.8516946926467203E-5</v>
      </c>
      <c r="BP15" s="92">
        <v>0.55209484119293362</v>
      </c>
      <c r="BQ15" s="57">
        <v>1.241035811499703E-4</v>
      </c>
      <c r="BR15" s="101">
        <f t="shared" si="22"/>
        <v>1.619110537083753E-4</v>
      </c>
      <c r="BS15" s="92">
        <v>0.55209484119293362</v>
      </c>
      <c r="BT15" s="57">
        <v>2.9326673902354812E-4</v>
      </c>
      <c r="BU15" s="101">
        <f t="shared" si="23"/>
        <v>2.2051010526971104E-4</v>
      </c>
      <c r="BV15" s="92">
        <v>0.55209484119293362</v>
      </c>
      <c r="BW15" s="57">
        <v>3.9940620490719667E-4</v>
      </c>
      <c r="BX15" s="101">
        <f t="shared" si="24"/>
        <v>2.3366989415382264E-4</v>
      </c>
      <c r="BY15" s="92">
        <v>0.55209484119293362</v>
      </c>
      <c r="BZ15" s="57">
        <v>4.2324230679084533E-4</v>
      </c>
      <c r="CA15" s="101">
        <f t="shared" si="25"/>
        <v>6.8115054308716806E-5</v>
      </c>
      <c r="CB15" s="92">
        <v>0.55209484119293362</v>
      </c>
      <c r="CC15" s="57">
        <v>1.2337563988378854E-4</v>
      </c>
      <c r="CD15" s="101">
        <f t="shared" si="26"/>
        <v>2.0933595454229482E-4</v>
      </c>
      <c r="CE15" s="92">
        <v>0.55209484119293362</v>
      </c>
      <c r="CF15" s="57">
        <v>3.791666556600568E-4</v>
      </c>
      <c r="CG15" s="101">
        <f t="shared" si="27"/>
        <v>3.9850470490254388E-4</v>
      </c>
      <c r="CH15" s="92">
        <v>0.55209484119293362</v>
      </c>
      <c r="CI15" s="57">
        <v>7.2180479723642894E-4</v>
      </c>
      <c r="CJ15" s="101">
        <f t="shared" si="28"/>
        <v>1.0708850282904634E-3</v>
      </c>
      <c r="CK15" s="92">
        <v>0.55209484119293362</v>
      </c>
      <c r="CL15" s="57">
        <v>1.9396758462306204E-3</v>
      </c>
      <c r="CM15" s="101">
        <f t="shared" si="29"/>
        <v>0</v>
      </c>
      <c r="CN15" s="92">
        <v>0.55209484119293362</v>
      </c>
      <c r="CO15" s="57">
        <v>0</v>
      </c>
    </row>
    <row r="16" spans="1:93" ht="22.5">
      <c r="A16" s="38">
        <v>10</v>
      </c>
      <c r="B16" s="68" t="s">
        <v>86</v>
      </c>
      <c r="C16" s="46" t="s">
        <v>85</v>
      </c>
      <c r="D16" s="101">
        <f t="shared" si="0"/>
        <v>2.0261009358595256E-4</v>
      </c>
      <c r="E16" s="92">
        <v>0.63022185087647231</v>
      </c>
      <c r="F16" s="57">
        <v>3.2149011225836646E-4</v>
      </c>
      <c r="G16" s="101">
        <f t="shared" si="1"/>
        <v>2.6570590600331954E-5</v>
      </c>
      <c r="H16" s="92">
        <v>0.63022185087647231</v>
      </c>
      <c r="I16" s="57">
        <v>4.2160693989551891E-5</v>
      </c>
      <c r="J16" s="101">
        <f t="shared" si="2"/>
        <v>8.342520418741289E-5</v>
      </c>
      <c r="K16" s="92">
        <v>0.63022185087647231</v>
      </c>
      <c r="L16" s="57">
        <v>1.3237434416371068E-4</v>
      </c>
      <c r="M16" s="101">
        <f t="shared" si="3"/>
        <v>7.9957345577910593E-2</v>
      </c>
      <c r="N16" s="92">
        <v>0.63022185087647231</v>
      </c>
      <c r="O16" s="57">
        <v>0.12687174439716906</v>
      </c>
      <c r="P16" s="101">
        <f t="shared" si="4"/>
        <v>2.8275952182909115E-2</v>
      </c>
      <c r="Q16" s="92">
        <v>0.63022185087647231</v>
      </c>
      <c r="R16" s="57">
        <v>4.4866664244638178E-2</v>
      </c>
      <c r="S16" s="101">
        <f t="shared" si="5"/>
        <v>2.6408166672192236E-2</v>
      </c>
      <c r="T16" s="92">
        <v>0.63022185087647231</v>
      </c>
      <c r="U16" s="57">
        <v>4.1902968986977276E-2</v>
      </c>
      <c r="V16" s="101">
        <f t="shared" si="6"/>
        <v>1.7526522088150854E-2</v>
      </c>
      <c r="W16" s="92">
        <v>0.63022185087647231</v>
      </c>
      <c r="X16" s="57">
        <v>2.7810083169563363E-2</v>
      </c>
      <c r="Y16" s="101">
        <f t="shared" si="7"/>
        <v>7.6386588647792183E-3</v>
      </c>
      <c r="Z16" s="92">
        <v>0.63022185087647231</v>
      </c>
      <c r="AA16" s="57">
        <v>1.2120587145869124E-2</v>
      </c>
      <c r="AB16" s="101">
        <f t="shared" si="8"/>
        <v>8.8129174782514558E-2</v>
      </c>
      <c r="AC16" s="92">
        <v>0.63022185087647231</v>
      </c>
      <c r="AD16" s="57">
        <v>0.13983833575422708</v>
      </c>
      <c r="AE16" s="101">
        <f t="shared" si="9"/>
        <v>0.63082086931174042</v>
      </c>
      <c r="AF16" s="92">
        <v>0.63022185087647231</v>
      </c>
      <c r="AG16" s="57">
        <v>1.0009504882041698</v>
      </c>
      <c r="AH16" s="101">
        <f t="shared" si="10"/>
        <v>1.336813783076762E-4</v>
      </c>
      <c r="AI16" s="92">
        <v>0.63022185087647231</v>
      </c>
      <c r="AJ16" s="57">
        <v>2.121179678580815E-4</v>
      </c>
      <c r="AK16" s="101">
        <f t="shared" si="11"/>
        <v>2.3275529155102619E-6</v>
      </c>
      <c r="AL16" s="92">
        <v>0.63022185087647231</v>
      </c>
      <c r="AM16" s="57">
        <v>3.6932278883590755E-6</v>
      </c>
      <c r="AN16" s="101">
        <f t="shared" si="12"/>
        <v>2.684131364831418E-4</v>
      </c>
      <c r="AO16" s="92">
        <v>0.63022185087647231</v>
      </c>
      <c r="AP16" s="57">
        <v>4.2590261843484151E-4</v>
      </c>
      <c r="AQ16" s="101">
        <f t="shared" si="13"/>
        <v>3.8121479879055162E-3</v>
      </c>
      <c r="AR16" s="92">
        <v>0.63022185087647231</v>
      </c>
      <c r="AS16" s="57">
        <v>6.0488984674267072E-3</v>
      </c>
      <c r="AT16" s="101">
        <f t="shared" si="14"/>
        <v>2.0073599228638152E-4</v>
      </c>
      <c r="AU16" s="92">
        <v>0.63022185087647231</v>
      </c>
      <c r="AV16" s="57">
        <v>3.1851639546805736E-4</v>
      </c>
      <c r="AW16" s="101">
        <f t="shared" si="15"/>
        <v>3.3352134874913171E-4</v>
      </c>
      <c r="AX16" s="92">
        <v>0.63022185087647231</v>
      </c>
      <c r="AY16" s="57">
        <v>5.2921260709271111E-4</v>
      </c>
      <c r="AZ16" s="101">
        <f t="shared" si="16"/>
        <v>1.0766169859076262E-3</v>
      </c>
      <c r="BA16" s="92">
        <v>0.63022185087647231</v>
      </c>
      <c r="BB16" s="57">
        <v>1.7083142775997627E-3</v>
      </c>
      <c r="BC16" s="101">
        <f t="shared" si="17"/>
        <v>2.6592364617868526E-4</v>
      </c>
      <c r="BD16" s="92">
        <v>0.63022185087647231</v>
      </c>
      <c r="BE16" s="57">
        <v>4.2195243755648211E-4</v>
      </c>
      <c r="BF16" s="101">
        <f t="shared" si="18"/>
        <v>2.8293131082607304E-4</v>
      </c>
      <c r="BG16" s="92">
        <v>0.63022185087647231</v>
      </c>
      <c r="BH16" s="57">
        <v>4.4893922740474681E-4</v>
      </c>
      <c r="BI16" s="101">
        <f t="shared" si="19"/>
        <v>7.5779096585224957E-4</v>
      </c>
      <c r="BJ16" s="92">
        <v>0.63022185087647231</v>
      </c>
      <c r="BK16" s="57">
        <v>1.2024193778720339E-3</v>
      </c>
      <c r="BL16" s="101">
        <f t="shared" si="20"/>
        <v>3.772978252502631E-3</v>
      </c>
      <c r="BM16" s="92">
        <v>0.63022185087647231</v>
      </c>
      <c r="BN16" s="57">
        <v>5.9867461708212966E-3</v>
      </c>
      <c r="BO16" s="101">
        <f t="shared" si="21"/>
        <v>1.1858793291715192E-4</v>
      </c>
      <c r="BP16" s="92">
        <v>0.63022185087647231</v>
      </c>
      <c r="BQ16" s="57">
        <v>1.8816855168101105E-4</v>
      </c>
      <c r="BR16" s="101">
        <f t="shared" si="22"/>
        <v>1.4692448932653189E-3</v>
      </c>
      <c r="BS16" s="92">
        <v>0.63022185087647231</v>
      </c>
      <c r="BT16" s="57">
        <v>2.3313137924716302E-3</v>
      </c>
      <c r="BU16" s="101">
        <f t="shared" si="23"/>
        <v>4.069892028737534E-4</v>
      </c>
      <c r="BV16" s="92">
        <v>0.63022185087647231</v>
      </c>
      <c r="BW16" s="57">
        <v>6.4578719748885067E-4</v>
      </c>
      <c r="BX16" s="101">
        <f t="shared" si="24"/>
        <v>1.2716607511214329E-4</v>
      </c>
      <c r="BY16" s="92">
        <v>0.63022185087647231</v>
      </c>
      <c r="BZ16" s="57">
        <v>2.0177985726024705E-4</v>
      </c>
      <c r="CA16" s="101">
        <f t="shared" si="25"/>
        <v>3.6392123471554151E-4</v>
      </c>
      <c r="CB16" s="92">
        <v>0.63022185087647231</v>
      </c>
      <c r="CC16" s="57">
        <v>5.7744940802897124E-4</v>
      </c>
      <c r="CD16" s="101">
        <f t="shared" si="26"/>
        <v>1.5362074432719868E-4</v>
      </c>
      <c r="CE16" s="92">
        <v>0.63022185087647231</v>
      </c>
      <c r="CF16" s="57">
        <v>2.4375661382345401E-4</v>
      </c>
      <c r="CG16" s="101">
        <f t="shared" si="27"/>
        <v>6.8111988579993145E-4</v>
      </c>
      <c r="CH16" s="92">
        <v>0.63022185087647231</v>
      </c>
      <c r="CI16" s="57">
        <v>1.0807620917184534E-3</v>
      </c>
      <c r="CJ16" s="101">
        <f t="shared" si="28"/>
        <v>6.958470712771208E-4</v>
      </c>
      <c r="CK16" s="92">
        <v>0.63022185087647231</v>
      </c>
      <c r="CL16" s="57">
        <v>1.1041303476059757E-3</v>
      </c>
      <c r="CM16" s="101">
        <f t="shared" si="29"/>
        <v>0</v>
      </c>
      <c r="CN16" s="92">
        <v>0.63022185087647231</v>
      </c>
      <c r="CO16" s="57">
        <v>0</v>
      </c>
    </row>
    <row r="17" spans="1:93">
      <c r="A17" s="38">
        <v>11</v>
      </c>
      <c r="B17" s="68" t="s">
        <v>179</v>
      </c>
      <c r="C17" s="46" t="s">
        <v>178</v>
      </c>
      <c r="D17" s="101">
        <f t="shared" si="0"/>
        <v>1.2715980759845005E-2</v>
      </c>
      <c r="E17" s="92">
        <v>0.50294956280896708</v>
      </c>
      <c r="F17" s="57">
        <v>2.528281501792428E-2</v>
      </c>
      <c r="G17" s="101">
        <f t="shared" si="1"/>
        <v>9.5455895966427095E-5</v>
      </c>
      <c r="H17" s="92">
        <v>0.50294956280896708</v>
      </c>
      <c r="I17" s="57">
        <v>1.8979218399814706E-4</v>
      </c>
      <c r="J17" s="101">
        <f t="shared" si="2"/>
        <v>5.7845959940790543E-3</v>
      </c>
      <c r="K17" s="92">
        <v>0.50294956280896708</v>
      </c>
      <c r="L17" s="57">
        <v>1.150134411445187E-2</v>
      </c>
      <c r="M17" s="101">
        <f t="shared" si="3"/>
        <v>1.4792416506807422E-4</v>
      </c>
      <c r="N17" s="92">
        <v>0.50294956280896708</v>
      </c>
      <c r="O17" s="57">
        <v>2.9411331872309342E-4</v>
      </c>
      <c r="P17" s="101">
        <f t="shared" si="4"/>
        <v>2.1684037593453287E-4</v>
      </c>
      <c r="Q17" s="92">
        <v>0.50294956280896708</v>
      </c>
      <c r="R17" s="57">
        <v>4.3113741808121288E-4</v>
      </c>
      <c r="S17" s="101">
        <f t="shared" si="5"/>
        <v>1.8457583592637703E-4</v>
      </c>
      <c r="T17" s="92">
        <v>0.50294956280896708</v>
      </c>
      <c r="U17" s="57">
        <v>3.6698677079173363E-4</v>
      </c>
      <c r="V17" s="101">
        <f t="shared" si="6"/>
        <v>4.7942886777389886E-4</v>
      </c>
      <c r="W17" s="92">
        <v>0.50294956280896708</v>
      </c>
      <c r="X17" s="57">
        <v>9.5323448557404957E-4</v>
      </c>
      <c r="Y17" s="101">
        <f t="shared" si="7"/>
        <v>2.3062172209142233E-4</v>
      </c>
      <c r="Z17" s="92">
        <v>0.50294956280896708</v>
      </c>
      <c r="AA17" s="57">
        <v>4.5853846815852245E-4</v>
      </c>
      <c r="AB17" s="101">
        <f t="shared" si="8"/>
        <v>1.3771411358591529E-4</v>
      </c>
      <c r="AC17" s="92">
        <v>0.50294956280896708</v>
      </c>
      <c r="AD17" s="57">
        <v>2.73812970065594E-4</v>
      </c>
      <c r="AE17" s="101">
        <f t="shared" si="9"/>
        <v>1.3146501315214069E-4</v>
      </c>
      <c r="AF17" s="92">
        <v>0.50294956280896708</v>
      </c>
      <c r="AG17" s="57">
        <v>2.6138806527221183E-4</v>
      </c>
      <c r="AH17" s="101">
        <f t="shared" si="10"/>
        <v>0.52722286144890584</v>
      </c>
      <c r="AI17" s="92">
        <v>0.50294956280896708</v>
      </c>
      <c r="AJ17" s="57">
        <v>1.0482618943028257</v>
      </c>
      <c r="AK17" s="101">
        <f t="shared" si="11"/>
        <v>1.9113634873921936E-5</v>
      </c>
      <c r="AL17" s="92">
        <v>0.50294956280896708</v>
      </c>
      <c r="AM17" s="57">
        <v>3.800308477687608E-5</v>
      </c>
      <c r="AN17" s="101">
        <f t="shared" si="12"/>
        <v>3.8150560646786288E-4</v>
      </c>
      <c r="AO17" s="92">
        <v>0.50294956280896708</v>
      </c>
      <c r="AP17" s="57">
        <v>7.5853651077288707E-4</v>
      </c>
      <c r="AQ17" s="101">
        <f t="shared" si="13"/>
        <v>2.9132829812400236E-4</v>
      </c>
      <c r="AR17" s="92">
        <v>0.50294956280896708</v>
      </c>
      <c r="AS17" s="57">
        <v>5.7923958914873571E-4</v>
      </c>
      <c r="AT17" s="101">
        <f t="shared" si="14"/>
        <v>4.5195985482038449E-4</v>
      </c>
      <c r="AU17" s="92">
        <v>0.50294956280896708</v>
      </c>
      <c r="AV17" s="57">
        <v>8.9861864536911872E-4</v>
      </c>
      <c r="AW17" s="101">
        <f t="shared" si="15"/>
        <v>5.2657386895264267E-5</v>
      </c>
      <c r="AX17" s="92">
        <v>0.50294956280896708</v>
      </c>
      <c r="AY17" s="57">
        <v>1.0469715213822519E-4</v>
      </c>
      <c r="AZ17" s="101">
        <f t="shared" si="16"/>
        <v>1.3120498019858953E-4</v>
      </c>
      <c r="BA17" s="92">
        <v>0.50294956280896708</v>
      </c>
      <c r="BB17" s="57">
        <v>2.608710493072334E-4</v>
      </c>
      <c r="BC17" s="101">
        <f t="shared" si="17"/>
        <v>3.2786094083529312E-5</v>
      </c>
      <c r="BD17" s="92">
        <v>0.50294956280896708</v>
      </c>
      <c r="BE17" s="57">
        <v>6.5187638101163432E-5</v>
      </c>
      <c r="BF17" s="101">
        <f t="shared" si="18"/>
        <v>1.067198037057901E-4</v>
      </c>
      <c r="BG17" s="92">
        <v>0.50294956280896708</v>
      </c>
      <c r="BH17" s="57">
        <v>2.1218788442674315E-4</v>
      </c>
      <c r="BI17" s="101">
        <f t="shared" si="19"/>
        <v>1.102742300129015E-4</v>
      </c>
      <c r="BJ17" s="92">
        <v>0.50294956280896708</v>
      </c>
      <c r="BK17" s="57">
        <v>2.1925504696141158E-4</v>
      </c>
      <c r="BL17" s="101">
        <f t="shared" si="20"/>
        <v>1.343084953933212E-4</v>
      </c>
      <c r="BM17" s="92">
        <v>0.50294956280896708</v>
      </c>
      <c r="BN17" s="57">
        <v>2.6704167838065095E-4</v>
      </c>
      <c r="BO17" s="101">
        <f t="shared" si="21"/>
        <v>1.4692600248358522E-4</v>
      </c>
      <c r="BP17" s="92">
        <v>0.50294956280896708</v>
      </c>
      <c r="BQ17" s="57">
        <v>2.9212870106299591E-4</v>
      </c>
      <c r="BR17" s="101">
        <f t="shared" si="22"/>
        <v>1.7575420227147108E-4</v>
      </c>
      <c r="BS17" s="92">
        <v>0.50294956280896708</v>
      </c>
      <c r="BT17" s="57">
        <v>3.4944697295268744E-4</v>
      </c>
      <c r="BU17" s="101">
        <f t="shared" si="23"/>
        <v>1.0258363980684192E-4</v>
      </c>
      <c r="BV17" s="92">
        <v>0.50294956280896708</v>
      </c>
      <c r="BW17" s="57">
        <v>2.0396406994354179E-4</v>
      </c>
      <c r="BX17" s="101">
        <f t="shared" si="24"/>
        <v>7.7251579859196354E-2</v>
      </c>
      <c r="BY17" s="92">
        <v>0.50294956280896708</v>
      </c>
      <c r="BZ17" s="57">
        <v>0.15359707130024577</v>
      </c>
      <c r="CA17" s="101">
        <f t="shared" si="25"/>
        <v>2.6090364006068957E-3</v>
      </c>
      <c r="CB17" s="92">
        <v>0.50294956280896708</v>
      </c>
      <c r="CC17" s="57">
        <v>5.187471256631499E-3</v>
      </c>
      <c r="CD17" s="101">
        <f t="shared" si="26"/>
        <v>3.5932408928482194E-4</v>
      </c>
      <c r="CE17" s="92">
        <v>0.50294956280896708</v>
      </c>
      <c r="CF17" s="57">
        <v>7.1443364475356412E-4</v>
      </c>
      <c r="CG17" s="101">
        <f t="shared" si="27"/>
        <v>2.0828209311264572E-3</v>
      </c>
      <c r="CH17" s="92">
        <v>0.50294956280896708</v>
      </c>
      <c r="CI17" s="57">
        <v>4.1412123305047295E-3</v>
      </c>
      <c r="CJ17" s="101">
        <f t="shared" si="28"/>
        <v>1.4439752301162723E-2</v>
      </c>
      <c r="CK17" s="92">
        <v>0.50294956280896708</v>
      </c>
      <c r="CL17" s="57">
        <v>2.8710139880660967E-2</v>
      </c>
      <c r="CM17" s="101">
        <f t="shared" si="29"/>
        <v>0</v>
      </c>
      <c r="CN17" s="92">
        <v>0.50294956280896708</v>
      </c>
      <c r="CO17" s="57">
        <v>0</v>
      </c>
    </row>
    <row r="18" spans="1:93">
      <c r="A18" s="38">
        <v>12</v>
      </c>
      <c r="B18" s="68" t="s">
        <v>84</v>
      </c>
      <c r="C18" s="46" t="s">
        <v>83</v>
      </c>
      <c r="D18" s="101">
        <f t="shared" si="0"/>
        <v>0</v>
      </c>
      <c r="E18" s="92">
        <v>0.57238928640208586</v>
      </c>
      <c r="F18" s="57">
        <v>0</v>
      </c>
      <c r="G18" s="101">
        <f t="shared" si="1"/>
        <v>0</v>
      </c>
      <c r="H18" s="92">
        <v>0.57238928640208586</v>
      </c>
      <c r="I18" s="57">
        <v>0</v>
      </c>
      <c r="J18" s="101">
        <f t="shared" si="2"/>
        <v>0</v>
      </c>
      <c r="K18" s="92">
        <v>0.57238928640208586</v>
      </c>
      <c r="L18" s="57">
        <v>0</v>
      </c>
      <c r="M18" s="101">
        <f t="shared" si="3"/>
        <v>0</v>
      </c>
      <c r="N18" s="92">
        <v>0.57238928640208586</v>
      </c>
      <c r="O18" s="57">
        <v>0</v>
      </c>
      <c r="P18" s="101">
        <f t="shared" si="4"/>
        <v>0</v>
      </c>
      <c r="Q18" s="92">
        <v>0.57238928640208586</v>
      </c>
      <c r="R18" s="57">
        <v>0</v>
      </c>
      <c r="S18" s="101">
        <f t="shared" si="5"/>
        <v>0</v>
      </c>
      <c r="T18" s="92">
        <v>0.57238928640208586</v>
      </c>
      <c r="U18" s="57">
        <v>0</v>
      </c>
      <c r="V18" s="101">
        <f t="shared" si="6"/>
        <v>0</v>
      </c>
      <c r="W18" s="92">
        <v>0.57238928640208586</v>
      </c>
      <c r="X18" s="57">
        <v>0</v>
      </c>
      <c r="Y18" s="101">
        <f t="shared" si="7"/>
        <v>0</v>
      </c>
      <c r="Z18" s="92">
        <v>0.57238928640208586</v>
      </c>
      <c r="AA18" s="57">
        <v>0</v>
      </c>
      <c r="AB18" s="101">
        <f t="shared" si="8"/>
        <v>0</v>
      </c>
      <c r="AC18" s="92">
        <v>0.57238928640208586</v>
      </c>
      <c r="AD18" s="57">
        <v>0</v>
      </c>
      <c r="AE18" s="101">
        <f t="shared" si="9"/>
        <v>0</v>
      </c>
      <c r="AF18" s="92">
        <v>0.57238928640208586</v>
      </c>
      <c r="AG18" s="57">
        <v>0</v>
      </c>
      <c r="AH18" s="101">
        <f t="shared" si="10"/>
        <v>0</v>
      </c>
      <c r="AI18" s="92">
        <v>0.57238928640208586</v>
      </c>
      <c r="AJ18" s="57">
        <v>0</v>
      </c>
      <c r="AK18" s="101">
        <f t="shared" si="11"/>
        <v>0</v>
      </c>
      <c r="AL18" s="92">
        <v>0.57238928640208586</v>
      </c>
      <c r="AM18" s="57">
        <v>0</v>
      </c>
      <c r="AN18" s="101">
        <f t="shared" si="12"/>
        <v>0</v>
      </c>
      <c r="AO18" s="92">
        <v>0.57238928640208586</v>
      </c>
      <c r="AP18" s="57">
        <v>0</v>
      </c>
      <c r="AQ18" s="101">
        <f t="shared" si="13"/>
        <v>0</v>
      </c>
      <c r="AR18" s="92">
        <v>0.57238928640208586</v>
      </c>
      <c r="AS18" s="57">
        <v>0</v>
      </c>
      <c r="AT18" s="101">
        <f t="shared" si="14"/>
        <v>0</v>
      </c>
      <c r="AU18" s="92">
        <v>0.57238928640208586</v>
      </c>
      <c r="AV18" s="57">
        <v>0</v>
      </c>
      <c r="AW18" s="101">
        <f t="shared" si="15"/>
        <v>0</v>
      </c>
      <c r="AX18" s="92">
        <v>0.57238928640208586</v>
      </c>
      <c r="AY18" s="57">
        <v>0</v>
      </c>
      <c r="AZ18" s="101">
        <f t="shared" si="16"/>
        <v>0</v>
      </c>
      <c r="BA18" s="92">
        <v>0.57238928640208586</v>
      </c>
      <c r="BB18" s="57">
        <v>0</v>
      </c>
      <c r="BC18" s="101">
        <f t="shared" si="17"/>
        <v>0</v>
      </c>
      <c r="BD18" s="92">
        <v>0.57238928640208586</v>
      </c>
      <c r="BE18" s="57">
        <v>0</v>
      </c>
      <c r="BF18" s="101">
        <f t="shared" si="18"/>
        <v>0</v>
      </c>
      <c r="BG18" s="92">
        <v>0.57238928640208586</v>
      </c>
      <c r="BH18" s="57">
        <v>0</v>
      </c>
      <c r="BI18" s="101">
        <f t="shared" si="19"/>
        <v>0</v>
      </c>
      <c r="BJ18" s="92">
        <v>0.57238928640208586</v>
      </c>
      <c r="BK18" s="57">
        <v>0</v>
      </c>
      <c r="BL18" s="101">
        <f t="shared" si="20"/>
        <v>0</v>
      </c>
      <c r="BM18" s="92">
        <v>0.57238928640208586</v>
      </c>
      <c r="BN18" s="57">
        <v>0</v>
      </c>
      <c r="BO18" s="101">
        <f t="shared" si="21"/>
        <v>0</v>
      </c>
      <c r="BP18" s="92">
        <v>0.57238928640208586</v>
      </c>
      <c r="BQ18" s="57">
        <v>0</v>
      </c>
      <c r="BR18" s="101">
        <f t="shared" si="22"/>
        <v>0</v>
      </c>
      <c r="BS18" s="92">
        <v>0.57238928640208586</v>
      </c>
      <c r="BT18" s="57">
        <v>0</v>
      </c>
      <c r="BU18" s="101">
        <f t="shared" si="23"/>
        <v>0</v>
      </c>
      <c r="BV18" s="92">
        <v>0.57238928640208586</v>
      </c>
      <c r="BW18" s="57">
        <v>0</v>
      </c>
      <c r="BX18" s="101">
        <f t="shared" si="24"/>
        <v>0</v>
      </c>
      <c r="BY18" s="92">
        <v>0.57238928640208586</v>
      </c>
      <c r="BZ18" s="57">
        <v>0</v>
      </c>
      <c r="CA18" s="101">
        <f t="shared" si="25"/>
        <v>0</v>
      </c>
      <c r="CB18" s="92">
        <v>0.57238928640208586</v>
      </c>
      <c r="CC18" s="57">
        <v>0</v>
      </c>
      <c r="CD18" s="101">
        <f t="shared" si="26"/>
        <v>0</v>
      </c>
      <c r="CE18" s="92">
        <v>0.57238928640208586</v>
      </c>
      <c r="CF18" s="57">
        <v>0</v>
      </c>
      <c r="CG18" s="101">
        <f t="shared" si="27"/>
        <v>0</v>
      </c>
      <c r="CH18" s="92">
        <v>0.57238928640208586</v>
      </c>
      <c r="CI18" s="57">
        <v>0</v>
      </c>
      <c r="CJ18" s="101">
        <f t="shared" si="28"/>
        <v>0</v>
      </c>
      <c r="CK18" s="92">
        <v>0.57238928640208586</v>
      </c>
      <c r="CL18" s="57">
        <v>0</v>
      </c>
      <c r="CM18" s="101">
        <f t="shared" si="29"/>
        <v>0</v>
      </c>
      <c r="CN18" s="92">
        <v>0.57238928640208586</v>
      </c>
      <c r="CO18" s="57">
        <v>0</v>
      </c>
    </row>
    <row r="19" spans="1:93">
      <c r="A19" s="38">
        <v>13</v>
      </c>
      <c r="B19" s="68" t="s">
        <v>101</v>
      </c>
      <c r="C19" s="46" t="s">
        <v>177</v>
      </c>
      <c r="D19" s="101">
        <f t="shared" si="0"/>
        <v>2.7686317008097293E-4</v>
      </c>
      <c r="E19" s="92">
        <v>0.40828342052723632</v>
      </c>
      <c r="F19" s="57">
        <v>6.7811514296477182E-4</v>
      </c>
      <c r="G19" s="101">
        <f t="shared" si="1"/>
        <v>3.4105234082576643E-4</v>
      </c>
      <c r="H19" s="92">
        <v>0.40828342052723632</v>
      </c>
      <c r="I19" s="57">
        <v>8.3533232964823529E-4</v>
      </c>
      <c r="J19" s="101">
        <f t="shared" si="2"/>
        <v>4.0533617867744565E-3</v>
      </c>
      <c r="K19" s="92">
        <v>0.40828342052723632</v>
      </c>
      <c r="L19" s="57">
        <v>9.9278138248674232E-3</v>
      </c>
      <c r="M19" s="101">
        <f t="shared" si="3"/>
        <v>1.1938135120655544E-4</v>
      </c>
      <c r="N19" s="92">
        <v>0.40828342052723632</v>
      </c>
      <c r="O19" s="57">
        <v>2.9239823417858232E-4</v>
      </c>
      <c r="P19" s="101">
        <f t="shared" si="4"/>
        <v>1.5199242692747112E-4</v>
      </c>
      <c r="Q19" s="92">
        <v>0.40828342052723632</v>
      </c>
      <c r="R19" s="57">
        <v>3.7227185647459277E-4</v>
      </c>
      <c r="S19" s="101">
        <f t="shared" si="5"/>
        <v>1.3445236040435487E-4</v>
      </c>
      <c r="T19" s="92">
        <v>0.40828342052723632</v>
      </c>
      <c r="U19" s="57">
        <v>3.2931134022226512E-4</v>
      </c>
      <c r="V19" s="101">
        <f t="shared" si="6"/>
        <v>1.6398849915396345E-4</v>
      </c>
      <c r="W19" s="92">
        <v>0.40828342052723632</v>
      </c>
      <c r="X19" s="57">
        <v>4.0165358402797032E-4</v>
      </c>
      <c r="Y19" s="101">
        <f t="shared" si="7"/>
        <v>8.0436391600483906E-5</v>
      </c>
      <c r="Z19" s="92">
        <v>0.40828342052723632</v>
      </c>
      <c r="AA19" s="57">
        <v>1.9701116321748375E-4</v>
      </c>
      <c r="AB19" s="101">
        <f t="shared" si="8"/>
        <v>3.6180149484519234E-5</v>
      </c>
      <c r="AC19" s="92">
        <v>0.40828342052723632</v>
      </c>
      <c r="AD19" s="57">
        <v>8.8615279645198522E-5</v>
      </c>
      <c r="AE19" s="101">
        <f t="shared" si="9"/>
        <v>4.8381979995592471E-5</v>
      </c>
      <c r="AF19" s="92">
        <v>0.40828342052723632</v>
      </c>
      <c r="AG19" s="57">
        <v>1.1850096664007188E-4</v>
      </c>
      <c r="AH19" s="101">
        <f t="shared" si="10"/>
        <v>1.5121299791422791E-4</v>
      </c>
      <c r="AI19" s="92">
        <v>0.40828342052723632</v>
      </c>
      <c r="AJ19" s="57">
        <v>3.7036281737563376E-4</v>
      </c>
      <c r="AK19" s="101">
        <f t="shared" si="11"/>
        <v>6.6809375778083381E-3</v>
      </c>
      <c r="AL19" s="92">
        <v>0.40828342052723632</v>
      </c>
      <c r="AM19" s="57">
        <v>1.6363479979620326E-2</v>
      </c>
      <c r="AN19" s="101">
        <f t="shared" si="12"/>
        <v>3.6633603644005902E-5</v>
      </c>
      <c r="AO19" s="92">
        <v>0.40828342052723632</v>
      </c>
      <c r="AP19" s="57">
        <v>8.972591538666729E-5</v>
      </c>
      <c r="AQ19" s="101">
        <f t="shared" si="13"/>
        <v>2.5260415091155297E-4</v>
      </c>
      <c r="AR19" s="92">
        <v>0.40828342052723632</v>
      </c>
      <c r="AS19" s="57">
        <v>6.1869803722461444E-4</v>
      </c>
      <c r="AT19" s="101">
        <f t="shared" si="14"/>
        <v>2.475233791465497E-4</v>
      </c>
      <c r="AU19" s="92">
        <v>0.40828342052723632</v>
      </c>
      <c r="AV19" s="57">
        <v>6.0625380973567495E-4</v>
      </c>
      <c r="AW19" s="101">
        <f t="shared" si="15"/>
        <v>1.5923432087579139E-5</v>
      </c>
      <c r="AX19" s="92">
        <v>0.40828342052723632</v>
      </c>
      <c r="AY19" s="57">
        <v>3.9000927510150755E-5</v>
      </c>
      <c r="AZ19" s="101">
        <f t="shared" si="16"/>
        <v>4.6585049091310683E-5</v>
      </c>
      <c r="BA19" s="92">
        <v>0.40828342052723632</v>
      </c>
      <c r="BB19" s="57">
        <v>1.1409978154673323E-4</v>
      </c>
      <c r="BC19" s="101">
        <f t="shared" si="17"/>
        <v>1.2018763605914879E-5</v>
      </c>
      <c r="BD19" s="92">
        <v>0.40828342052723632</v>
      </c>
      <c r="BE19" s="57">
        <v>2.9437305072036632E-5</v>
      </c>
      <c r="BF19" s="101">
        <f t="shared" si="18"/>
        <v>5.194488706525393E-5</v>
      </c>
      <c r="BG19" s="92">
        <v>0.40828342052723632</v>
      </c>
      <c r="BH19" s="57">
        <v>1.2722752003540815E-4</v>
      </c>
      <c r="BI19" s="101">
        <f t="shared" si="19"/>
        <v>6.2696666532866875E-5</v>
      </c>
      <c r="BJ19" s="92">
        <v>0.40828342052723632</v>
      </c>
      <c r="BK19" s="57">
        <v>1.5356162748882531E-4</v>
      </c>
      <c r="BL19" s="101">
        <f t="shared" si="20"/>
        <v>7.204978210994941E-5</v>
      </c>
      <c r="BM19" s="92">
        <v>0.40828342052723632</v>
      </c>
      <c r="BN19" s="57">
        <v>1.7647001687432718E-4</v>
      </c>
      <c r="BO19" s="101">
        <f t="shared" si="21"/>
        <v>1.8181052244685341E-4</v>
      </c>
      <c r="BP19" s="92">
        <v>0.40828342052723632</v>
      </c>
      <c r="BQ19" s="57">
        <v>4.453046910699254E-4</v>
      </c>
      <c r="BR19" s="101">
        <f t="shared" si="22"/>
        <v>5.9735278631952658E-5</v>
      </c>
      <c r="BS19" s="92">
        <v>0.40828342052723632</v>
      </c>
      <c r="BT19" s="57">
        <v>1.4630836234989306E-4</v>
      </c>
      <c r="BU19" s="101">
        <f t="shared" si="23"/>
        <v>9.8342909644334427E-5</v>
      </c>
      <c r="BV19" s="92">
        <v>0.40828342052723632</v>
      </c>
      <c r="BW19" s="57">
        <v>2.4086922147693244E-4</v>
      </c>
      <c r="BX19" s="101">
        <f t="shared" si="24"/>
        <v>1.2368039198962751E-4</v>
      </c>
      <c r="BY19" s="92">
        <v>0.40828342052723632</v>
      </c>
      <c r="BZ19" s="57">
        <v>3.0292778440504144E-4</v>
      </c>
      <c r="CA19" s="101">
        <f t="shared" si="25"/>
        <v>3.7770645264708222E-5</v>
      </c>
      <c r="CB19" s="92">
        <v>0.40828342052723632</v>
      </c>
      <c r="CC19" s="57">
        <v>9.2510847528251688E-5</v>
      </c>
      <c r="CD19" s="101">
        <f t="shared" si="26"/>
        <v>5.1429059284360717E-5</v>
      </c>
      <c r="CE19" s="92">
        <v>0.40828342052723632</v>
      </c>
      <c r="CF19" s="57">
        <v>1.2596411389408823E-4</v>
      </c>
      <c r="CG19" s="101">
        <f t="shared" si="27"/>
        <v>1.193952586629322E-3</v>
      </c>
      <c r="CH19" s="92">
        <v>0.40828342052723632</v>
      </c>
      <c r="CI19" s="57">
        <v>2.9243229741915868E-3</v>
      </c>
      <c r="CJ19" s="101">
        <f t="shared" si="28"/>
        <v>1.0747171085432591E-2</v>
      </c>
      <c r="CK19" s="92">
        <v>0.40828342052723632</v>
      </c>
      <c r="CL19" s="57">
        <v>2.6322820239808524E-2</v>
      </c>
      <c r="CM19" s="101">
        <f t="shared" si="29"/>
        <v>0</v>
      </c>
      <c r="CN19" s="92">
        <v>0.40828342052723632</v>
      </c>
      <c r="CO19" s="57">
        <v>0</v>
      </c>
    </row>
    <row r="20" spans="1:93">
      <c r="A20" s="38">
        <v>14</v>
      </c>
      <c r="B20" s="68" t="s">
        <v>100</v>
      </c>
      <c r="C20" s="46" t="s">
        <v>82</v>
      </c>
      <c r="D20" s="101">
        <f t="shared" si="0"/>
        <v>2.5481472651735092E-5</v>
      </c>
      <c r="E20" s="92">
        <v>0.54448844668818352</v>
      </c>
      <c r="F20" s="57">
        <v>4.6798922560661357E-5</v>
      </c>
      <c r="G20" s="101">
        <f t="shared" si="1"/>
        <v>8.1722708460682712E-5</v>
      </c>
      <c r="H20" s="92">
        <v>0.54448844668818352</v>
      </c>
      <c r="I20" s="57">
        <v>1.5009080350144417E-4</v>
      </c>
      <c r="J20" s="101">
        <f t="shared" si="2"/>
        <v>7.5492401604603798E-6</v>
      </c>
      <c r="K20" s="92">
        <v>0.54448844668818352</v>
      </c>
      <c r="L20" s="57">
        <v>1.3864830753302765E-5</v>
      </c>
      <c r="M20" s="101">
        <f t="shared" si="3"/>
        <v>7.2082589137598249E-5</v>
      </c>
      <c r="N20" s="92">
        <v>0.54448844668818352</v>
      </c>
      <c r="O20" s="57">
        <v>1.3238589280642414E-4</v>
      </c>
      <c r="P20" s="101">
        <f t="shared" si="4"/>
        <v>1.3430102249140899E-4</v>
      </c>
      <c r="Q20" s="92">
        <v>0.54448844668818352</v>
      </c>
      <c r="R20" s="57">
        <v>2.4665541263232753E-4</v>
      </c>
      <c r="S20" s="101">
        <f t="shared" si="5"/>
        <v>1.2582628740660318E-4</v>
      </c>
      <c r="T20" s="92">
        <v>0.54448844668818352</v>
      </c>
      <c r="U20" s="57">
        <v>2.3109083061712988E-4</v>
      </c>
      <c r="V20" s="101">
        <f t="shared" si="6"/>
        <v>2.5754703882077828E-5</v>
      </c>
      <c r="W20" s="92">
        <v>0.54448844668818352</v>
      </c>
      <c r="X20" s="57">
        <v>4.7300735284153745E-5</v>
      </c>
      <c r="Y20" s="101">
        <f t="shared" si="7"/>
        <v>1.5641111744326931E-5</v>
      </c>
      <c r="Z20" s="92">
        <v>0.54448844668818352</v>
      </c>
      <c r="AA20" s="57">
        <v>2.8726250923160999E-5</v>
      </c>
      <c r="AB20" s="101">
        <f t="shared" si="8"/>
        <v>5.3429567052181143E-5</v>
      </c>
      <c r="AC20" s="92">
        <v>0.54448844668818352</v>
      </c>
      <c r="AD20" s="57">
        <v>9.8128008734001796E-5</v>
      </c>
      <c r="AE20" s="101">
        <f t="shared" si="9"/>
        <v>4.0122585111287004E-5</v>
      </c>
      <c r="AF20" s="92">
        <v>0.54448844668818352</v>
      </c>
      <c r="AG20" s="57">
        <v>7.3688588537240932E-5</v>
      </c>
      <c r="AH20" s="101">
        <f t="shared" si="10"/>
        <v>1.2384489894472835E-5</v>
      </c>
      <c r="AI20" s="92">
        <v>0.54448844668818352</v>
      </c>
      <c r="AJ20" s="57">
        <v>2.2745183979202332E-5</v>
      </c>
      <c r="AK20" s="101">
        <f t="shared" si="11"/>
        <v>0.54448864817274278</v>
      </c>
      <c r="AL20" s="92">
        <v>0.54448844668818352</v>
      </c>
      <c r="AM20" s="57">
        <v>1.0000003700437732</v>
      </c>
      <c r="AN20" s="101">
        <f t="shared" si="12"/>
        <v>2.6808402791649587E-6</v>
      </c>
      <c r="AO20" s="92">
        <v>0.54448844668818352</v>
      </c>
      <c r="AP20" s="57">
        <v>4.9235944223812276E-6</v>
      </c>
      <c r="AQ20" s="101">
        <f t="shared" si="13"/>
        <v>8.5276836589631325E-5</v>
      </c>
      <c r="AR20" s="92">
        <v>0.54448844668818352</v>
      </c>
      <c r="AS20" s="57">
        <v>1.5661826638989731E-4</v>
      </c>
      <c r="AT20" s="101">
        <f t="shared" si="14"/>
        <v>6.2225821347713498E-6</v>
      </c>
      <c r="AU20" s="92">
        <v>0.54448844668818352</v>
      </c>
      <c r="AV20" s="57">
        <v>1.1428308851399531E-5</v>
      </c>
      <c r="AW20" s="101">
        <f t="shared" si="15"/>
        <v>4.4112407569793872E-6</v>
      </c>
      <c r="AX20" s="92">
        <v>0.54448844668818352</v>
      </c>
      <c r="AY20" s="57">
        <v>8.1016241644987682E-6</v>
      </c>
      <c r="AZ20" s="101">
        <f t="shared" si="16"/>
        <v>1.2012876341267876E-5</v>
      </c>
      <c r="BA20" s="92">
        <v>0.54448844668818352</v>
      </c>
      <c r="BB20" s="57">
        <v>2.2062683633299174E-5</v>
      </c>
      <c r="BC20" s="101">
        <f t="shared" si="17"/>
        <v>2.9411358075773818E-6</v>
      </c>
      <c r="BD20" s="92">
        <v>0.54448844668818352</v>
      </c>
      <c r="BE20" s="57">
        <v>5.4016496134429554E-6</v>
      </c>
      <c r="BF20" s="101">
        <f t="shared" si="18"/>
        <v>9.3594065503786567E-6</v>
      </c>
      <c r="BG20" s="92">
        <v>0.54448844668818352</v>
      </c>
      <c r="BH20" s="57">
        <v>1.718935747361887E-5</v>
      </c>
      <c r="BI20" s="101">
        <f t="shared" si="19"/>
        <v>7.99897868639877E-5</v>
      </c>
      <c r="BJ20" s="92">
        <v>0.54448844668818352</v>
      </c>
      <c r="BK20" s="57">
        <v>1.4690814350703033E-4</v>
      </c>
      <c r="BL20" s="101">
        <f t="shared" si="20"/>
        <v>4.349662745838529E-5</v>
      </c>
      <c r="BM20" s="92">
        <v>0.54448844668818352</v>
      </c>
      <c r="BN20" s="57">
        <v>7.9885308353098709E-5</v>
      </c>
      <c r="BO20" s="101">
        <f t="shared" si="21"/>
        <v>1.3540347030621286E-5</v>
      </c>
      <c r="BP20" s="92">
        <v>0.54448844668818352</v>
      </c>
      <c r="BQ20" s="57">
        <v>2.4868015314153293E-5</v>
      </c>
      <c r="BR20" s="101">
        <f t="shared" si="22"/>
        <v>8.4202407151616558E-5</v>
      </c>
      <c r="BS20" s="92">
        <v>0.54448844668818352</v>
      </c>
      <c r="BT20" s="57">
        <v>1.5464498404653461E-4</v>
      </c>
      <c r="BU20" s="101">
        <f t="shared" si="23"/>
        <v>1.0387589392807079E-4</v>
      </c>
      <c r="BV20" s="92">
        <v>0.54448844668818352</v>
      </c>
      <c r="BW20" s="57">
        <v>1.9077703954948784E-4</v>
      </c>
      <c r="BX20" s="101">
        <f t="shared" si="24"/>
        <v>1.6607680485420276E-5</v>
      </c>
      <c r="BY20" s="92">
        <v>0.54448844668818352</v>
      </c>
      <c r="BZ20" s="57">
        <v>3.0501437792547191E-5</v>
      </c>
      <c r="CA20" s="101">
        <f t="shared" si="25"/>
        <v>5.4179818243927899E-5</v>
      </c>
      <c r="CB20" s="92">
        <v>0.54448844668818352</v>
      </c>
      <c r="CC20" s="57">
        <v>9.9505909764427899E-5</v>
      </c>
      <c r="CD20" s="101">
        <f t="shared" si="26"/>
        <v>2.1774419870748242E-5</v>
      </c>
      <c r="CE20" s="92">
        <v>0.54448844668818352</v>
      </c>
      <c r="CF20" s="57">
        <v>3.9990600357435994E-5</v>
      </c>
      <c r="CG20" s="101">
        <f t="shared" si="27"/>
        <v>5.9299153703165066E-4</v>
      </c>
      <c r="CH20" s="92">
        <v>0.54448844668818352</v>
      </c>
      <c r="CI20" s="57">
        <v>1.08908010929981E-3</v>
      </c>
      <c r="CJ20" s="101">
        <f t="shared" si="28"/>
        <v>5.6442100920184584E-4</v>
      </c>
      <c r="CK20" s="92">
        <v>0.54448844668818352</v>
      </c>
      <c r="CL20" s="57">
        <v>1.0366078704422488E-3</v>
      </c>
      <c r="CM20" s="101">
        <f t="shared" si="29"/>
        <v>0</v>
      </c>
      <c r="CN20" s="92">
        <v>0.54448844668818352</v>
      </c>
      <c r="CO20" s="57">
        <v>0</v>
      </c>
    </row>
    <row r="21" spans="1:93">
      <c r="A21" s="38">
        <v>15</v>
      </c>
      <c r="B21" s="68" t="s">
        <v>81</v>
      </c>
      <c r="C21" s="46" t="s">
        <v>80</v>
      </c>
      <c r="D21" s="101">
        <f t="shared" si="0"/>
        <v>7.62057572118667E-7</v>
      </c>
      <c r="E21" s="92">
        <v>0.57465301048881601</v>
      </c>
      <c r="F21" s="57">
        <v>1.3261177757868865E-6</v>
      </c>
      <c r="G21" s="101">
        <f t="shared" si="1"/>
        <v>2.5614485046015322E-6</v>
      </c>
      <c r="H21" s="92">
        <v>0.57465301048881601</v>
      </c>
      <c r="I21" s="57">
        <v>4.4573829038547835E-6</v>
      </c>
      <c r="J21" s="101">
        <f t="shared" si="2"/>
        <v>4.1683233256544055E-7</v>
      </c>
      <c r="K21" s="92">
        <v>0.57465301048881601</v>
      </c>
      <c r="L21" s="57">
        <v>7.2536352365207529E-7</v>
      </c>
      <c r="M21" s="101">
        <f t="shared" si="3"/>
        <v>9.1789943196201564E-7</v>
      </c>
      <c r="N21" s="92">
        <v>0.57465301048881601</v>
      </c>
      <c r="O21" s="57">
        <v>1.5973107513719011E-6</v>
      </c>
      <c r="P21" s="101">
        <f t="shared" si="4"/>
        <v>1.1827971476874387E-6</v>
      </c>
      <c r="Q21" s="92">
        <v>0.57465301048881601</v>
      </c>
      <c r="R21" s="57">
        <v>2.0582806077728857E-6</v>
      </c>
      <c r="S21" s="101">
        <f t="shared" si="5"/>
        <v>1.1335455039153352E-6</v>
      </c>
      <c r="T21" s="92">
        <v>0.57465301048881601</v>
      </c>
      <c r="U21" s="57">
        <v>1.9725738545267683E-6</v>
      </c>
      <c r="V21" s="101">
        <f t="shared" si="6"/>
        <v>3.6676921820212648E-7</v>
      </c>
      <c r="W21" s="92">
        <v>0.57465301048881601</v>
      </c>
      <c r="X21" s="57">
        <v>6.3824466505472977E-7</v>
      </c>
      <c r="Y21" s="101">
        <f t="shared" si="7"/>
        <v>5.2625923758703945E-7</v>
      </c>
      <c r="Z21" s="92">
        <v>0.57465301048881601</v>
      </c>
      <c r="AA21" s="57">
        <v>9.1578609696900151E-7</v>
      </c>
      <c r="AB21" s="101">
        <f t="shared" si="8"/>
        <v>1.2884004851145445E-6</v>
      </c>
      <c r="AC21" s="92">
        <v>0.57465301048881601</v>
      </c>
      <c r="AD21" s="57">
        <v>2.2420494830760474E-6</v>
      </c>
      <c r="AE21" s="101">
        <f t="shared" si="9"/>
        <v>1.3138776380965414E-6</v>
      </c>
      <c r="AF21" s="92">
        <v>0.57465301048881601</v>
      </c>
      <c r="AG21" s="57">
        <v>2.286384329525952E-6</v>
      </c>
      <c r="AH21" s="101">
        <f t="shared" si="10"/>
        <v>3.0022879653074482E-7</v>
      </c>
      <c r="AI21" s="92">
        <v>0.57465301048881601</v>
      </c>
      <c r="AJ21" s="57">
        <v>5.2245231652986867E-7</v>
      </c>
      <c r="AK21" s="101">
        <f t="shared" si="11"/>
        <v>7.7701749426965988E-9</v>
      </c>
      <c r="AL21" s="92">
        <v>0.57465301048881601</v>
      </c>
      <c r="AM21" s="57">
        <v>1.3521507415556859E-8</v>
      </c>
      <c r="AN21" s="101">
        <f t="shared" si="12"/>
        <v>9.4635130983836387E-8</v>
      </c>
      <c r="AO21" s="92">
        <v>0.57465301048881601</v>
      </c>
      <c r="AP21" s="57">
        <v>1.646822156266737E-7</v>
      </c>
      <c r="AQ21" s="101">
        <f t="shared" si="13"/>
        <v>6.110785248161607E-7</v>
      </c>
      <c r="AR21" s="92">
        <v>0.57465301048881601</v>
      </c>
      <c r="AS21" s="57">
        <v>1.0633869720726949E-6</v>
      </c>
      <c r="AT21" s="101">
        <f t="shared" si="14"/>
        <v>2.0927073140494173E-7</v>
      </c>
      <c r="AU21" s="92">
        <v>0.57465301048881601</v>
      </c>
      <c r="AV21" s="57">
        <v>3.6416885944255328E-7</v>
      </c>
      <c r="AW21" s="101">
        <f t="shared" si="15"/>
        <v>1.481347196394007E-7</v>
      </c>
      <c r="AX21" s="92">
        <v>0.57465301048881601</v>
      </c>
      <c r="AY21" s="57">
        <v>2.5778115999669636E-7</v>
      </c>
      <c r="AZ21" s="101">
        <f t="shared" si="16"/>
        <v>4.5302154541383352E-7</v>
      </c>
      <c r="BA21" s="92">
        <v>0.57465301048881601</v>
      </c>
      <c r="BB21" s="57">
        <v>7.883392884838116E-7</v>
      </c>
      <c r="BC21" s="101">
        <f t="shared" si="17"/>
        <v>1.1907887404244826E-7</v>
      </c>
      <c r="BD21" s="92">
        <v>0.57465301048881601</v>
      </c>
      <c r="BE21" s="57">
        <v>2.0721874221307293E-7</v>
      </c>
      <c r="BF21" s="101">
        <f t="shared" si="18"/>
        <v>1.2156890433845093E-7</v>
      </c>
      <c r="BG21" s="92">
        <v>0.57465301048881601</v>
      </c>
      <c r="BH21" s="57">
        <v>2.1155184453839543E-7</v>
      </c>
      <c r="BI21" s="101">
        <f t="shared" si="19"/>
        <v>2.1848412602668564E-6</v>
      </c>
      <c r="BJ21" s="92">
        <v>0.57465301048881601</v>
      </c>
      <c r="BK21" s="57">
        <v>3.8020182969342994E-6</v>
      </c>
      <c r="BL21" s="101">
        <f t="shared" si="20"/>
        <v>2.9725841465660793E-6</v>
      </c>
      <c r="BM21" s="92">
        <v>0.57465301048881601</v>
      </c>
      <c r="BN21" s="57">
        <v>5.1728331572430389E-6</v>
      </c>
      <c r="BO21" s="101">
        <f t="shared" si="21"/>
        <v>4.3676247127882532E-7</v>
      </c>
      <c r="BP21" s="92">
        <v>0.57465301048881601</v>
      </c>
      <c r="BQ21" s="57">
        <v>7.6004556368251313E-7</v>
      </c>
      <c r="BR21" s="101">
        <f t="shared" si="22"/>
        <v>1.6024913520811105E-6</v>
      </c>
      <c r="BS21" s="92">
        <v>0.57465301048881601</v>
      </c>
      <c r="BT21" s="57">
        <v>2.7886243051576225E-6</v>
      </c>
      <c r="BU21" s="101">
        <f t="shared" si="23"/>
        <v>4.6390844696006717E-7</v>
      </c>
      <c r="BV21" s="92">
        <v>0.57465301048881601</v>
      </c>
      <c r="BW21" s="57">
        <v>8.0728446295870551E-7</v>
      </c>
      <c r="BX21" s="101">
        <f t="shared" si="24"/>
        <v>5.6987899483694285E-7</v>
      </c>
      <c r="BY21" s="92">
        <v>0.57465301048881601</v>
      </c>
      <c r="BZ21" s="57">
        <v>9.9169235074952056E-7</v>
      </c>
      <c r="CA21" s="101">
        <f t="shared" si="25"/>
        <v>1.7568185516824169E-6</v>
      </c>
      <c r="CB21" s="92">
        <v>0.57465301048881601</v>
      </c>
      <c r="CC21" s="57">
        <v>3.0571814984280995E-6</v>
      </c>
      <c r="CD21" s="101">
        <f t="shared" si="26"/>
        <v>8.3129471329728228E-7</v>
      </c>
      <c r="CE21" s="92">
        <v>0.57465301048881601</v>
      </c>
      <c r="CF21" s="57">
        <v>1.4466029031852799E-6</v>
      </c>
      <c r="CG21" s="101">
        <f t="shared" si="27"/>
        <v>1.2798391124099423E-4</v>
      </c>
      <c r="CH21" s="92">
        <v>0.57465301048881601</v>
      </c>
      <c r="CI21" s="57">
        <v>2.2271511486928001E-4</v>
      </c>
      <c r="CJ21" s="101">
        <f t="shared" si="28"/>
        <v>1.7485616662329603E-4</v>
      </c>
      <c r="CK21" s="92">
        <v>0.57465301048881601</v>
      </c>
      <c r="CL21" s="57">
        <v>3.0428130268482967E-4</v>
      </c>
      <c r="CM21" s="101">
        <f t="shared" si="29"/>
        <v>0</v>
      </c>
      <c r="CN21" s="92">
        <v>0.57465301048881601</v>
      </c>
      <c r="CO21" s="57">
        <v>0</v>
      </c>
    </row>
    <row r="22" spans="1:93" ht="33.75">
      <c r="A22" s="38">
        <v>16</v>
      </c>
      <c r="B22" s="68" t="s">
        <v>79</v>
      </c>
      <c r="C22" s="46" t="s">
        <v>78</v>
      </c>
      <c r="D22" s="101">
        <f t="shared" si="0"/>
        <v>1.2236364039197166E-4</v>
      </c>
      <c r="E22" s="92">
        <v>0.54708978373197947</v>
      </c>
      <c r="F22" s="57">
        <v>2.236628137291591E-4</v>
      </c>
      <c r="G22" s="101">
        <f t="shared" si="1"/>
        <v>3.8543916967707596E-6</v>
      </c>
      <c r="H22" s="92">
        <v>0.54708978373197947</v>
      </c>
      <c r="I22" s="57">
        <v>7.0452635223381082E-6</v>
      </c>
      <c r="J22" s="101">
        <f t="shared" si="2"/>
        <v>2.6293698081617764E-4</v>
      </c>
      <c r="K22" s="92">
        <v>0.54708978373197947</v>
      </c>
      <c r="L22" s="57">
        <v>4.8061029219472877E-4</v>
      </c>
      <c r="M22" s="101">
        <f t="shared" si="3"/>
        <v>1.140162909874195E-3</v>
      </c>
      <c r="N22" s="92">
        <v>0.54708978373197947</v>
      </c>
      <c r="O22" s="57">
        <v>2.0840508153827332E-3</v>
      </c>
      <c r="P22" s="101">
        <f t="shared" si="4"/>
        <v>1.465944550877361E-4</v>
      </c>
      <c r="Q22" s="92">
        <v>0.54708978373197947</v>
      </c>
      <c r="R22" s="57">
        <v>2.6795319424124551E-4</v>
      </c>
      <c r="S22" s="101">
        <f t="shared" si="5"/>
        <v>1.1774844835368721E-4</v>
      </c>
      <c r="T22" s="92">
        <v>0.54708978373197947</v>
      </c>
      <c r="U22" s="57">
        <v>2.1522691860642099E-4</v>
      </c>
      <c r="V22" s="101">
        <f t="shared" si="6"/>
        <v>1.266322026831867E-4</v>
      </c>
      <c r="W22" s="92">
        <v>0.54708978373197947</v>
      </c>
      <c r="X22" s="57">
        <v>2.314651204403117E-4</v>
      </c>
      <c r="Y22" s="101">
        <f t="shared" si="7"/>
        <v>7.9003816883182654E-5</v>
      </c>
      <c r="Z22" s="92">
        <v>0.54708978373197947</v>
      </c>
      <c r="AA22" s="57">
        <v>1.444074066677999E-4</v>
      </c>
      <c r="AB22" s="101">
        <f t="shared" si="8"/>
        <v>2.2631151341510943E-4</v>
      </c>
      <c r="AC22" s="92">
        <v>0.54708978373197947</v>
      </c>
      <c r="AD22" s="57">
        <v>4.1366430181043179E-4</v>
      </c>
      <c r="AE22" s="101">
        <f t="shared" si="9"/>
        <v>7.1381003745339211E-4</v>
      </c>
      <c r="AF22" s="92">
        <v>0.54708978373197947</v>
      </c>
      <c r="AG22" s="57">
        <v>1.3047402065966731E-3</v>
      </c>
      <c r="AH22" s="101">
        <f t="shared" si="10"/>
        <v>7.7710031799029799E-5</v>
      </c>
      <c r="AI22" s="92">
        <v>0.54708978373197947</v>
      </c>
      <c r="AJ22" s="57">
        <v>1.4204255701674758E-4</v>
      </c>
      <c r="AK22" s="101">
        <f t="shared" si="11"/>
        <v>9.278740506139202E-7</v>
      </c>
      <c r="AL22" s="92">
        <v>0.54708978373197947</v>
      </c>
      <c r="AM22" s="57">
        <v>1.696017871663434E-6</v>
      </c>
      <c r="AN22" s="101">
        <f t="shared" si="12"/>
        <v>9.6703928605341768E-3</v>
      </c>
      <c r="AO22" s="92">
        <v>0.54708978373197947</v>
      </c>
      <c r="AP22" s="57">
        <v>1.7676061860573373E-2</v>
      </c>
      <c r="AQ22" s="101">
        <f t="shared" si="13"/>
        <v>6.1115759928965214E-5</v>
      </c>
      <c r="AR22" s="92">
        <v>0.54708978373197947</v>
      </c>
      <c r="AS22" s="57">
        <v>1.1171065837139807E-4</v>
      </c>
      <c r="AT22" s="101">
        <f t="shared" si="14"/>
        <v>6.7604864571501004E-6</v>
      </c>
      <c r="AU22" s="92">
        <v>0.54708978373197947</v>
      </c>
      <c r="AV22" s="57">
        <v>1.2357179128868687E-5</v>
      </c>
      <c r="AW22" s="101">
        <f t="shared" si="15"/>
        <v>1.9120948260616232E-5</v>
      </c>
      <c r="AX22" s="92">
        <v>0.54708978373197947</v>
      </c>
      <c r="AY22" s="57">
        <v>3.4950293039987799E-5</v>
      </c>
      <c r="AZ22" s="101">
        <f t="shared" si="16"/>
        <v>5.0608382674274458E-5</v>
      </c>
      <c r="BA22" s="92">
        <v>0.54708978373197947</v>
      </c>
      <c r="BB22" s="57">
        <v>9.2504711619816358E-5</v>
      </c>
      <c r="BC22" s="101">
        <f t="shared" si="17"/>
        <v>1.4283464771960803E-5</v>
      </c>
      <c r="BD22" s="92">
        <v>0.54708978373197947</v>
      </c>
      <c r="BE22" s="57">
        <v>2.6108081701920987E-5</v>
      </c>
      <c r="BF22" s="101">
        <f t="shared" si="18"/>
        <v>1.4373121654866937E-5</v>
      </c>
      <c r="BG22" s="92">
        <v>0.54708978373197947</v>
      </c>
      <c r="BH22" s="57">
        <v>2.6271961353071734E-5</v>
      </c>
      <c r="BI22" s="101">
        <f t="shared" si="19"/>
        <v>1.1091885902573661E-4</v>
      </c>
      <c r="BJ22" s="92">
        <v>0.54708978373197947</v>
      </c>
      <c r="BK22" s="57">
        <v>2.0274342955026924E-4</v>
      </c>
      <c r="BL22" s="101">
        <f t="shared" si="20"/>
        <v>1.287006154171185E-3</v>
      </c>
      <c r="BM22" s="92">
        <v>0.54708978373197947</v>
      </c>
      <c r="BN22" s="57">
        <v>2.3524587598617859E-3</v>
      </c>
      <c r="BO22" s="101">
        <f t="shared" si="21"/>
        <v>3.8115716933410767E-5</v>
      </c>
      <c r="BP22" s="92">
        <v>0.54708978373197947</v>
      </c>
      <c r="BQ22" s="57">
        <v>6.9669948273213858E-5</v>
      </c>
      <c r="BR22" s="101">
        <f t="shared" si="22"/>
        <v>8.492069918102664E-5</v>
      </c>
      <c r="BS22" s="92">
        <v>0.54708978373197947</v>
      </c>
      <c r="BT22" s="57">
        <v>1.5522260094447219E-4</v>
      </c>
      <c r="BU22" s="101">
        <f t="shared" si="23"/>
        <v>4.4334359020582796E-4</v>
      </c>
      <c r="BV22" s="92">
        <v>0.54708978373197947</v>
      </c>
      <c r="BW22" s="57">
        <v>8.10367152502016E-4</v>
      </c>
      <c r="BX22" s="101">
        <f t="shared" si="24"/>
        <v>3.9689135790029525E-4</v>
      </c>
      <c r="BY22" s="92">
        <v>0.54708978373197947</v>
      </c>
      <c r="BZ22" s="57">
        <v>7.2545927506248811E-4</v>
      </c>
      <c r="CA22" s="101">
        <f t="shared" si="25"/>
        <v>8.6001956145918983E-5</v>
      </c>
      <c r="CB22" s="92">
        <v>0.54708978373197947</v>
      </c>
      <c r="CC22" s="57">
        <v>1.5719898031956586E-4</v>
      </c>
      <c r="CD22" s="101">
        <f t="shared" si="26"/>
        <v>3.3004792440471665E-4</v>
      </c>
      <c r="CE22" s="92">
        <v>0.54708978373197947</v>
      </c>
      <c r="CF22" s="57">
        <v>6.0327926826432544E-4</v>
      </c>
      <c r="CG22" s="101">
        <f t="shared" si="27"/>
        <v>4.2668574642461997E-4</v>
      </c>
      <c r="CH22" s="92">
        <v>0.54708978373197947</v>
      </c>
      <c r="CI22" s="57">
        <v>7.7991905371359359E-4</v>
      </c>
      <c r="CJ22" s="101">
        <f t="shared" si="28"/>
        <v>2.035167465833623E-3</v>
      </c>
      <c r="CK22" s="92">
        <v>0.54708978373197947</v>
      </c>
      <c r="CL22" s="57">
        <v>3.7199880647573128E-3</v>
      </c>
      <c r="CM22" s="101">
        <f t="shared" si="29"/>
        <v>0</v>
      </c>
      <c r="CN22" s="92">
        <v>0.54708978373197947</v>
      </c>
      <c r="CO22" s="57">
        <v>0</v>
      </c>
    </row>
    <row r="23" spans="1:93">
      <c r="A23" s="38">
        <v>17</v>
      </c>
      <c r="B23" s="68" t="s">
        <v>77</v>
      </c>
      <c r="C23" s="46" t="s">
        <v>76</v>
      </c>
      <c r="D23" s="101">
        <f t="shared" si="0"/>
        <v>6.7540804150994387E-4</v>
      </c>
      <c r="E23" s="92">
        <v>0.54623322863643142</v>
      </c>
      <c r="F23" s="57">
        <v>1.2364828906435683E-3</v>
      </c>
      <c r="G23" s="101">
        <f t="shared" si="1"/>
        <v>4.282142527883926E-5</v>
      </c>
      <c r="H23" s="92">
        <v>0.54623322863643142</v>
      </c>
      <c r="I23" s="57">
        <v>7.8394032134835329E-5</v>
      </c>
      <c r="J23" s="101">
        <f t="shared" si="2"/>
        <v>1.2851995470395457E-4</v>
      </c>
      <c r="K23" s="92">
        <v>0.54623322863643142</v>
      </c>
      <c r="L23" s="57">
        <v>2.3528402881088078E-4</v>
      </c>
      <c r="M23" s="101">
        <f t="shared" si="3"/>
        <v>3.0540919010367215E-4</v>
      </c>
      <c r="N23" s="92">
        <v>0.54623322863643142</v>
      </c>
      <c r="O23" s="57">
        <v>5.5911865864709254E-4</v>
      </c>
      <c r="P23" s="101">
        <f t="shared" si="4"/>
        <v>2.6753844413624037E-4</v>
      </c>
      <c r="Q23" s="92">
        <v>0.54623322863643142</v>
      </c>
      <c r="R23" s="57">
        <v>4.8978793326817519E-4</v>
      </c>
      <c r="S23" s="101">
        <f t="shared" si="5"/>
        <v>1.6592341676688926E-4</v>
      </c>
      <c r="T23" s="92">
        <v>0.54623322863643142</v>
      </c>
      <c r="U23" s="57">
        <v>3.0375928828256364E-4</v>
      </c>
      <c r="V23" s="101">
        <f t="shared" si="6"/>
        <v>3.6587479245642885E-4</v>
      </c>
      <c r="W23" s="92">
        <v>0.54623322863643142</v>
      </c>
      <c r="X23" s="57">
        <v>6.6981423552310516E-4</v>
      </c>
      <c r="Y23" s="101">
        <f t="shared" si="7"/>
        <v>3.7348274242887273E-4</v>
      </c>
      <c r="Z23" s="92">
        <v>0.54623322863643142</v>
      </c>
      <c r="AA23" s="57">
        <v>6.8374226035498094E-4</v>
      </c>
      <c r="AB23" s="101">
        <f t="shared" si="8"/>
        <v>3.1848349879606629E-4</v>
      </c>
      <c r="AC23" s="92">
        <v>0.54623322863643142</v>
      </c>
      <c r="AD23" s="57">
        <v>5.8305405475075271E-4</v>
      </c>
      <c r="AE23" s="101">
        <f t="shared" si="9"/>
        <v>4.6342156516095704E-4</v>
      </c>
      <c r="AF23" s="92">
        <v>0.54623322863643142</v>
      </c>
      <c r="AG23" s="57">
        <v>8.483950460461768E-4</v>
      </c>
      <c r="AH23" s="101">
        <f t="shared" si="10"/>
        <v>1.2232677138709941E-3</v>
      </c>
      <c r="AI23" s="92">
        <v>0.54623322863643142</v>
      </c>
      <c r="AJ23" s="57">
        <v>2.239460453412276E-3</v>
      </c>
      <c r="AK23" s="101">
        <f t="shared" si="11"/>
        <v>1.5368294072083927E-5</v>
      </c>
      <c r="AL23" s="92">
        <v>0.54623322863643142</v>
      </c>
      <c r="AM23" s="57">
        <v>2.8135040613417063E-5</v>
      </c>
      <c r="AN23" s="101">
        <f t="shared" si="12"/>
        <v>0.5645897165496786</v>
      </c>
      <c r="AO23" s="92">
        <v>0.54623322863643142</v>
      </c>
      <c r="AP23" s="57">
        <v>1.0336055863153377</v>
      </c>
      <c r="AQ23" s="101">
        <f t="shared" si="13"/>
        <v>2.9418284453352984E-4</v>
      </c>
      <c r="AR23" s="92">
        <v>0.54623322863643142</v>
      </c>
      <c r="AS23" s="57">
        <v>5.3856636526470941E-4</v>
      </c>
      <c r="AT23" s="101">
        <f t="shared" si="14"/>
        <v>1.1237192259290688E-4</v>
      </c>
      <c r="AU23" s="92">
        <v>0.54623322863643142</v>
      </c>
      <c r="AV23" s="57">
        <v>2.0572150631228031E-4</v>
      </c>
      <c r="AW23" s="101">
        <f t="shared" si="15"/>
        <v>2.2889922125859176E-4</v>
      </c>
      <c r="AX23" s="92">
        <v>0.54623322863643142</v>
      </c>
      <c r="AY23" s="57">
        <v>4.1905034197570814E-4</v>
      </c>
      <c r="AZ23" s="101">
        <f t="shared" si="16"/>
        <v>6.5735411178927854E-4</v>
      </c>
      <c r="BA23" s="92">
        <v>0.54623322863643142</v>
      </c>
      <c r="BB23" s="57">
        <v>1.2034312036091972E-3</v>
      </c>
      <c r="BC23" s="101">
        <f t="shared" si="17"/>
        <v>1.8069775365517229E-4</v>
      </c>
      <c r="BD23" s="92">
        <v>0.54623322863643142</v>
      </c>
      <c r="BE23" s="57">
        <v>3.3080695970519824E-4</v>
      </c>
      <c r="BF23" s="101">
        <f t="shared" si="18"/>
        <v>1.5023419317642485E-4</v>
      </c>
      <c r="BG23" s="92">
        <v>0.54623322863643142</v>
      </c>
      <c r="BH23" s="57">
        <v>2.750367156378536E-4</v>
      </c>
      <c r="BI23" s="101">
        <f t="shared" si="19"/>
        <v>5.2667407039129238E-4</v>
      </c>
      <c r="BJ23" s="92">
        <v>0.54623322863643142</v>
      </c>
      <c r="BK23" s="57">
        <v>9.6419266126675446E-4</v>
      </c>
      <c r="BL23" s="101">
        <f t="shared" si="20"/>
        <v>5.1982149162218194E-4</v>
      </c>
      <c r="BM23" s="92">
        <v>0.54623322863643142</v>
      </c>
      <c r="BN23" s="57">
        <v>9.5164750947103406E-4</v>
      </c>
      <c r="BO23" s="101">
        <f t="shared" si="21"/>
        <v>2.1807003920646498E-4</v>
      </c>
      <c r="BP23" s="92">
        <v>0.54623322863643142</v>
      </c>
      <c r="BQ23" s="57">
        <v>3.9922514371898584E-4</v>
      </c>
      <c r="BR23" s="101">
        <f t="shared" si="22"/>
        <v>3.1113712303465149E-4</v>
      </c>
      <c r="BS23" s="92">
        <v>0.54623322863643142</v>
      </c>
      <c r="BT23" s="57">
        <v>5.6960489901236296E-4</v>
      </c>
      <c r="BU23" s="101">
        <f t="shared" si="23"/>
        <v>1.0011150164515193E-3</v>
      </c>
      <c r="BV23" s="92">
        <v>0.54623322863643142</v>
      </c>
      <c r="BW23" s="57">
        <v>1.8327611063695534E-3</v>
      </c>
      <c r="BX23" s="101">
        <f t="shared" si="24"/>
        <v>1.0444429547255025E-3</v>
      </c>
      <c r="BY23" s="92">
        <v>0.54623322863643142</v>
      </c>
      <c r="BZ23" s="57">
        <v>1.9120824218855342E-3</v>
      </c>
      <c r="CA23" s="101">
        <f t="shared" si="25"/>
        <v>1.9448482339420924E-3</v>
      </c>
      <c r="CB23" s="92">
        <v>0.54623322863643142</v>
      </c>
      <c r="CC23" s="57">
        <v>3.5604722158647148E-3</v>
      </c>
      <c r="CD23" s="101">
        <f t="shared" si="26"/>
        <v>3.3512482848842994E-4</v>
      </c>
      <c r="CE23" s="92">
        <v>0.54623322863643142</v>
      </c>
      <c r="CF23" s="57">
        <v>6.1351966691042595E-4</v>
      </c>
      <c r="CG23" s="101">
        <f t="shared" si="27"/>
        <v>2.3928482809527606E-3</v>
      </c>
      <c r="CH23" s="92">
        <v>0.54623322863643142</v>
      </c>
      <c r="CI23" s="57">
        <v>4.3806347829224096E-3</v>
      </c>
      <c r="CJ23" s="101">
        <f t="shared" si="28"/>
        <v>3.7168653211849138E-2</v>
      </c>
      <c r="CK23" s="92">
        <v>0.54623322863643142</v>
      </c>
      <c r="CL23" s="57">
        <v>6.8045390253232474E-2</v>
      </c>
      <c r="CM23" s="101">
        <f t="shared" si="29"/>
        <v>0</v>
      </c>
      <c r="CN23" s="92">
        <v>0.54623322863643142</v>
      </c>
      <c r="CO23" s="57">
        <v>0</v>
      </c>
    </row>
    <row r="24" spans="1:93">
      <c r="A24" s="38">
        <v>18</v>
      </c>
      <c r="B24" s="68" t="s">
        <v>75</v>
      </c>
      <c r="C24" s="46" t="s">
        <v>74</v>
      </c>
      <c r="D24" s="101">
        <f t="shared" si="0"/>
        <v>1.2752440990800996E-5</v>
      </c>
      <c r="E24" s="92">
        <v>0.55258829562896883</v>
      </c>
      <c r="F24" s="57">
        <v>2.3077653094852239E-5</v>
      </c>
      <c r="G24" s="101">
        <f t="shared" si="1"/>
        <v>6.8218831900621596E-6</v>
      </c>
      <c r="H24" s="92">
        <v>0.55258829562896883</v>
      </c>
      <c r="I24" s="57">
        <v>1.2345326971316563E-5</v>
      </c>
      <c r="J24" s="101">
        <f t="shared" si="2"/>
        <v>3.2833227587402566E-6</v>
      </c>
      <c r="K24" s="92">
        <v>0.55258829562896883</v>
      </c>
      <c r="L24" s="57">
        <v>5.9417160745381013E-6</v>
      </c>
      <c r="M24" s="101">
        <f t="shared" si="3"/>
        <v>5.8772793561878682E-6</v>
      </c>
      <c r="N24" s="92">
        <v>0.55258829562896883</v>
      </c>
      <c r="O24" s="57">
        <v>1.0635909958060571E-5</v>
      </c>
      <c r="P24" s="101">
        <f t="shared" si="4"/>
        <v>1.3141831276362566E-5</v>
      </c>
      <c r="Q24" s="92">
        <v>0.55258829562896883</v>
      </c>
      <c r="R24" s="57">
        <v>2.3782319278775581E-5</v>
      </c>
      <c r="S24" s="101">
        <f t="shared" si="5"/>
        <v>1.1069490145967598E-5</v>
      </c>
      <c r="T24" s="92">
        <v>0.55258829562896883</v>
      </c>
      <c r="U24" s="57">
        <v>2.0032074934500825E-5</v>
      </c>
      <c r="V24" s="101">
        <f t="shared" si="6"/>
        <v>5.8659943697867814E-6</v>
      </c>
      <c r="W24" s="92">
        <v>0.55258829562896883</v>
      </c>
      <c r="X24" s="57">
        <v>1.061548790697778E-5</v>
      </c>
      <c r="Y24" s="101">
        <f t="shared" si="7"/>
        <v>5.8079208003669202E-6</v>
      </c>
      <c r="Z24" s="92">
        <v>0.55258829562896883</v>
      </c>
      <c r="AA24" s="57">
        <v>1.0510394169236267E-5</v>
      </c>
      <c r="AB24" s="101">
        <f t="shared" si="8"/>
        <v>7.4937741210580156E-6</v>
      </c>
      <c r="AC24" s="92">
        <v>0.55258829562896883</v>
      </c>
      <c r="AD24" s="57">
        <v>1.3561224840146909E-5</v>
      </c>
      <c r="AE24" s="101">
        <f t="shared" si="9"/>
        <v>7.9528125563355027E-6</v>
      </c>
      <c r="AF24" s="92">
        <v>0.55258829562896883</v>
      </c>
      <c r="AG24" s="57">
        <v>1.4391930880988759E-5</v>
      </c>
      <c r="AH24" s="101">
        <f t="shared" si="10"/>
        <v>1.4951209429405941E-5</v>
      </c>
      <c r="AI24" s="92">
        <v>0.55258829562896883</v>
      </c>
      <c r="AJ24" s="57">
        <v>2.7056688582931579E-5</v>
      </c>
      <c r="AK24" s="101">
        <f t="shared" si="11"/>
        <v>1.9752667081748088E-7</v>
      </c>
      <c r="AL24" s="92">
        <v>0.55258829562896883</v>
      </c>
      <c r="AM24" s="57">
        <v>3.5745721069363482E-7</v>
      </c>
      <c r="AN24" s="101">
        <f t="shared" si="12"/>
        <v>1.7835495738283113E-6</v>
      </c>
      <c r="AO24" s="92">
        <v>0.55258829562896883</v>
      </c>
      <c r="AP24" s="57">
        <v>3.2276282142353988E-6</v>
      </c>
      <c r="AQ24" s="101">
        <f t="shared" si="13"/>
        <v>7.7437416254188067E-6</v>
      </c>
      <c r="AR24" s="92">
        <v>0.55258829562896883</v>
      </c>
      <c r="AS24" s="57">
        <v>1.4013582420533718E-5</v>
      </c>
      <c r="AT24" s="101">
        <f t="shared" si="14"/>
        <v>1.1266383296893514E-6</v>
      </c>
      <c r="AU24" s="92">
        <v>0.55258829562896883</v>
      </c>
      <c r="AV24" s="57">
        <v>2.0388385686073671E-6</v>
      </c>
      <c r="AW24" s="101">
        <f t="shared" si="15"/>
        <v>3.5070576219456625E-6</v>
      </c>
      <c r="AX24" s="92">
        <v>0.55258829562896883</v>
      </c>
      <c r="AY24" s="57">
        <v>6.3466013480322598E-6</v>
      </c>
      <c r="AZ24" s="101">
        <f t="shared" si="16"/>
        <v>1.0073000653153001E-5</v>
      </c>
      <c r="BA24" s="92">
        <v>0.55258829562896883</v>
      </c>
      <c r="BB24" s="57">
        <v>1.8228762231903008E-5</v>
      </c>
      <c r="BC24" s="101">
        <f t="shared" si="17"/>
        <v>2.4859276898501654E-6</v>
      </c>
      <c r="BD24" s="92">
        <v>0.55258829562896883</v>
      </c>
      <c r="BE24" s="57">
        <v>4.4986976914171239E-6</v>
      </c>
      <c r="BF24" s="101">
        <f t="shared" si="18"/>
        <v>2.4150561901280016E-6</v>
      </c>
      <c r="BG24" s="92">
        <v>0.55258829562896883</v>
      </c>
      <c r="BH24" s="57">
        <v>4.3704439801409992E-6</v>
      </c>
      <c r="BI24" s="101">
        <f t="shared" si="19"/>
        <v>7.8789253409654999E-6</v>
      </c>
      <c r="BJ24" s="92">
        <v>0.55258829562896883</v>
      </c>
      <c r="BK24" s="57">
        <v>1.4258219733006694E-5</v>
      </c>
      <c r="BL24" s="101">
        <f t="shared" si="20"/>
        <v>9.5566687580327123E-6</v>
      </c>
      <c r="BM24" s="92">
        <v>0.55258829562896883</v>
      </c>
      <c r="BN24" s="57">
        <v>1.7294374190743743E-5</v>
      </c>
      <c r="BO24" s="101">
        <f t="shared" si="21"/>
        <v>9.9437827836064395E-6</v>
      </c>
      <c r="BP24" s="92">
        <v>0.55258829562896883</v>
      </c>
      <c r="BQ24" s="57">
        <v>1.7994921105392207E-5</v>
      </c>
      <c r="BR24" s="101">
        <f t="shared" si="22"/>
        <v>1.0719899640572261E-5</v>
      </c>
      <c r="BS24" s="92">
        <v>0.55258829562896883</v>
      </c>
      <c r="BT24" s="57">
        <v>1.9399433041502666E-5</v>
      </c>
      <c r="BU24" s="101">
        <f t="shared" si="23"/>
        <v>2.337653277755489E-5</v>
      </c>
      <c r="BV24" s="92">
        <v>0.55258829562896883</v>
      </c>
      <c r="BW24" s="57">
        <v>4.2303705964215503E-5</v>
      </c>
      <c r="BX24" s="101">
        <f t="shared" si="24"/>
        <v>1.3765749040004453E-5</v>
      </c>
      <c r="BY24" s="92">
        <v>0.55258829562896883</v>
      </c>
      <c r="BZ24" s="57">
        <v>2.4911401759488876E-5</v>
      </c>
      <c r="CA24" s="101">
        <f t="shared" si="25"/>
        <v>1.9077857206334099E-4</v>
      </c>
      <c r="CB24" s="92">
        <v>0.55258829562896883</v>
      </c>
      <c r="CC24" s="57">
        <v>3.4524540887387485E-4</v>
      </c>
      <c r="CD24" s="101">
        <f t="shared" si="26"/>
        <v>4.9183490068090736E-5</v>
      </c>
      <c r="CE24" s="92">
        <v>0.55258829562896883</v>
      </c>
      <c r="CF24" s="57">
        <v>8.9005667432946522E-5</v>
      </c>
      <c r="CG24" s="101">
        <f t="shared" si="27"/>
        <v>2.8554674572298547E-3</v>
      </c>
      <c r="CH24" s="92">
        <v>0.55258829562896883</v>
      </c>
      <c r="CI24" s="57">
        <v>5.1674410765065069E-3</v>
      </c>
      <c r="CJ24" s="101">
        <f t="shared" si="28"/>
        <v>5.9051575499595086E-4</v>
      </c>
      <c r="CK24" s="92">
        <v>0.55258829562896883</v>
      </c>
      <c r="CL24" s="57">
        <v>1.0686360164827815E-3</v>
      </c>
      <c r="CM24" s="101">
        <f t="shared" si="29"/>
        <v>0</v>
      </c>
      <c r="CN24" s="92">
        <v>0.55258829562896883</v>
      </c>
      <c r="CO24" s="57">
        <v>0</v>
      </c>
    </row>
    <row r="25" spans="1:93">
      <c r="A25" s="38">
        <v>19</v>
      </c>
      <c r="B25" s="68" t="s">
        <v>73</v>
      </c>
      <c r="C25" s="46" t="s">
        <v>72</v>
      </c>
      <c r="D25" s="101">
        <f t="shared" si="0"/>
        <v>1.0332197279455281E-4</v>
      </c>
      <c r="E25" s="92">
        <v>0.43721098020349913</v>
      </c>
      <c r="F25" s="57">
        <v>2.3632062659190709E-4</v>
      </c>
      <c r="G25" s="101">
        <f t="shared" si="1"/>
        <v>1.8467705934055143E-5</v>
      </c>
      <c r="H25" s="92">
        <v>0.43721098020349913</v>
      </c>
      <c r="I25" s="57">
        <v>4.2239803596559677E-5</v>
      </c>
      <c r="J25" s="101">
        <f t="shared" si="2"/>
        <v>1.5426388175428514E-4</v>
      </c>
      <c r="K25" s="92">
        <v>0.43721098020349913</v>
      </c>
      <c r="L25" s="57">
        <v>3.528362478053119E-4</v>
      </c>
      <c r="M25" s="101">
        <f t="shared" si="3"/>
        <v>5.6450451806141979E-4</v>
      </c>
      <c r="N25" s="92">
        <v>0.43721098020349913</v>
      </c>
      <c r="O25" s="57">
        <v>1.291148995843316E-3</v>
      </c>
      <c r="P25" s="101">
        <f t="shared" si="4"/>
        <v>2.9979248592746629E-4</v>
      </c>
      <c r="Q25" s="92">
        <v>0.43721098020349913</v>
      </c>
      <c r="R25" s="57">
        <v>6.8569294803147072E-4</v>
      </c>
      <c r="S25" s="101">
        <f t="shared" si="5"/>
        <v>1.6777026969091178E-4</v>
      </c>
      <c r="T25" s="92">
        <v>0.43721098020349913</v>
      </c>
      <c r="U25" s="57">
        <v>3.8372839953109908E-4</v>
      </c>
      <c r="V25" s="101">
        <f t="shared" si="6"/>
        <v>1.3693963389318179E-3</v>
      </c>
      <c r="W25" s="92">
        <v>0.43721098020349913</v>
      </c>
      <c r="X25" s="57">
        <v>3.1321179040252707E-3</v>
      </c>
      <c r="Y25" s="101">
        <f t="shared" si="7"/>
        <v>2.7412519086858592E-4</v>
      </c>
      <c r="Z25" s="92">
        <v>0.43721098020349913</v>
      </c>
      <c r="AA25" s="57">
        <v>6.2698606229192786E-4</v>
      </c>
      <c r="AB25" s="101">
        <f t="shared" si="8"/>
        <v>1.0819402219789357E-3</v>
      </c>
      <c r="AC25" s="92">
        <v>0.43721098020349913</v>
      </c>
      <c r="AD25" s="57">
        <v>2.4746410107892268E-3</v>
      </c>
      <c r="AE25" s="101">
        <f t="shared" si="9"/>
        <v>1.5761753518215471E-3</v>
      </c>
      <c r="AF25" s="92">
        <v>0.43721098020349913</v>
      </c>
      <c r="AG25" s="57">
        <v>3.6050680865515293E-3</v>
      </c>
      <c r="AH25" s="101">
        <f t="shared" si="10"/>
        <v>2.3487861828877209E-4</v>
      </c>
      <c r="AI25" s="92">
        <v>0.43721098020349913</v>
      </c>
      <c r="AJ25" s="57">
        <v>5.372203099278253E-4</v>
      </c>
      <c r="AK25" s="101">
        <f t="shared" si="11"/>
        <v>1.9638684779320135E-6</v>
      </c>
      <c r="AL25" s="92">
        <v>0.43721098020349913</v>
      </c>
      <c r="AM25" s="57">
        <v>4.4918095996078009E-6</v>
      </c>
      <c r="AN25" s="101">
        <f t="shared" si="12"/>
        <v>2.9838314016204621E-5</v>
      </c>
      <c r="AO25" s="92">
        <v>0.43721098020349913</v>
      </c>
      <c r="AP25" s="57">
        <v>6.8246945678986437E-5</v>
      </c>
      <c r="AQ25" s="101">
        <f t="shared" si="13"/>
        <v>5.7826970954305112E-4</v>
      </c>
      <c r="AR25" s="92">
        <v>0.43721098020349913</v>
      </c>
      <c r="AS25" s="57">
        <v>1.3226330895758757E-3</v>
      </c>
      <c r="AT25" s="101">
        <f t="shared" si="14"/>
        <v>6.4604239564162853E-5</v>
      </c>
      <c r="AU25" s="92">
        <v>0.43721098020349913</v>
      </c>
      <c r="AV25" s="57">
        <v>1.4776444894886427E-4</v>
      </c>
      <c r="AW25" s="101">
        <f t="shared" si="15"/>
        <v>9.7616638247452437E-4</v>
      </c>
      <c r="AX25" s="92">
        <v>0.43721098020349913</v>
      </c>
      <c r="AY25" s="57">
        <v>2.2327124127124376E-3</v>
      </c>
      <c r="AZ25" s="101">
        <f t="shared" si="16"/>
        <v>5.6621487874024897E-4</v>
      </c>
      <c r="BA25" s="92">
        <v>0.43721098020349913</v>
      </c>
      <c r="BB25" s="57">
        <v>1.2950609759999742E-3</v>
      </c>
      <c r="BC25" s="101">
        <f t="shared" si="17"/>
        <v>1.1570289657440558E-4</v>
      </c>
      <c r="BD25" s="92">
        <v>0.43721098020349913</v>
      </c>
      <c r="BE25" s="57">
        <v>2.6463858826361554E-4</v>
      </c>
      <c r="BF25" s="101">
        <f t="shared" si="18"/>
        <v>6.1242029199092126E-4</v>
      </c>
      <c r="BG25" s="92">
        <v>0.43721098020349913</v>
      </c>
      <c r="BH25" s="57">
        <v>1.4007431645606688E-3</v>
      </c>
      <c r="BI25" s="101">
        <f t="shared" si="19"/>
        <v>2.1481486679549408E-3</v>
      </c>
      <c r="BJ25" s="92">
        <v>0.43721098020349913</v>
      </c>
      <c r="BK25" s="57">
        <v>4.9132999060432754E-3</v>
      </c>
      <c r="BL25" s="101">
        <f t="shared" si="20"/>
        <v>6.214868317677604E-3</v>
      </c>
      <c r="BM25" s="92">
        <v>0.43721098020349913</v>
      </c>
      <c r="BN25" s="57">
        <v>1.4214803834032036E-2</v>
      </c>
      <c r="BO25" s="101">
        <f t="shared" si="21"/>
        <v>1.3310495174560411E-4</v>
      </c>
      <c r="BP25" s="92">
        <v>0.43721098020349913</v>
      </c>
      <c r="BQ25" s="57">
        <v>3.0444100851184164E-4</v>
      </c>
      <c r="BR25" s="101">
        <f t="shared" si="22"/>
        <v>5.8053890203732007E-4</v>
      </c>
      <c r="BS25" s="92">
        <v>0.43721098020349913</v>
      </c>
      <c r="BT25" s="57">
        <v>1.3278232439796209E-3</v>
      </c>
      <c r="BU25" s="101">
        <f t="shared" si="23"/>
        <v>4.1595122841987255E-4</v>
      </c>
      <c r="BV25" s="92">
        <v>0.43721098020349913</v>
      </c>
      <c r="BW25" s="57">
        <v>9.5137415859562519E-4</v>
      </c>
      <c r="BX25" s="101">
        <f t="shared" si="24"/>
        <v>2.5164165582224274E-4</v>
      </c>
      <c r="BY25" s="92">
        <v>0.43721098020349913</v>
      </c>
      <c r="BZ25" s="57">
        <v>5.7556115289034268E-4</v>
      </c>
      <c r="CA25" s="101">
        <f t="shared" si="25"/>
        <v>9.6666140690502419E-5</v>
      </c>
      <c r="CB25" s="92">
        <v>0.43721098020349913</v>
      </c>
      <c r="CC25" s="57">
        <v>2.2109723924479052E-4</v>
      </c>
      <c r="CD25" s="101">
        <f t="shared" si="26"/>
        <v>1.6826934087164116E-4</v>
      </c>
      <c r="CE25" s="92">
        <v>0.43721098020349913</v>
      </c>
      <c r="CF25" s="57">
        <v>3.8486988774463185E-4</v>
      </c>
      <c r="CG25" s="101">
        <f t="shared" si="27"/>
        <v>4.4440418700761672E-4</v>
      </c>
      <c r="CH25" s="92">
        <v>0.43721098020349913</v>
      </c>
      <c r="CI25" s="57">
        <v>1.0164524843378122E-3</v>
      </c>
      <c r="CJ25" s="101">
        <f t="shared" si="28"/>
        <v>7.3878670865899765E-4</v>
      </c>
      <c r="CK25" s="92">
        <v>0.43721098020349913</v>
      </c>
      <c r="CL25" s="57">
        <v>1.6897716253949765E-3</v>
      </c>
      <c r="CM25" s="101">
        <f t="shared" si="29"/>
        <v>0</v>
      </c>
      <c r="CN25" s="92">
        <v>0.43721098020349913</v>
      </c>
      <c r="CO25" s="57">
        <v>0</v>
      </c>
    </row>
    <row r="26" spans="1:93">
      <c r="A26" s="38">
        <v>20</v>
      </c>
      <c r="B26" s="68" t="s">
        <v>71</v>
      </c>
      <c r="C26" s="46" t="s">
        <v>70</v>
      </c>
      <c r="D26" s="101">
        <f t="shared" si="0"/>
        <v>4.1205715377415613E-3</v>
      </c>
      <c r="E26" s="92">
        <v>0.41732332312878395</v>
      </c>
      <c r="F26" s="57">
        <v>9.8738108065672923E-3</v>
      </c>
      <c r="G26" s="101">
        <f t="shared" si="1"/>
        <v>1.6738132384723332E-3</v>
      </c>
      <c r="H26" s="92">
        <v>0.41732332312878395</v>
      </c>
      <c r="I26" s="57">
        <v>4.0108308012198075E-3</v>
      </c>
      <c r="J26" s="101">
        <f t="shared" si="2"/>
        <v>5.183360844961181E-4</v>
      </c>
      <c r="K26" s="92">
        <v>0.41732332312878395</v>
      </c>
      <c r="L26" s="57">
        <v>1.2420491637275737E-3</v>
      </c>
      <c r="M26" s="101">
        <f t="shared" si="3"/>
        <v>5.096274752929046E-3</v>
      </c>
      <c r="N26" s="92">
        <v>0.41732332312878395</v>
      </c>
      <c r="O26" s="57">
        <v>1.2211813887421673E-2</v>
      </c>
      <c r="P26" s="101">
        <f t="shared" si="4"/>
        <v>4.6802656538077044E-3</v>
      </c>
      <c r="Q26" s="92">
        <v>0.41732332312878395</v>
      </c>
      <c r="R26" s="57">
        <v>1.1214963062017498E-2</v>
      </c>
      <c r="S26" s="101">
        <f t="shared" si="5"/>
        <v>3.2599553062762536E-3</v>
      </c>
      <c r="T26" s="92">
        <v>0.41732332312878395</v>
      </c>
      <c r="U26" s="57">
        <v>7.8115818733434346E-3</v>
      </c>
      <c r="V26" s="101">
        <f t="shared" si="6"/>
        <v>1.3431770375175141E-3</v>
      </c>
      <c r="W26" s="92">
        <v>0.41732332312878395</v>
      </c>
      <c r="X26" s="57">
        <v>3.2185525300799356E-3</v>
      </c>
      <c r="Y26" s="101">
        <f t="shared" si="7"/>
        <v>8.9842553447277962E-4</v>
      </c>
      <c r="Z26" s="92">
        <v>0.41732332312878395</v>
      </c>
      <c r="AA26" s="57">
        <v>2.1528284777784391E-3</v>
      </c>
      <c r="AB26" s="101">
        <f t="shared" si="8"/>
        <v>3.0617027037954546E-3</v>
      </c>
      <c r="AC26" s="92">
        <v>0.41732332312878395</v>
      </c>
      <c r="AD26" s="57">
        <v>7.3365243064802965E-3</v>
      </c>
      <c r="AE26" s="101">
        <f t="shared" si="9"/>
        <v>1.4811295404677551E-3</v>
      </c>
      <c r="AF26" s="92">
        <v>0.41732332312878395</v>
      </c>
      <c r="AG26" s="57">
        <v>3.5491175747459618E-3</v>
      </c>
      <c r="AH26" s="101">
        <f t="shared" si="10"/>
        <v>1.2452742675714105E-3</v>
      </c>
      <c r="AI26" s="92">
        <v>0.41732332312878395</v>
      </c>
      <c r="AJ26" s="57">
        <v>2.9839556012236702E-3</v>
      </c>
      <c r="AK26" s="101">
        <f t="shared" si="11"/>
        <v>2.177253795339336E-5</v>
      </c>
      <c r="AL26" s="92">
        <v>0.41732332312878395</v>
      </c>
      <c r="AM26" s="57">
        <v>5.2171869499549779E-5</v>
      </c>
      <c r="AN26" s="101">
        <f t="shared" si="12"/>
        <v>3.4824446023832314E-4</v>
      </c>
      <c r="AO26" s="92">
        <v>0.41732332312878395</v>
      </c>
      <c r="AP26" s="57">
        <v>8.3447159777086453E-4</v>
      </c>
      <c r="AQ26" s="101">
        <f t="shared" si="13"/>
        <v>0.4208244767720658</v>
      </c>
      <c r="AR26" s="92">
        <v>0.41732332312878395</v>
      </c>
      <c r="AS26" s="57">
        <v>1.0083895470232356</v>
      </c>
      <c r="AT26" s="101">
        <f t="shared" si="14"/>
        <v>1.8305530456114806E-4</v>
      </c>
      <c r="AU26" s="92">
        <v>0.41732332312878395</v>
      </c>
      <c r="AV26" s="57">
        <v>4.3864144277567271E-4</v>
      </c>
      <c r="AW26" s="101">
        <f t="shared" si="15"/>
        <v>4.2838090076596726E-4</v>
      </c>
      <c r="AX26" s="92">
        <v>0.41732332312878395</v>
      </c>
      <c r="AY26" s="57">
        <v>1.0264964286066777E-3</v>
      </c>
      <c r="AZ26" s="101">
        <f t="shared" si="16"/>
        <v>1.1615574168897683E-3</v>
      </c>
      <c r="BA26" s="92">
        <v>0.41732332312878395</v>
      </c>
      <c r="BB26" s="57">
        <v>2.7833513070423753E-3</v>
      </c>
      <c r="BC26" s="101">
        <f t="shared" si="17"/>
        <v>2.8123835764388451E-4</v>
      </c>
      <c r="BD26" s="92">
        <v>0.41732332312878395</v>
      </c>
      <c r="BE26" s="57">
        <v>6.7390999270149998E-4</v>
      </c>
      <c r="BF26" s="101">
        <f t="shared" si="18"/>
        <v>3.3711479086199922E-4</v>
      </c>
      <c r="BG26" s="92">
        <v>0.41732332312878395</v>
      </c>
      <c r="BH26" s="57">
        <v>8.0780242123675223E-4</v>
      </c>
      <c r="BI26" s="101">
        <f t="shared" si="19"/>
        <v>1.1508741295911855E-3</v>
      </c>
      <c r="BJ26" s="92">
        <v>0.41732332312878395</v>
      </c>
      <c r="BK26" s="57">
        <v>2.7577517617821505E-3</v>
      </c>
      <c r="BL26" s="101">
        <f t="shared" si="20"/>
        <v>3.5320185291489764E-3</v>
      </c>
      <c r="BM26" s="92">
        <v>0.41732332312878395</v>
      </c>
      <c r="BN26" s="57">
        <v>8.4635061914788128E-3</v>
      </c>
      <c r="BO26" s="101">
        <f t="shared" si="21"/>
        <v>1.5004766834162927E-3</v>
      </c>
      <c r="BP26" s="92">
        <v>0.41732332312878395</v>
      </c>
      <c r="BQ26" s="57">
        <v>3.595477655470631E-3</v>
      </c>
      <c r="BR26" s="101">
        <f t="shared" si="22"/>
        <v>1.4887768307419511E-2</v>
      </c>
      <c r="BS26" s="92">
        <v>0.41732332312878395</v>
      </c>
      <c r="BT26" s="57">
        <v>3.5674421922556238E-2</v>
      </c>
      <c r="BU26" s="101">
        <f t="shared" si="23"/>
        <v>2.1612591870151417E-2</v>
      </c>
      <c r="BV26" s="92">
        <v>0.41732332312878395</v>
      </c>
      <c r="BW26" s="57">
        <v>5.1788602918514275E-2</v>
      </c>
      <c r="BX26" s="101">
        <f t="shared" si="24"/>
        <v>1.2869835370514237E-3</v>
      </c>
      <c r="BY26" s="92">
        <v>0.41732332312878395</v>
      </c>
      <c r="BZ26" s="57">
        <v>3.0839003375190389E-3</v>
      </c>
      <c r="CA26" s="101">
        <f t="shared" si="25"/>
        <v>5.6429537812946863E-4</v>
      </c>
      <c r="CB26" s="92">
        <v>0.41732332312878395</v>
      </c>
      <c r="CC26" s="57">
        <v>1.3521779082434121E-3</v>
      </c>
      <c r="CD26" s="101">
        <f t="shared" si="26"/>
        <v>7.3785282330310396E-4</v>
      </c>
      <c r="CE26" s="92">
        <v>0.41732332312878395</v>
      </c>
      <c r="CF26" s="57">
        <v>1.7680603561076459E-3</v>
      </c>
      <c r="CG26" s="101">
        <f t="shared" si="27"/>
        <v>7.6441980558143597E-3</v>
      </c>
      <c r="CH26" s="92">
        <v>0.41732332312878395</v>
      </c>
      <c r="CI26" s="57">
        <v>1.8317207862967672E-2</v>
      </c>
      <c r="CJ26" s="101">
        <f t="shared" si="28"/>
        <v>3.8434174927800182E-3</v>
      </c>
      <c r="CK26" s="92">
        <v>0.41732332312878395</v>
      </c>
      <c r="CL26" s="57">
        <v>9.2096877403469689E-3</v>
      </c>
      <c r="CM26" s="101">
        <f t="shared" si="29"/>
        <v>0</v>
      </c>
      <c r="CN26" s="92">
        <v>0.41732332312878395</v>
      </c>
      <c r="CO26" s="57">
        <v>0</v>
      </c>
    </row>
    <row r="27" spans="1:93" ht="22.5">
      <c r="A27" s="38">
        <v>21</v>
      </c>
      <c r="B27" s="68" t="s">
        <v>99</v>
      </c>
      <c r="C27" s="46" t="s">
        <v>176</v>
      </c>
      <c r="D27" s="101">
        <f t="shared" si="0"/>
        <v>2.4581932459940749E-2</v>
      </c>
      <c r="E27" s="92">
        <v>0.51441081494070651</v>
      </c>
      <c r="F27" s="57">
        <v>4.7786577859515227E-2</v>
      </c>
      <c r="G27" s="101">
        <f t="shared" si="1"/>
        <v>3.2102875327745745E-4</v>
      </c>
      <c r="H27" s="92">
        <v>0.51441081494070651</v>
      </c>
      <c r="I27" s="57">
        <v>6.2407076980770858E-4</v>
      </c>
      <c r="J27" s="101">
        <f t="shared" si="2"/>
        <v>2.0018847004090673E-3</v>
      </c>
      <c r="K27" s="92">
        <v>0.51441081494070651</v>
      </c>
      <c r="L27" s="57">
        <v>3.8916069457828454E-3</v>
      </c>
      <c r="M27" s="101">
        <f t="shared" si="3"/>
        <v>4.7894968807324747E-3</v>
      </c>
      <c r="N27" s="92">
        <v>0.51441081494070651</v>
      </c>
      <c r="O27" s="57">
        <v>9.3106457749814915E-3</v>
      </c>
      <c r="P27" s="101">
        <f t="shared" si="4"/>
        <v>8.0329316670635382E-3</v>
      </c>
      <c r="Q27" s="92">
        <v>0.51441081494070651</v>
      </c>
      <c r="R27" s="57">
        <v>1.5615790791625277E-2</v>
      </c>
      <c r="S27" s="101">
        <f t="shared" si="5"/>
        <v>7.1475311034449604E-3</v>
      </c>
      <c r="T27" s="92">
        <v>0.51441081494070651</v>
      </c>
      <c r="U27" s="57">
        <v>1.3894597267106096E-2</v>
      </c>
      <c r="V27" s="101">
        <f t="shared" si="6"/>
        <v>5.5460829837539936E-2</v>
      </c>
      <c r="W27" s="92">
        <v>0.51441081494070651</v>
      </c>
      <c r="X27" s="57">
        <v>0.10781427650181231</v>
      </c>
      <c r="Y27" s="101">
        <f t="shared" si="7"/>
        <v>2.2899137020777342E-2</v>
      </c>
      <c r="Z27" s="92">
        <v>0.51441081494070651</v>
      </c>
      <c r="AA27" s="57">
        <v>4.451527136616832E-2</v>
      </c>
      <c r="AB27" s="101">
        <f t="shared" si="8"/>
        <v>2.4886495223202338E-3</v>
      </c>
      <c r="AC27" s="92">
        <v>0.51441081494070651</v>
      </c>
      <c r="AD27" s="57">
        <v>4.8378639212845629E-3</v>
      </c>
      <c r="AE27" s="101">
        <f t="shared" si="9"/>
        <v>5.2767179696628563E-3</v>
      </c>
      <c r="AF27" s="92">
        <v>0.51441081494070651</v>
      </c>
      <c r="AG27" s="57">
        <v>1.0257789720597295E-2</v>
      </c>
      <c r="AH27" s="101">
        <f t="shared" si="10"/>
        <v>5.8210895435030514E-3</v>
      </c>
      <c r="AI27" s="92">
        <v>0.51441081494070651</v>
      </c>
      <c r="AJ27" s="57">
        <v>1.1316032584140009E-2</v>
      </c>
      <c r="AK27" s="101">
        <f t="shared" si="11"/>
        <v>1.3000027682871589E-4</v>
      </c>
      <c r="AL27" s="92">
        <v>0.51441081494070651</v>
      </c>
      <c r="AM27" s="57">
        <v>2.5271684236207272E-4</v>
      </c>
      <c r="AN27" s="101">
        <f t="shared" si="12"/>
        <v>1.3307273385922705E-2</v>
      </c>
      <c r="AO27" s="92">
        <v>0.51441081494070651</v>
      </c>
      <c r="AP27" s="57">
        <v>2.5868961148214908E-2</v>
      </c>
      <c r="AQ27" s="101">
        <f t="shared" si="13"/>
        <v>2.7690259123793557E-2</v>
      </c>
      <c r="AR27" s="92">
        <v>0.51441081494070651</v>
      </c>
      <c r="AS27" s="57">
        <v>5.382907652706577E-2</v>
      </c>
      <c r="AT27" s="101">
        <f t="shared" si="14"/>
        <v>5.7465506620234134E-2</v>
      </c>
      <c r="AU27" s="92">
        <v>0.51441081494070651</v>
      </c>
      <c r="AV27" s="57">
        <v>0.11171131117618102</v>
      </c>
      <c r="AW27" s="101">
        <f t="shared" si="15"/>
        <v>1.1342580253760322E-3</v>
      </c>
      <c r="AX27" s="92">
        <v>0.51441081494070651</v>
      </c>
      <c r="AY27" s="57">
        <v>2.2049653553780206E-3</v>
      </c>
      <c r="AZ27" s="101">
        <f t="shared" si="16"/>
        <v>3.8070690391028726E-3</v>
      </c>
      <c r="BA27" s="92">
        <v>0.51441081494070651</v>
      </c>
      <c r="BB27" s="57">
        <v>7.4008339804086231E-3</v>
      </c>
      <c r="BC27" s="101">
        <f t="shared" si="17"/>
        <v>1.1815443782645855E-3</v>
      </c>
      <c r="BD27" s="92">
        <v>0.51441081494070651</v>
      </c>
      <c r="BE27" s="57">
        <v>2.2968886810841565E-3</v>
      </c>
      <c r="BF27" s="101">
        <f t="shared" si="18"/>
        <v>1.1106437084554542E-2</v>
      </c>
      <c r="BG27" s="92">
        <v>0.51441081494070651</v>
      </c>
      <c r="BH27" s="57">
        <v>2.1590597946185723E-2</v>
      </c>
      <c r="BI27" s="101">
        <f t="shared" si="19"/>
        <v>3.3692438869464976E-3</v>
      </c>
      <c r="BJ27" s="92">
        <v>0.51441081494070651</v>
      </c>
      <c r="BK27" s="57">
        <v>6.549714331598672E-3</v>
      </c>
      <c r="BL27" s="101">
        <f t="shared" si="20"/>
        <v>8.4813894096527967E-3</v>
      </c>
      <c r="BM27" s="92">
        <v>0.51441081494070651</v>
      </c>
      <c r="BN27" s="57">
        <v>1.6487579893961605E-2</v>
      </c>
      <c r="BO27" s="101">
        <f t="shared" si="21"/>
        <v>1.4907172709779039E-3</v>
      </c>
      <c r="BP27" s="92">
        <v>0.51441081494070651</v>
      </c>
      <c r="BQ27" s="57">
        <v>2.8979119950068143E-3</v>
      </c>
      <c r="BR27" s="101">
        <f t="shared" si="22"/>
        <v>6.1165246623290301E-3</v>
      </c>
      <c r="BS27" s="92">
        <v>0.51441081494070651</v>
      </c>
      <c r="BT27" s="57">
        <v>1.1890350056178446E-2</v>
      </c>
      <c r="BU27" s="101">
        <f t="shared" si="23"/>
        <v>2.7474322081247988E-3</v>
      </c>
      <c r="BV27" s="92">
        <v>0.51441081494070651</v>
      </c>
      <c r="BW27" s="57">
        <v>5.3409301055256419E-3</v>
      </c>
      <c r="BX27" s="101">
        <f t="shared" si="24"/>
        <v>5.4941716805910574E-3</v>
      </c>
      <c r="BY27" s="92">
        <v>0.51441081494070651</v>
      </c>
      <c r="BZ27" s="57">
        <v>1.0680513552624943E-2</v>
      </c>
      <c r="CA27" s="101">
        <f t="shared" si="25"/>
        <v>1.6246283382702839E-3</v>
      </c>
      <c r="CB27" s="92">
        <v>0.51441081494070651</v>
      </c>
      <c r="CC27" s="57">
        <v>3.158231302849934E-3</v>
      </c>
      <c r="CD27" s="101">
        <f t="shared" si="26"/>
        <v>1.3461025037862391E-3</v>
      </c>
      <c r="CE27" s="92">
        <v>0.51441081494070651</v>
      </c>
      <c r="CF27" s="57">
        <v>2.6167849988562109E-3</v>
      </c>
      <c r="CG27" s="101">
        <f t="shared" si="27"/>
        <v>4.4197998656950455E-3</v>
      </c>
      <c r="CH27" s="92">
        <v>0.51441081494070651</v>
      </c>
      <c r="CI27" s="57">
        <v>8.5919652879080568E-3</v>
      </c>
      <c r="CJ27" s="101">
        <f t="shared" si="28"/>
        <v>6.6520811359778572E-3</v>
      </c>
      <c r="CK27" s="92">
        <v>0.51441081494070651</v>
      </c>
      <c r="CL27" s="57">
        <v>1.2931456615554648E-2</v>
      </c>
      <c r="CM27" s="101">
        <f t="shared" si="29"/>
        <v>0</v>
      </c>
      <c r="CN27" s="92">
        <v>0.51441081494070651</v>
      </c>
      <c r="CO27" s="57">
        <v>0</v>
      </c>
    </row>
    <row r="28" spans="1:93" ht="22.5">
      <c r="A28" s="38">
        <v>22</v>
      </c>
      <c r="B28" s="68" t="s">
        <v>69</v>
      </c>
      <c r="C28" s="46" t="s">
        <v>68</v>
      </c>
      <c r="D28" s="101">
        <f t="shared" si="0"/>
        <v>2.6629625601063588E-4</v>
      </c>
      <c r="E28" s="92">
        <v>0.75904340745678167</v>
      </c>
      <c r="F28" s="57">
        <v>3.5083139303307664E-4</v>
      </c>
      <c r="G28" s="101">
        <f t="shared" si="1"/>
        <v>5.6801178446001999E-6</v>
      </c>
      <c r="H28" s="92">
        <v>0.75904340745678167</v>
      </c>
      <c r="I28" s="57">
        <v>7.4832582547969949E-6</v>
      </c>
      <c r="J28" s="101">
        <f t="shared" si="2"/>
        <v>1.0438551541392843E-5</v>
      </c>
      <c r="K28" s="92">
        <v>0.75904340745678167</v>
      </c>
      <c r="L28" s="57">
        <v>1.375224583844E-5</v>
      </c>
      <c r="M28" s="101">
        <f t="shared" si="3"/>
        <v>4.1041239487969646E-5</v>
      </c>
      <c r="N28" s="92">
        <v>0.75904340745678167</v>
      </c>
      <c r="O28" s="57">
        <v>5.4069687036055902E-5</v>
      </c>
      <c r="P28" s="101">
        <f t="shared" si="4"/>
        <v>7.6297468636568833E-5</v>
      </c>
      <c r="Q28" s="92">
        <v>0.75904340745678167</v>
      </c>
      <c r="R28" s="57">
        <v>1.0051792544013769E-4</v>
      </c>
      <c r="S28" s="101">
        <f t="shared" si="5"/>
        <v>6.2479418177438352E-5</v>
      </c>
      <c r="T28" s="92">
        <v>0.75904340745678167</v>
      </c>
      <c r="U28" s="57">
        <v>8.231336648687749E-5</v>
      </c>
      <c r="V28" s="101">
        <f t="shared" si="6"/>
        <v>3.9444902566183776E-5</v>
      </c>
      <c r="W28" s="92">
        <v>0.75904340745678167</v>
      </c>
      <c r="X28" s="57">
        <v>5.1966596611840921E-5</v>
      </c>
      <c r="Y28" s="101">
        <f t="shared" si="7"/>
        <v>4.5533650509647152E-5</v>
      </c>
      <c r="Z28" s="92">
        <v>0.75904340745678167</v>
      </c>
      <c r="AA28" s="57">
        <v>5.9988203655190485E-5</v>
      </c>
      <c r="AB28" s="101">
        <f t="shared" si="8"/>
        <v>4.0854657020855045E-5</v>
      </c>
      <c r="AC28" s="92">
        <v>0.75904340745678167</v>
      </c>
      <c r="AD28" s="57">
        <v>5.3823874391770174E-5</v>
      </c>
      <c r="AE28" s="101">
        <f t="shared" si="9"/>
        <v>5.8672900600926452E-5</v>
      </c>
      <c r="AF28" s="92">
        <v>0.75904340745678167</v>
      </c>
      <c r="AG28" s="57">
        <v>7.7298478617334097E-5</v>
      </c>
      <c r="AH28" s="101">
        <f t="shared" si="10"/>
        <v>1.7182045850037972E-4</v>
      </c>
      <c r="AI28" s="92">
        <v>0.75904340745678167</v>
      </c>
      <c r="AJ28" s="57">
        <v>2.2636446982139531E-4</v>
      </c>
      <c r="AK28" s="101">
        <f t="shared" si="11"/>
        <v>1.2266231559563873E-6</v>
      </c>
      <c r="AL28" s="92">
        <v>0.75904340745678167</v>
      </c>
      <c r="AM28" s="57">
        <v>1.6160118695533609E-6</v>
      </c>
      <c r="AN28" s="101">
        <f t="shared" si="12"/>
        <v>1.1154218059536096E-5</v>
      </c>
      <c r="AO28" s="92">
        <v>0.75904340745678167</v>
      </c>
      <c r="AP28" s="57">
        <v>1.4695099054886652E-5</v>
      </c>
      <c r="AQ28" s="101">
        <f t="shared" si="13"/>
        <v>1.0173956019707344E-4</v>
      </c>
      <c r="AR28" s="92">
        <v>0.75904340745678167</v>
      </c>
      <c r="AS28" s="57">
        <v>1.3403655073951259E-4</v>
      </c>
      <c r="AT28" s="101">
        <f t="shared" si="14"/>
        <v>7.6575814632761907E-6</v>
      </c>
      <c r="AU28" s="92">
        <v>0.75904340745678167</v>
      </c>
      <c r="AV28" s="57">
        <v>1.0088463173579698E-5</v>
      </c>
      <c r="AW28" s="101">
        <f t="shared" si="15"/>
        <v>2.3866751931910916E-5</v>
      </c>
      <c r="AX28" s="92">
        <v>0.75904340745678167</v>
      </c>
      <c r="AY28" s="57">
        <v>3.1443197711021339E-5</v>
      </c>
      <c r="AZ28" s="101">
        <f t="shared" si="16"/>
        <v>6.8236462814013732E-5</v>
      </c>
      <c r="BA28" s="92">
        <v>0.75904340745678167</v>
      </c>
      <c r="BB28" s="57">
        <v>8.9897971767706814E-5</v>
      </c>
      <c r="BC28" s="101">
        <f t="shared" si="17"/>
        <v>1.6855201683756461E-5</v>
      </c>
      <c r="BD28" s="92">
        <v>0.75904340745678167</v>
      </c>
      <c r="BE28" s="57">
        <v>2.2205846883290612E-5</v>
      </c>
      <c r="BF28" s="101">
        <f t="shared" si="18"/>
        <v>1.6091071792412959E-5</v>
      </c>
      <c r="BG28" s="92">
        <v>0.75904340745678167</v>
      </c>
      <c r="BH28" s="57">
        <v>2.1199145706735029E-5</v>
      </c>
      <c r="BI28" s="101">
        <f t="shared" si="19"/>
        <v>1.0124759716710692E-4</v>
      </c>
      <c r="BJ28" s="92">
        <v>0.75904340745678167</v>
      </c>
      <c r="BK28" s="57">
        <v>1.3338841517159444E-4</v>
      </c>
      <c r="BL28" s="101">
        <f t="shared" si="20"/>
        <v>4.9403219797235555E-5</v>
      </c>
      <c r="BM28" s="92">
        <v>0.75904340745678167</v>
      </c>
      <c r="BN28" s="57">
        <v>6.5086158857190877E-5</v>
      </c>
      <c r="BO28" s="101">
        <f t="shared" si="21"/>
        <v>8.0611733583688049E-5</v>
      </c>
      <c r="BP28" s="92">
        <v>0.75904340745678167</v>
      </c>
      <c r="BQ28" s="57">
        <v>1.0620174392105225E-4</v>
      </c>
      <c r="BR28" s="101">
        <f t="shared" si="22"/>
        <v>7.449151516078495E-5</v>
      </c>
      <c r="BS28" s="92">
        <v>0.75904340745678167</v>
      </c>
      <c r="BT28" s="57">
        <v>9.813867616658846E-5</v>
      </c>
      <c r="BU28" s="101">
        <f t="shared" si="23"/>
        <v>5.0682445895119093E-5</v>
      </c>
      <c r="BV28" s="92">
        <v>0.75904340745678167</v>
      </c>
      <c r="BW28" s="57">
        <v>6.6771472352198576E-5</v>
      </c>
      <c r="BX28" s="101">
        <f t="shared" si="24"/>
        <v>1.1031350184223063E-4</v>
      </c>
      <c r="BY28" s="92">
        <v>0.75904340745678167</v>
      </c>
      <c r="BZ28" s="57">
        <v>1.453322705375208E-4</v>
      </c>
      <c r="CA28" s="101">
        <f t="shared" si="25"/>
        <v>6.5781628097330208E-5</v>
      </c>
      <c r="CB28" s="92">
        <v>0.75904340745678167</v>
      </c>
      <c r="CC28" s="57">
        <v>8.6663855388370101E-5</v>
      </c>
      <c r="CD28" s="101">
        <f t="shared" si="26"/>
        <v>4.7777092455186228E-5</v>
      </c>
      <c r="CE28" s="92">
        <v>0.75904340745678167</v>
      </c>
      <c r="CF28" s="57">
        <v>6.2943821111978443E-5</v>
      </c>
      <c r="CG28" s="101">
        <f t="shared" si="27"/>
        <v>1.5959907262973422E-3</v>
      </c>
      <c r="CH28" s="92">
        <v>0.75904340745678167</v>
      </c>
      <c r="CI28" s="57">
        <v>2.1026343297609294E-3</v>
      </c>
      <c r="CJ28" s="101">
        <f t="shared" si="28"/>
        <v>7.6335598409338415E-3</v>
      </c>
      <c r="CK28" s="92">
        <v>0.75904340745678167</v>
      </c>
      <c r="CL28" s="57">
        <v>1.0056815942200882E-2</v>
      </c>
      <c r="CM28" s="101">
        <f t="shared" si="29"/>
        <v>0</v>
      </c>
      <c r="CN28" s="92">
        <v>0.75904340745678167</v>
      </c>
      <c r="CO28" s="57">
        <v>0</v>
      </c>
    </row>
    <row r="29" spans="1:93">
      <c r="A29" s="38">
        <v>23</v>
      </c>
      <c r="B29" s="68" t="s">
        <v>98</v>
      </c>
      <c r="C29" s="46" t="s">
        <v>175</v>
      </c>
      <c r="D29" s="101">
        <f t="shared" si="0"/>
        <v>9.2550027265564947E-4</v>
      </c>
      <c r="E29" s="92">
        <v>0.46034228136758021</v>
      </c>
      <c r="F29" s="57">
        <v>2.0104611505729663E-3</v>
      </c>
      <c r="G29" s="101">
        <f t="shared" si="1"/>
        <v>5.8039797265282389E-5</v>
      </c>
      <c r="H29" s="92">
        <v>0.46034228136758021</v>
      </c>
      <c r="I29" s="57">
        <v>1.2607965771221002E-4</v>
      </c>
      <c r="J29" s="101">
        <f t="shared" si="2"/>
        <v>4.605244064267741E-3</v>
      </c>
      <c r="K29" s="92">
        <v>0.46034228136758021</v>
      </c>
      <c r="L29" s="57">
        <v>1.0003956296576818E-2</v>
      </c>
      <c r="M29" s="101">
        <f t="shared" si="3"/>
        <v>3.5706348364643497E-3</v>
      </c>
      <c r="N29" s="92">
        <v>0.46034228136758021</v>
      </c>
      <c r="O29" s="57">
        <v>7.7564781272246898E-3</v>
      </c>
      <c r="P29" s="101">
        <f t="shared" si="4"/>
        <v>1.8183859144951396E-3</v>
      </c>
      <c r="Q29" s="92">
        <v>0.46034228136758021</v>
      </c>
      <c r="R29" s="57">
        <v>3.950073647576097E-3</v>
      </c>
      <c r="S29" s="101">
        <f t="shared" si="5"/>
        <v>1.5319372194346936E-3</v>
      </c>
      <c r="T29" s="92">
        <v>0.46034228136758021</v>
      </c>
      <c r="U29" s="57">
        <v>3.3278221042039196E-3</v>
      </c>
      <c r="V29" s="101">
        <f t="shared" si="6"/>
        <v>1.4383957387491815E-3</v>
      </c>
      <c r="W29" s="92">
        <v>0.46034228136758021</v>
      </c>
      <c r="X29" s="57">
        <v>3.124622258194511E-3</v>
      </c>
      <c r="Y29" s="101">
        <f t="shared" si="7"/>
        <v>1.3950948369810185E-3</v>
      </c>
      <c r="Z29" s="92">
        <v>0.46034228136758021</v>
      </c>
      <c r="AA29" s="57">
        <v>3.0305598539340874E-3</v>
      </c>
      <c r="AB29" s="101">
        <f t="shared" si="8"/>
        <v>2.0374442206781895E-3</v>
      </c>
      <c r="AC29" s="92">
        <v>0.46034228136758021</v>
      </c>
      <c r="AD29" s="57">
        <v>4.4259332743135623E-3</v>
      </c>
      <c r="AE29" s="101">
        <f t="shared" si="9"/>
        <v>2.4623384233259595E-3</v>
      </c>
      <c r="AF29" s="92">
        <v>0.46034228136758021</v>
      </c>
      <c r="AG29" s="57">
        <v>5.3489295313280142E-3</v>
      </c>
      <c r="AH29" s="101">
        <f t="shared" si="10"/>
        <v>1.8311663006969202E-3</v>
      </c>
      <c r="AI29" s="92">
        <v>0.46034228136758021</v>
      </c>
      <c r="AJ29" s="57">
        <v>3.9778364378281958E-3</v>
      </c>
      <c r="AK29" s="101">
        <f t="shared" si="11"/>
        <v>3.0040858917391533E-5</v>
      </c>
      <c r="AL29" s="92">
        <v>0.46034228136758021</v>
      </c>
      <c r="AM29" s="57">
        <v>6.5257657472058515E-5</v>
      </c>
      <c r="AN29" s="101">
        <f t="shared" si="12"/>
        <v>3.5405465743128905E-3</v>
      </c>
      <c r="AO29" s="92">
        <v>0.46034228136758021</v>
      </c>
      <c r="AP29" s="57">
        <v>7.6911174958656211E-3</v>
      </c>
      <c r="AQ29" s="101">
        <f t="shared" si="13"/>
        <v>1.244897337842674E-3</v>
      </c>
      <c r="AR29" s="92">
        <v>0.46034228136758021</v>
      </c>
      <c r="AS29" s="57">
        <v>2.7042863283041163E-3</v>
      </c>
      <c r="AT29" s="101">
        <f t="shared" si="14"/>
        <v>0.47061898053479156</v>
      </c>
      <c r="AU29" s="92">
        <v>0.46034228136758021</v>
      </c>
      <c r="AV29" s="57">
        <v>1.0223240392706954</v>
      </c>
      <c r="AW29" s="101">
        <f t="shared" si="15"/>
        <v>6.0537913002500245E-4</v>
      </c>
      <c r="AX29" s="92">
        <v>0.46034228136758021</v>
      </c>
      <c r="AY29" s="57">
        <v>1.3150630618298806E-3</v>
      </c>
      <c r="AZ29" s="101">
        <f t="shared" si="16"/>
        <v>1.6942161187618395E-3</v>
      </c>
      <c r="BA29" s="92">
        <v>0.46034228136758021</v>
      </c>
      <c r="BB29" s="57">
        <v>3.6803400151050199E-3</v>
      </c>
      <c r="BC29" s="101">
        <f t="shared" si="17"/>
        <v>4.1678244384578406E-4</v>
      </c>
      <c r="BD29" s="92">
        <v>0.46034228136758021</v>
      </c>
      <c r="BE29" s="57">
        <v>9.0537511046695723E-4</v>
      </c>
      <c r="BF29" s="101">
        <f t="shared" si="18"/>
        <v>2.2382296911400892E-3</v>
      </c>
      <c r="BG29" s="92">
        <v>0.46034228136758021</v>
      </c>
      <c r="BH29" s="57">
        <v>4.8620988810560237E-3</v>
      </c>
      <c r="BI29" s="101">
        <f t="shared" si="19"/>
        <v>1.6114995391780331E-3</v>
      </c>
      <c r="BJ29" s="92">
        <v>0.46034228136758021</v>
      </c>
      <c r="BK29" s="57">
        <v>3.5006550655972911E-3</v>
      </c>
      <c r="BL29" s="101">
        <f t="shared" si="20"/>
        <v>3.3441814004803588E-3</v>
      </c>
      <c r="BM29" s="92">
        <v>0.46034228136758021</v>
      </c>
      <c r="BN29" s="57">
        <v>7.2645540847247371E-3</v>
      </c>
      <c r="BO29" s="101">
        <f t="shared" si="21"/>
        <v>2.2652444939550978E-3</v>
      </c>
      <c r="BP29" s="92">
        <v>0.46034228136758021</v>
      </c>
      <c r="BQ29" s="57">
        <v>4.9207830469656889E-3</v>
      </c>
      <c r="BR29" s="101">
        <f t="shared" si="22"/>
        <v>3.0968175878210331E-3</v>
      </c>
      <c r="BS29" s="92">
        <v>0.46034228136758021</v>
      </c>
      <c r="BT29" s="57">
        <v>6.7272065008259479E-3</v>
      </c>
      <c r="BU29" s="101">
        <f t="shared" si="23"/>
        <v>1.0749568904204324E-3</v>
      </c>
      <c r="BV29" s="92">
        <v>0.46034228136758021</v>
      </c>
      <c r="BW29" s="57">
        <v>2.3351252620701303E-3</v>
      </c>
      <c r="BX29" s="101">
        <f t="shared" si="24"/>
        <v>2.3168852355534512E-3</v>
      </c>
      <c r="BY29" s="92">
        <v>0.46034228136758021</v>
      </c>
      <c r="BZ29" s="57">
        <v>5.0329620574292499E-3</v>
      </c>
      <c r="CA29" s="101">
        <f t="shared" si="25"/>
        <v>6.0258872154375935E-4</v>
      </c>
      <c r="CB29" s="92">
        <v>0.46034228136758021</v>
      </c>
      <c r="CC29" s="57">
        <v>1.3090014668076869E-3</v>
      </c>
      <c r="CD29" s="101">
        <f t="shared" si="26"/>
        <v>7.4839191946019445E-4</v>
      </c>
      <c r="CE29" s="92">
        <v>0.46034228136758021</v>
      </c>
      <c r="CF29" s="57">
        <v>1.6257292665728623E-3</v>
      </c>
      <c r="CG29" s="101">
        <f t="shared" si="27"/>
        <v>3.1472509004327786E-3</v>
      </c>
      <c r="CH29" s="92">
        <v>0.46034228136758021</v>
      </c>
      <c r="CI29" s="57">
        <v>6.8367626173354255E-3</v>
      </c>
      <c r="CJ29" s="101">
        <f t="shared" si="28"/>
        <v>4.4639168144903242E-3</v>
      </c>
      <c r="CK29" s="92">
        <v>0.46034228136758021</v>
      </c>
      <c r="CL29" s="57">
        <v>9.6969515840017242E-3</v>
      </c>
      <c r="CM29" s="101">
        <f t="shared" si="29"/>
        <v>0</v>
      </c>
      <c r="CN29" s="92">
        <v>0.46034228136758021</v>
      </c>
      <c r="CO29" s="57">
        <v>0</v>
      </c>
    </row>
    <row r="30" spans="1:93" ht="22.5">
      <c r="A30" s="38">
        <v>24</v>
      </c>
      <c r="B30" s="68" t="s">
        <v>97</v>
      </c>
      <c r="C30" s="46" t="s">
        <v>67</v>
      </c>
      <c r="D30" s="101">
        <f t="shared" si="0"/>
        <v>6.0332512242339167E-4</v>
      </c>
      <c r="E30" s="92">
        <v>0.4855409244442373</v>
      </c>
      <c r="F30" s="57">
        <v>1.2425834611448524E-3</v>
      </c>
      <c r="G30" s="101">
        <f t="shared" si="1"/>
        <v>2.590510648229706E-5</v>
      </c>
      <c r="H30" s="92">
        <v>0.4855409244442373</v>
      </c>
      <c r="I30" s="57">
        <v>5.335308555493796E-5</v>
      </c>
      <c r="J30" s="101">
        <f t="shared" si="2"/>
        <v>1.9026164517866018E-3</v>
      </c>
      <c r="K30" s="92">
        <v>0.4855409244442373</v>
      </c>
      <c r="L30" s="57">
        <v>3.9185501283221097E-3</v>
      </c>
      <c r="M30" s="101">
        <f t="shared" si="3"/>
        <v>3.455642128713507E-3</v>
      </c>
      <c r="N30" s="92">
        <v>0.4855409244442373</v>
      </c>
      <c r="O30" s="57">
        <v>7.1170975601468085E-3</v>
      </c>
      <c r="P30" s="101">
        <f t="shared" si="4"/>
        <v>1.2891857923959984E-3</v>
      </c>
      <c r="Q30" s="92">
        <v>0.4855409244442373</v>
      </c>
      <c r="R30" s="57">
        <v>2.6551537213297394E-3</v>
      </c>
      <c r="S30" s="101">
        <f t="shared" si="5"/>
        <v>1.0525601573947317E-3</v>
      </c>
      <c r="T30" s="92">
        <v>0.4855409244442373</v>
      </c>
      <c r="U30" s="57">
        <v>2.1678093532476574E-3</v>
      </c>
      <c r="V30" s="101">
        <f t="shared" si="6"/>
        <v>9.1627824570147194E-4</v>
      </c>
      <c r="W30" s="92">
        <v>0.4855409244442373</v>
      </c>
      <c r="X30" s="57">
        <v>1.8871287662317398E-3</v>
      </c>
      <c r="Y30" s="101">
        <f t="shared" si="7"/>
        <v>1.5244909562204454E-3</v>
      </c>
      <c r="Z30" s="92">
        <v>0.4855409244442373</v>
      </c>
      <c r="AA30" s="57">
        <v>3.1397785016070833E-3</v>
      </c>
      <c r="AB30" s="101">
        <f t="shared" si="8"/>
        <v>7.1987976267767076E-3</v>
      </c>
      <c r="AC30" s="92">
        <v>0.4855409244442373</v>
      </c>
      <c r="AD30" s="57">
        <v>1.4826345760692855E-2</v>
      </c>
      <c r="AE30" s="101">
        <f t="shared" si="9"/>
        <v>3.981690513714573E-3</v>
      </c>
      <c r="AF30" s="92">
        <v>0.4855409244442373</v>
      </c>
      <c r="AG30" s="57">
        <v>8.2005250500194575E-3</v>
      </c>
      <c r="AH30" s="101">
        <f t="shared" si="10"/>
        <v>9.5964977790125982E-4</v>
      </c>
      <c r="AI30" s="92">
        <v>0.4855409244442373</v>
      </c>
      <c r="AJ30" s="57">
        <v>1.9764549795667579E-3</v>
      </c>
      <c r="AK30" s="101">
        <f t="shared" si="11"/>
        <v>9.357101641505085E-6</v>
      </c>
      <c r="AL30" s="92">
        <v>0.4855409244442373</v>
      </c>
      <c r="AM30" s="57">
        <v>1.9271499415245926E-5</v>
      </c>
      <c r="AN30" s="101">
        <f t="shared" si="12"/>
        <v>1.0794938299309254E-4</v>
      </c>
      <c r="AO30" s="92">
        <v>0.4855409244442373</v>
      </c>
      <c r="AP30" s="57">
        <v>2.2232808308929715E-4</v>
      </c>
      <c r="AQ30" s="101">
        <f t="shared" si="13"/>
        <v>9.7441311281902911E-4</v>
      </c>
      <c r="AR30" s="92">
        <v>0.4855409244442373</v>
      </c>
      <c r="AS30" s="57">
        <v>2.006860933369041E-3</v>
      </c>
      <c r="AT30" s="101">
        <f t="shared" si="14"/>
        <v>9.754495292967656E-5</v>
      </c>
      <c r="AU30" s="92">
        <v>0.4855409244442373</v>
      </c>
      <c r="AV30" s="57">
        <v>2.008995493867567E-4</v>
      </c>
      <c r="AW30" s="101">
        <f t="shared" si="15"/>
        <v>3.2279109834029934E-4</v>
      </c>
      <c r="AX30" s="92">
        <v>0.4855409244442373</v>
      </c>
      <c r="AY30" s="57">
        <v>6.6480719150455625E-4</v>
      </c>
      <c r="AZ30" s="101">
        <f t="shared" si="16"/>
        <v>9.1232194935162044E-4</v>
      </c>
      <c r="BA30" s="92">
        <v>0.4855409244442373</v>
      </c>
      <c r="BB30" s="57">
        <v>1.8789805419509957E-3</v>
      </c>
      <c r="BC30" s="101">
        <f t="shared" si="17"/>
        <v>1.9098382909728671E-4</v>
      </c>
      <c r="BD30" s="92">
        <v>0.4855409244442373</v>
      </c>
      <c r="BE30" s="57">
        <v>3.9334239295254412E-4</v>
      </c>
      <c r="BF30" s="101">
        <f t="shared" si="18"/>
        <v>8.6141199139941598E-4</v>
      </c>
      <c r="BG30" s="92">
        <v>0.4855409244442373</v>
      </c>
      <c r="BH30" s="57">
        <v>1.7741284988189419E-3</v>
      </c>
      <c r="BI30" s="101">
        <f t="shared" si="19"/>
        <v>1.6518753609537232E-3</v>
      </c>
      <c r="BJ30" s="92">
        <v>0.4855409244442373</v>
      </c>
      <c r="BK30" s="57">
        <v>3.4021341513992922E-3</v>
      </c>
      <c r="BL30" s="101">
        <f t="shared" si="20"/>
        <v>9.6766453828862915E-3</v>
      </c>
      <c r="BM30" s="92">
        <v>0.4855409244442373</v>
      </c>
      <c r="BN30" s="57">
        <v>1.9929618484708433E-2</v>
      </c>
      <c r="BO30" s="101">
        <f t="shared" si="21"/>
        <v>6.3664294185617832E-4</v>
      </c>
      <c r="BP30" s="92">
        <v>0.4855409244442373</v>
      </c>
      <c r="BQ30" s="57">
        <v>1.3112034636110154E-3</v>
      </c>
      <c r="BR30" s="101">
        <f t="shared" si="22"/>
        <v>1.059250591198155E-3</v>
      </c>
      <c r="BS30" s="92">
        <v>0.4855409244442373</v>
      </c>
      <c r="BT30" s="57">
        <v>2.1815886939099945E-3</v>
      </c>
      <c r="BU30" s="101">
        <f t="shared" si="23"/>
        <v>2.409344565211882E-3</v>
      </c>
      <c r="BV30" s="92">
        <v>0.4855409244442373</v>
      </c>
      <c r="BW30" s="57">
        <v>4.9621863861829566E-3</v>
      </c>
      <c r="BX30" s="101">
        <f t="shared" si="24"/>
        <v>3.2387310318902534E-3</v>
      </c>
      <c r="BY30" s="92">
        <v>0.4855409244442373</v>
      </c>
      <c r="BZ30" s="57">
        <v>6.6703564392587272E-3</v>
      </c>
      <c r="CA30" s="101">
        <f t="shared" si="25"/>
        <v>5.0712930553537352E-4</v>
      </c>
      <c r="CB30" s="92">
        <v>0.4855409244442373</v>
      </c>
      <c r="CC30" s="57">
        <v>1.0444625365325217E-3</v>
      </c>
      <c r="CD30" s="101">
        <f t="shared" si="26"/>
        <v>2.0209940362827363E-3</v>
      </c>
      <c r="CE30" s="92">
        <v>0.4855409244442373</v>
      </c>
      <c r="CF30" s="57">
        <v>4.16235570378752E-3</v>
      </c>
      <c r="CG30" s="101">
        <f t="shared" si="27"/>
        <v>3.1225104209631656E-3</v>
      </c>
      <c r="CH30" s="92">
        <v>0.4855409244442373</v>
      </c>
      <c r="CI30" s="57">
        <v>6.4309932773169882E-3</v>
      </c>
      <c r="CJ30" s="101">
        <f t="shared" si="28"/>
        <v>9.398730912964056E-3</v>
      </c>
      <c r="CK30" s="92">
        <v>0.4855409244442373</v>
      </c>
      <c r="CL30" s="57">
        <v>1.9357237340440637E-2</v>
      </c>
      <c r="CM30" s="101">
        <f t="shared" si="29"/>
        <v>0</v>
      </c>
      <c r="CN30" s="92">
        <v>0.4855409244442373</v>
      </c>
      <c r="CO30" s="57">
        <v>0</v>
      </c>
    </row>
    <row r="31" spans="1:93" ht="22.5">
      <c r="A31" s="38">
        <v>25</v>
      </c>
      <c r="B31" s="68" t="s">
        <v>174</v>
      </c>
      <c r="C31" s="46" t="s">
        <v>173</v>
      </c>
      <c r="D31" s="101">
        <f t="shared" si="0"/>
        <v>1.8520637496635679E-3</v>
      </c>
      <c r="E31" s="92">
        <v>0.37910978743533247</v>
      </c>
      <c r="F31" s="57">
        <v>4.8852965843818735E-3</v>
      </c>
      <c r="G31" s="101">
        <f t="shared" si="1"/>
        <v>6.4822209436439656E-4</v>
      </c>
      <c r="H31" s="92">
        <v>0.37910978743533247</v>
      </c>
      <c r="I31" s="57">
        <v>1.70985322945525E-3</v>
      </c>
      <c r="J31" s="101">
        <f t="shared" si="2"/>
        <v>1.8156693389441835E-3</v>
      </c>
      <c r="K31" s="92">
        <v>0.37910978743533247</v>
      </c>
      <c r="L31" s="57">
        <v>4.7892969243214156E-3</v>
      </c>
      <c r="M31" s="101">
        <f t="shared" si="3"/>
        <v>1.4953321677955657E-2</v>
      </c>
      <c r="N31" s="92">
        <v>0.37910978743533247</v>
      </c>
      <c r="O31" s="57">
        <v>3.944324882539825E-2</v>
      </c>
      <c r="P31" s="101">
        <f t="shared" si="4"/>
        <v>8.6668042188541294E-3</v>
      </c>
      <c r="Q31" s="92">
        <v>0.37910978743533247</v>
      </c>
      <c r="R31" s="57">
        <v>2.2860935027514927E-2</v>
      </c>
      <c r="S31" s="101">
        <f t="shared" si="5"/>
        <v>3.9673518606338819E-3</v>
      </c>
      <c r="T31" s="92">
        <v>0.37910978743533247</v>
      </c>
      <c r="U31" s="57">
        <v>1.0464915420603911E-2</v>
      </c>
      <c r="V31" s="101">
        <f t="shared" si="6"/>
        <v>5.3105398700592027E-2</v>
      </c>
      <c r="W31" s="92">
        <v>0.37910978743533247</v>
      </c>
      <c r="X31" s="57">
        <v>0.14007920781958341</v>
      </c>
      <c r="Y31" s="101">
        <f t="shared" si="7"/>
        <v>5.1314873814701329E-3</v>
      </c>
      <c r="Z31" s="92">
        <v>0.37910978743533247</v>
      </c>
      <c r="AA31" s="57">
        <v>1.353562358857709E-2</v>
      </c>
      <c r="AB31" s="101">
        <f t="shared" si="8"/>
        <v>2.7534536363862071E-2</v>
      </c>
      <c r="AC31" s="92">
        <v>0.37910978743533247</v>
      </c>
      <c r="AD31" s="57">
        <v>7.2629452671566383E-2</v>
      </c>
      <c r="AE31" s="101">
        <f t="shared" si="9"/>
        <v>5.6136825390577183E-2</v>
      </c>
      <c r="AF31" s="92">
        <v>0.37910978743533247</v>
      </c>
      <c r="AG31" s="57">
        <v>0.14807537882453867</v>
      </c>
      <c r="AH31" s="101">
        <f t="shared" si="10"/>
        <v>7.1558913243234953E-3</v>
      </c>
      <c r="AI31" s="92">
        <v>0.37910978743533247</v>
      </c>
      <c r="AJ31" s="57">
        <v>1.8875511953233674E-2</v>
      </c>
      <c r="AK31" s="101">
        <f t="shared" si="11"/>
        <v>4.855835602086877E-5</v>
      </c>
      <c r="AL31" s="92">
        <v>0.37910978743533247</v>
      </c>
      <c r="AM31" s="57">
        <v>1.2808520811178405E-4</v>
      </c>
      <c r="AN31" s="101">
        <f t="shared" si="12"/>
        <v>5.3100515744263247E-4</v>
      </c>
      <c r="AO31" s="92">
        <v>0.37910978743533247</v>
      </c>
      <c r="AP31" s="57">
        <v>1.4006632776084947E-3</v>
      </c>
      <c r="AQ31" s="101">
        <f t="shared" si="13"/>
        <v>1.7728633823368246E-2</v>
      </c>
      <c r="AR31" s="92">
        <v>0.37910978743533247</v>
      </c>
      <c r="AS31" s="57">
        <v>4.6763851556832589E-2</v>
      </c>
      <c r="AT31" s="101">
        <f t="shared" si="14"/>
        <v>7.8445268990945871E-4</v>
      </c>
      <c r="AU31" s="92">
        <v>0.37910978743533247</v>
      </c>
      <c r="AV31" s="57">
        <v>2.0691966177298141E-3</v>
      </c>
      <c r="AW31" s="101">
        <f t="shared" si="15"/>
        <v>3.9930904923891279E-2</v>
      </c>
      <c r="AX31" s="92">
        <v>0.37910978743533247</v>
      </c>
      <c r="AY31" s="57">
        <v>0.10532807710933231</v>
      </c>
      <c r="AZ31" s="101">
        <f t="shared" si="16"/>
        <v>1.8763381244087763E-2</v>
      </c>
      <c r="BA31" s="92">
        <v>0.37910978743533247</v>
      </c>
      <c r="BB31" s="57">
        <v>4.9493265185849025E-2</v>
      </c>
      <c r="BC31" s="101">
        <f t="shared" si="17"/>
        <v>3.7080079528862661E-3</v>
      </c>
      <c r="BD31" s="92">
        <v>0.37910978743533247</v>
      </c>
      <c r="BE31" s="57">
        <v>9.7808288674656498E-3</v>
      </c>
      <c r="BF31" s="101">
        <f t="shared" si="18"/>
        <v>2.3045198341606333E-2</v>
      </c>
      <c r="BG31" s="92">
        <v>0.37910978743533247</v>
      </c>
      <c r="BH31" s="57">
        <v>6.0787663904713407E-2</v>
      </c>
      <c r="BI31" s="101">
        <f t="shared" si="19"/>
        <v>8.5536480533546219E-2</v>
      </c>
      <c r="BJ31" s="92">
        <v>0.37910978743533247</v>
      </c>
      <c r="BK31" s="57">
        <v>0.22562456409315679</v>
      </c>
      <c r="BL31" s="101">
        <f t="shared" si="20"/>
        <v>4.3484681623081077E-2</v>
      </c>
      <c r="BM31" s="92">
        <v>0.37910978743533247</v>
      </c>
      <c r="BN31" s="57">
        <v>0.11470208120252917</v>
      </c>
      <c r="BO31" s="101">
        <f t="shared" si="21"/>
        <v>3.7787794499934708E-3</v>
      </c>
      <c r="BP31" s="92">
        <v>0.37910978743533247</v>
      </c>
      <c r="BQ31" s="57">
        <v>9.967506973525565E-3</v>
      </c>
      <c r="BR31" s="101">
        <f t="shared" si="22"/>
        <v>2.0827492483397905E-2</v>
      </c>
      <c r="BS31" s="92">
        <v>0.37910978743533247</v>
      </c>
      <c r="BT31" s="57">
        <v>5.4937891802518027E-2</v>
      </c>
      <c r="BU31" s="101">
        <f t="shared" si="23"/>
        <v>1.0594048753850449E-2</v>
      </c>
      <c r="BV31" s="92">
        <v>0.37910978743533247</v>
      </c>
      <c r="BW31" s="57">
        <v>2.7944540354705439E-2</v>
      </c>
      <c r="BX31" s="101">
        <f t="shared" si="24"/>
        <v>2.3873654967803623E-3</v>
      </c>
      <c r="BY31" s="92">
        <v>0.37910978743533247</v>
      </c>
      <c r="BZ31" s="57">
        <v>6.2972932271963371E-3</v>
      </c>
      <c r="CA31" s="101">
        <f t="shared" si="25"/>
        <v>1.1418460659917049E-3</v>
      </c>
      <c r="CB31" s="92">
        <v>0.37910978743533247</v>
      </c>
      <c r="CC31" s="57">
        <v>3.0119139727735941E-3</v>
      </c>
      <c r="CD31" s="101">
        <f t="shared" si="26"/>
        <v>1.7647303502292754E-3</v>
      </c>
      <c r="CE31" s="92">
        <v>0.37910978743533247</v>
      </c>
      <c r="CF31" s="57">
        <v>4.6549321824889533E-3</v>
      </c>
      <c r="CG31" s="101">
        <f t="shared" si="27"/>
        <v>5.8114001790541148E-3</v>
      </c>
      <c r="CH31" s="92">
        <v>0.37910978743533247</v>
      </c>
      <c r="CI31" s="57">
        <v>1.5329069234450741E-2</v>
      </c>
      <c r="CJ31" s="101">
        <f t="shared" si="28"/>
        <v>5.7176077805093468E-3</v>
      </c>
      <c r="CK31" s="92">
        <v>0.37910978743533247</v>
      </c>
      <c r="CL31" s="57">
        <v>1.5081667553847159E-2</v>
      </c>
      <c r="CM31" s="101">
        <f t="shared" si="29"/>
        <v>0</v>
      </c>
      <c r="CN31" s="92">
        <v>0.37910978743533247</v>
      </c>
      <c r="CO31" s="57">
        <v>0</v>
      </c>
    </row>
    <row r="32" spans="1:93" ht="33.75">
      <c r="A32" s="38">
        <v>26</v>
      </c>
      <c r="B32" s="68" t="s">
        <v>172</v>
      </c>
      <c r="C32" s="46" t="s">
        <v>171</v>
      </c>
      <c r="D32" s="101">
        <f t="shared" si="0"/>
        <v>2.3053221069491644E-4</v>
      </c>
      <c r="E32" s="92">
        <v>0.31621783203088005</v>
      </c>
      <c r="F32" s="57">
        <v>7.2902976158663931E-4</v>
      </c>
      <c r="G32" s="101">
        <f t="shared" si="1"/>
        <v>2.9936192369634415E-5</v>
      </c>
      <c r="H32" s="92">
        <v>0.31621783203088005</v>
      </c>
      <c r="I32" s="57">
        <v>9.4669526311568083E-5</v>
      </c>
      <c r="J32" s="101">
        <f t="shared" si="2"/>
        <v>7.9191401203653559E-5</v>
      </c>
      <c r="K32" s="92">
        <v>0.31621783203088005</v>
      </c>
      <c r="L32" s="57">
        <v>2.5043306601355795E-4</v>
      </c>
      <c r="M32" s="101">
        <f t="shared" si="3"/>
        <v>1.8194576566750132E-3</v>
      </c>
      <c r="N32" s="92">
        <v>0.31621783203088005</v>
      </c>
      <c r="O32" s="57">
        <v>5.7538110516719221E-3</v>
      </c>
      <c r="P32" s="101">
        <f t="shared" si="4"/>
        <v>6.5968137484992036E-3</v>
      </c>
      <c r="Q32" s="92">
        <v>0.31621783203088005</v>
      </c>
      <c r="R32" s="57">
        <v>2.086161209230919E-2</v>
      </c>
      <c r="S32" s="101">
        <f t="shared" si="5"/>
        <v>6.671699039264477E-4</v>
      </c>
      <c r="T32" s="92">
        <v>0.31621783203088005</v>
      </c>
      <c r="U32" s="57">
        <v>2.1098427613699395E-3</v>
      </c>
      <c r="V32" s="101">
        <f t="shared" si="6"/>
        <v>2.3939784409737729E-3</v>
      </c>
      <c r="W32" s="92">
        <v>0.31621783203088005</v>
      </c>
      <c r="X32" s="57">
        <v>7.5706623677692861E-3</v>
      </c>
      <c r="Y32" s="101">
        <f t="shared" si="7"/>
        <v>3.4670499519742467E-4</v>
      </c>
      <c r="Z32" s="92">
        <v>0.31621783203088005</v>
      </c>
      <c r="AA32" s="57">
        <v>1.0964119036891234E-3</v>
      </c>
      <c r="AB32" s="101">
        <f t="shared" si="8"/>
        <v>2.3245300814671082E-3</v>
      </c>
      <c r="AC32" s="92">
        <v>0.31621783203088005</v>
      </c>
      <c r="AD32" s="57">
        <v>7.3510404727590052E-3</v>
      </c>
      <c r="AE32" s="101">
        <f t="shared" si="9"/>
        <v>1.1441345929012282E-2</v>
      </c>
      <c r="AF32" s="92">
        <v>0.31621783203088005</v>
      </c>
      <c r="AG32" s="57">
        <v>3.6181849250977678E-2</v>
      </c>
      <c r="AH32" s="101">
        <f t="shared" si="10"/>
        <v>1.2515795632838877E-4</v>
      </c>
      <c r="AI32" s="92">
        <v>0.31621783203088005</v>
      </c>
      <c r="AJ32" s="57">
        <v>3.9579664285398854E-4</v>
      </c>
      <c r="AK32" s="101">
        <f t="shared" si="11"/>
        <v>4.544703228821285E-6</v>
      </c>
      <c r="AL32" s="92">
        <v>0.31621783203088005</v>
      </c>
      <c r="AM32" s="57">
        <v>1.4372064976960169E-5</v>
      </c>
      <c r="AN32" s="101">
        <f t="shared" si="12"/>
        <v>4.7251736847586208E-5</v>
      </c>
      <c r="AO32" s="92">
        <v>0.31621783203088005</v>
      </c>
      <c r="AP32" s="57">
        <v>1.4942780596564166E-4</v>
      </c>
      <c r="AQ32" s="101">
        <f t="shared" si="13"/>
        <v>3.9061102062071225E-3</v>
      </c>
      <c r="AR32" s="92">
        <v>0.31621783203088005</v>
      </c>
      <c r="AS32" s="57">
        <v>1.2352593087873912E-2</v>
      </c>
      <c r="AT32" s="101">
        <f t="shared" si="14"/>
        <v>4.4352471898829168E-5</v>
      </c>
      <c r="AU32" s="92">
        <v>0.31621783203088005</v>
      </c>
      <c r="AV32" s="57">
        <v>1.4025923716565723E-4</v>
      </c>
      <c r="AW32" s="101">
        <f t="shared" si="15"/>
        <v>0.31860053630051693</v>
      </c>
      <c r="AX32" s="92">
        <v>0.31621783203088005</v>
      </c>
      <c r="AY32" s="57">
        <v>1.0075350091876039</v>
      </c>
      <c r="AZ32" s="101">
        <f t="shared" si="16"/>
        <v>2.6068400312149689E-4</v>
      </c>
      <c r="BA32" s="92">
        <v>0.31621783203088005</v>
      </c>
      <c r="BB32" s="57">
        <v>8.2438109656017111E-4</v>
      </c>
      <c r="BC32" s="101">
        <f t="shared" si="17"/>
        <v>5.9639453075820726E-5</v>
      </c>
      <c r="BD32" s="92">
        <v>0.31621783203088005</v>
      </c>
      <c r="BE32" s="57">
        <v>1.886024348873427E-4</v>
      </c>
      <c r="BF32" s="101">
        <f t="shared" si="18"/>
        <v>9.8087840603704751E-5</v>
      </c>
      <c r="BG32" s="92">
        <v>0.31621783203088005</v>
      </c>
      <c r="BH32" s="57">
        <v>3.1019073141367324E-4</v>
      </c>
      <c r="BI32" s="101">
        <f t="shared" si="19"/>
        <v>3.2828987010936326E-3</v>
      </c>
      <c r="BJ32" s="92">
        <v>0.31621783203088005</v>
      </c>
      <c r="BK32" s="57">
        <v>1.0381763356005309E-2</v>
      </c>
      <c r="BL32" s="101">
        <f t="shared" si="20"/>
        <v>4.5521048539903146E-3</v>
      </c>
      <c r="BM32" s="92">
        <v>0.31621783203088005</v>
      </c>
      <c r="BN32" s="57">
        <v>1.4395471706180635E-2</v>
      </c>
      <c r="BO32" s="101">
        <f t="shared" si="21"/>
        <v>1.8652819066281229E-4</v>
      </c>
      <c r="BP32" s="92">
        <v>0.31621783203088005</v>
      </c>
      <c r="BQ32" s="57">
        <v>5.8987246059101755E-4</v>
      </c>
      <c r="BR32" s="101">
        <f t="shared" si="22"/>
        <v>5.0845756581835875E-3</v>
      </c>
      <c r="BS32" s="92">
        <v>0.31621783203088005</v>
      </c>
      <c r="BT32" s="57">
        <v>1.6079345132209547E-2</v>
      </c>
      <c r="BU32" s="101">
        <f t="shared" si="23"/>
        <v>5.1610832037559469E-4</v>
      </c>
      <c r="BV32" s="92">
        <v>0.31621783203088005</v>
      </c>
      <c r="BW32" s="57">
        <v>1.6321290834894931E-3</v>
      </c>
      <c r="BX32" s="101">
        <f t="shared" si="24"/>
        <v>1.5980148452139552E-4</v>
      </c>
      <c r="BY32" s="92">
        <v>0.31621783203088005</v>
      </c>
      <c r="BZ32" s="57">
        <v>5.0535253971948745E-4</v>
      </c>
      <c r="CA32" s="101">
        <f t="shared" si="25"/>
        <v>1.4376603603436414E-4</v>
      </c>
      <c r="CB32" s="92">
        <v>0.31621783203088005</v>
      </c>
      <c r="CC32" s="57">
        <v>4.5464240618892343E-4</v>
      </c>
      <c r="CD32" s="101">
        <f t="shared" si="26"/>
        <v>2.3631570054390776E-4</v>
      </c>
      <c r="CE32" s="92">
        <v>0.31621783203088005</v>
      </c>
      <c r="CF32" s="57">
        <v>7.4731933688303349E-4</v>
      </c>
      <c r="CG32" s="101">
        <f t="shared" si="27"/>
        <v>6.4550068115446326E-4</v>
      </c>
      <c r="CH32" s="92">
        <v>0.31621783203088005</v>
      </c>
      <c r="CI32" s="57">
        <v>2.0413165095997093E-3</v>
      </c>
      <c r="CJ32" s="101">
        <f t="shared" si="28"/>
        <v>4.5054735659654746E-4</v>
      </c>
      <c r="CK32" s="92">
        <v>0.31621783203088005</v>
      </c>
      <c r="CL32" s="57">
        <v>1.4248005993303678E-3</v>
      </c>
      <c r="CM32" s="101">
        <f t="shared" si="29"/>
        <v>0</v>
      </c>
      <c r="CN32" s="92">
        <v>0.31621783203088005</v>
      </c>
      <c r="CO32" s="57">
        <v>0</v>
      </c>
    </row>
    <row r="33" spans="1:93" ht="22.5">
      <c r="A33" s="38">
        <v>27</v>
      </c>
      <c r="B33" s="68" t="s">
        <v>170</v>
      </c>
      <c r="C33" s="46" t="s">
        <v>169</v>
      </c>
      <c r="D33" s="101">
        <f t="shared" si="0"/>
        <v>1.3510497390151541E-4</v>
      </c>
      <c r="E33" s="92">
        <v>0.33109966296972665</v>
      </c>
      <c r="F33" s="57">
        <v>4.0804926435056033E-4</v>
      </c>
      <c r="G33" s="101">
        <f t="shared" si="1"/>
        <v>5.2284403994752761E-5</v>
      </c>
      <c r="H33" s="92">
        <v>0.33109966296972665</v>
      </c>
      <c r="I33" s="57">
        <v>1.5791137787879073E-4</v>
      </c>
      <c r="J33" s="101">
        <f t="shared" si="2"/>
        <v>1.9725655429850743E-3</v>
      </c>
      <c r="K33" s="92">
        <v>0.33109966296972665</v>
      </c>
      <c r="L33" s="57">
        <v>5.9576186979248946E-3</v>
      </c>
      <c r="M33" s="101">
        <f t="shared" si="3"/>
        <v>2.9677947762666532E-4</v>
      </c>
      <c r="N33" s="92">
        <v>0.33109966296972665</v>
      </c>
      <c r="O33" s="57">
        <v>8.9634484965875881E-4</v>
      </c>
      <c r="P33" s="101">
        <f t="shared" si="4"/>
        <v>7.0445281363992794E-4</v>
      </c>
      <c r="Q33" s="92">
        <v>0.33109966296972665</v>
      </c>
      <c r="R33" s="57">
        <v>2.1276156167647263E-3</v>
      </c>
      <c r="S33" s="101">
        <f t="shared" si="5"/>
        <v>1.1270320209926196E-4</v>
      </c>
      <c r="T33" s="92">
        <v>0.33109966296972665</v>
      </c>
      <c r="U33" s="57">
        <v>3.4039056726423405E-4</v>
      </c>
      <c r="V33" s="101">
        <f t="shared" si="6"/>
        <v>7.2751016331791302E-5</v>
      </c>
      <c r="W33" s="92">
        <v>0.33109966296972665</v>
      </c>
      <c r="X33" s="57">
        <v>2.1972543154911978E-4</v>
      </c>
      <c r="Y33" s="101">
        <f t="shared" si="7"/>
        <v>3.0667407197024758E-4</v>
      </c>
      <c r="Z33" s="92">
        <v>0.33109966296972665</v>
      </c>
      <c r="AA33" s="57">
        <v>9.2622888594811898E-4</v>
      </c>
      <c r="AB33" s="101">
        <f t="shared" si="8"/>
        <v>2.8728795275250597E-3</v>
      </c>
      <c r="AC33" s="92">
        <v>0.33109966296972665</v>
      </c>
      <c r="AD33" s="57">
        <v>8.6767817936067634E-3</v>
      </c>
      <c r="AE33" s="101">
        <f t="shared" si="9"/>
        <v>1.1362217638305166E-4</v>
      </c>
      <c r="AF33" s="92">
        <v>0.33109966296972665</v>
      </c>
      <c r="AG33" s="57">
        <v>3.4316608891698098E-4</v>
      </c>
      <c r="AH33" s="101">
        <f t="shared" si="10"/>
        <v>6.2258892887200374E-5</v>
      </c>
      <c r="AI33" s="92">
        <v>0.33109966296972665</v>
      </c>
      <c r="AJ33" s="57">
        <v>1.8803671477277486E-4</v>
      </c>
      <c r="AK33" s="101">
        <f t="shared" si="11"/>
        <v>2.2624981305220553E-6</v>
      </c>
      <c r="AL33" s="92">
        <v>0.33109966296972665</v>
      </c>
      <c r="AM33" s="57">
        <v>6.83328430548394E-6</v>
      </c>
      <c r="AN33" s="101">
        <f t="shared" si="12"/>
        <v>2.452538969822109E-5</v>
      </c>
      <c r="AO33" s="92">
        <v>0.33109966296972665</v>
      </c>
      <c r="AP33" s="57">
        <v>7.4072529939311704E-5</v>
      </c>
      <c r="AQ33" s="101">
        <f t="shared" si="13"/>
        <v>2.3151381230425991E-4</v>
      </c>
      <c r="AR33" s="92">
        <v>0.33109966296972665</v>
      </c>
      <c r="AS33" s="57">
        <v>6.9922696455727851E-4</v>
      </c>
      <c r="AT33" s="101">
        <f t="shared" si="14"/>
        <v>1.7064315380102037E-5</v>
      </c>
      <c r="AU33" s="92">
        <v>0.33109966296972665</v>
      </c>
      <c r="AV33" s="57">
        <v>5.1538304892996138E-5</v>
      </c>
      <c r="AW33" s="101">
        <f t="shared" si="15"/>
        <v>3.4504105526538903E-5</v>
      </c>
      <c r="AX33" s="92">
        <v>0.33109966296972665</v>
      </c>
      <c r="AY33" s="57">
        <v>1.0421063318839352E-4</v>
      </c>
      <c r="AZ33" s="101">
        <f t="shared" si="16"/>
        <v>2.604675934794107E-3</v>
      </c>
      <c r="BA33" s="92">
        <v>0.33109966296972665</v>
      </c>
      <c r="BB33" s="57">
        <v>7.8667429360453917E-3</v>
      </c>
      <c r="BC33" s="101">
        <f t="shared" si="17"/>
        <v>6.9998735867944178E-5</v>
      </c>
      <c r="BD33" s="92">
        <v>0.33109966296972665</v>
      </c>
      <c r="BE33" s="57">
        <v>2.1141288770911362E-4</v>
      </c>
      <c r="BF33" s="101">
        <f t="shared" si="18"/>
        <v>3.4450217540013751E-5</v>
      </c>
      <c r="BG33" s="92">
        <v>0.33109966296972665</v>
      </c>
      <c r="BH33" s="57">
        <v>1.0404787860857361E-4</v>
      </c>
      <c r="BI33" s="101">
        <f t="shared" si="19"/>
        <v>5.4054439102747881E-3</v>
      </c>
      <c r="BJ33" s="92">
        <v>0.33109966296972665</v>
      </c>
      <c r="BK33" s="57">
        <v>1.6325730632860906E-2</v>
      </c>
      <c r="BL33" s="101">
        <f t="shared" si="20"/>
        <v>2.5346379515006115E-3</v>
      </c>
      <c r="BM33" s="92">
        <v>0.33109966296972665</v>
      </c>
      <c r="BN33" s="57">
        <v>7.6552115117446088E-3</v>
      </c>
      <c r="BO33" s="101">
        <f t="shared" si="21"/>
        <v>1.1796802212013699E-4</v>
      </c>
      <c r="BP33" s="92">
        <v>0.33109966296972665</v>
      </c>
      <c r="BQ33" s="57">
        <v>3.5629158019083554E-4</v>
      </c>
      <c r="BR33" s="101">
        <f t="shared" si="22"/>
        <v>5.308085207594821E-4</v>
      </c>
      <c r="BS33" s="92">
        <v>0.33109966296972665</v>
      </c>
      <c r="BT33" s="57">
        <v>1.6031684115849294E-3</v>
      </c>
      <c r="BU33" s="101">
        <f t="shared" si="23"/>
        <v>1.5216268028752289E-4</v>
      </c>
      <c r="BV33" s="92">
        <v>0.33109966296972665</v>
      </c>
      <c r="BW33" s="57">
        <v>4.5956760850413654E-4</v>
      </c>
      <c r="BX33" s="101">
        <f t="shared" si="24"/>
        <v>8.5747712362028907E-5</v>
      </c>
      <c r="BY33" s="92">
        <v>0.33109966296972665</v>
      </c>
      <c r="BZ33" s="57">
        <v>2.5897855525714944E-4</v>
      </c>
      <c r="CA33" s="101">
        <f t="shared" si="25"/>
        <v>6.300112809122853E-5</v>
      </c>
      <c r="CB33" s="92">
        <v>0.33109966296972665</v>
      </c>
      <c r="CC33" s="57">
        <v>1.9027844222538183E-4</v>
      </c>
      <c r="CD33" s="101">
        <f t="shared" si="26"/>
        <v>1.6546514247690799E-4</v>
      </c>
      <c r="CE33" s="92">
        <v>0.33109966296972665</v>
      </c>
      <c r="CF33" s="57">
        <v>4.9974421898471371E-4</v>
      </c>
      <c r="CG33" s="101">
        <f t="shared" si="27"/>
        <v>3.9496410757118908E-4</v>
      </c>
      <c r="CH33" s="92">
        <v>0.33109966296972665</v>
      </c>
      <c r="CI33" s="57">
        <v>1.1928858641191119E-3</v>
      </c>
      <c r="CJ33" s="101">
        <f t="shared" si="28"/>
        <v>6.4994980117297598E-4</v>
      </c>
      <c r="CK33" s="92">
        <v>0.33109966296972665</v>
      </c>
      <c r="CL33" s="57">
        <v>1.9630035118229725E-3</v>
      </c>
      <c r="CM33" s="101">
        <f t="shared" si="29"/>
        <v>0</v>
      </c>
      <c r="CN33" s="92">
        <v>0.33109966296972665</v>
      </c>
      <c r="CO33" s="57">
        <v>0</v>
      </c>
    </row>
    <row r="34" spans="1:93" ht="22.5">
      <c r="A34" s="38">
        <v>28</v>
      </c>
      <c r="B34" s="68" t="s">
        <v>168</v>
      </c>
      <c r="C34" s="46" t="s">
        <v>167</v>
      </c>
      <c r="D34" s="101">
        <f t="shared" si="0"/>
        <v>1.457259684592154E-3</v>
      </c>
      <c r="E34" s="92">
        <v>0.32104026354841375</v>
      </c>
      <c r="F34" s="57">
        <v>4.5391804395039544E-3</v>
      </c>
      <c r="G34" s="101">
        <f t="shared" si="1"/>
        <v>3.190576932865062E-4</v>
      </c>
      <c r="H34" s="92">
        <v>0.32104026354841375</v>
      </c>
      <c r="I34" s="57">
        <v>9.9382454325200689E-4</v>
      </c>
      <c r="J34" s="101">
        <f t="shared" si="2"/>
        <v>1.4226935604599803E-3</v>
      </c>
      <c r="K34" s="92">
        <v>0.32104026354841375</v>
      </c>
      <c r="L34" s="57">
        <v>4.4315113149208905E-3</v>
      </c>
      <c r="M34" s="101">
        <f t="shared" si="3"/>
        <v>3.2314340379552813E-3</v>
      </c>
      <c r="N34" s="92">
        <v>0.32104026354841375</v>
      </c>
      <c r="O34" s="57">
        <v>1.0065510170714061E-2</v>
      </c>
      <c r="P34" s="101">
        <f t="shared" si="4"/>
        <v>1.9308759982481535E-3</v>
      </c>
      <c r="Q34" s="92">
        <v>0.32104026354841375</v>
      </c>
      <c r="R34" s="57">
        <v>6.0144356253214078E-3</v>
      </c>
      <c r="S34" s="101">
        <f t="shared" si="5"/>
        <v>1.2505192109996304E-3</v>
      </c>
      <c r="T34" s="92">
        <v>0.32104026354841375</v>
      </c>
      <c r="U34" s="57">
        <v>3.8952098941665886E-3</v>
      </c>
      <c r="V34" s="101">
        <f t="shared" si="6"/>
        <v>1.2754248327060187E-2</v>
      </c>
      <c r="W34" s="92">
        <v>0.32104026354841375</v>
      </c>
      <c r="X34" s="57">
        <v>3.9727877700102908E-2</v>
      </c>
      <c r="Y34" s="101">
        <f t="shared" si="7"/>
        <v>6.5497001210874387E-2</v>
      </c>
      <c r="Z34" s="92">
        <v>0.32104026354841375</v>
      </c>
      <c r="AA34" s="57">
        <v>0.20401491229462954</v>
      </c>
      <c r="AB34" s="101">
        <f t="shared" si="8"/>
        <v>2.73212572108672E-3</v>
      </c>
      <c r="AC34" s="92">
        <v>0.32104026354841375</v>
      </c>
      <c r="AD34" s="57">
        <v>8.5102276296714664E-3</v>
      </c>
      <c r="AE34" s="101">
        <f t="shared" si="9"/>
        <v>4.2618475015480349E-3</v>
      </c>
      <c r="AF34" s="92">
        <v>0.32104026354841375</v>
      </c>
      <c r="AG34" s="57">
        <v>1.3275118374382147E-2</v>
      </c>
      <c r="AH34" s="101">
        <f t="shared" si="10"/>
        <v>1.004177833485977E-3</v>
      </c>
      <c r="AI34" s="92">
        <v>0.32104026354841375</v>
      </c>
      <c r="AJ34" s="57">
        <v>3.1278875191134534E-3</v>
      </c>
      <c r="AK34" s="101">
        <f t="shared" si="11"/>
        <v>3.1221961697827403E-5</v>
      </c>
      <c r="AL34" s="92">
        <v>0.32104026354841375</v>
      </c>
      <c r="AM34" s="57">
        <v>9.7252479650793228E-5</v>
      </c>
      <c r="AN34" s="101">
        <f t="shared" si="12"/>
        <v>4.370821675066181E-4</v>
      </c>
      <c r="AO34" s="92">
        <v>0.32104026354841375</v>
      </c>
      <c r="AP34" s="57">
        <v>1.3614559204369234E-3</v>
      </c>
      <c r="AQ34" s="101">
        <f t="shared" si="13"/>
        <v>3.8519755122077642E-3</v>
      </c>
      <c r="AR34" s="92">
        <v>0.32104026354841375</v>
      </c>
      <c r="AS34" s="57">
        <v>1.1998418733003799E-2</v>
      </c>
      <c r="AT34" s="101">
        <f t="shared" si="14"/>
        <v>1.2119972157884371E-3</v>
      </c>
      <c r="AU34" s="92">
        <v>0.32104026354841375</v>
      </c>
      <c r="AV34" s="57">
        <v>3.775218729240996E-3</v>
      </c>
      <c r="AW34" s="101">
        <f t="shared" si="15"/>
        <v>2.3753670539570855E-3</v>
      </c>
      <c r="AX34" s="92">
        <v>0.32104026354841375</v>
      </c>
      <c r="AY34" s="57">
        <v>7.3989692996837249E-3</v>
      </c>
      <c r="AZ34" s="101">
        <f t="shared" si="16"/>
        <v>8.0957477518033685E-2</v>
      </c>
      <c r="BA34" s="92">
        <v>0.32104026354841375</v>
      </c>
      <c r="BB34" s="57">
        <v>0.25217234942191319</v>
      </c>
      <c r="BC34" s="101">
        <f t="shared" si="17"/>
        <v>2.0753744778476753E-2</v>
      </c>
      <c r="BD34" s="92">
        <v>0.32104026354841375</v>
      </c>
      <c r="BE34" s="57">
        <v>6.4645301960222917E-2</v>
      </c>
      <c r="BF34" s="101">
        <f t="shared" si="18"/>
        <v>6.2094586658398539E-3</v>
      </c>
      <c r="BG34" s="92">
        <v>0.32104026354841375</v>
      </c>
      <c r="BH34" s="57">
        <v>1.9341681934868741E-2</v>
      </c>
      <c r="BI34" s="101">
        <f t="shared" si="19"/>
        <v>7.1774301832608217E-3</v>
      </c>
      <c r="BJ34" s="92">
        <v>0.32104026354841375</v>
      </c>
      <c r="BK34" s="57">
        <v>2.235679133803865E-2</v>
      </c>
      <c r="BL34" s="101">
        <f t="shared" si="20"/>
        <v>8.6059877409720778E-3</v>
      </c>
      <c r="BM34" s="92">
        <v>0.32104026354841375</v>
      </c>
      <c r="BN34" s="57">
        <v>2.6806568266083769E-2</v>
      </c>
      <c r="BO34" s="101">
        <f t="shared" si="21"/>
        <v>3.2892442674869789E-3</v>
      </c>
      <c r="BP34" s="92">
        <v>0.32104026354841375</v>
      </c>
      <c r="BQ34" s="57">
        <v>1.0245581757040116E-2</v>
      </c>
      <c r="BR34" s="101">
        <f t="shared" si="22"/>
        <v>2.5698473172842485E-3</v>
      </c>
      <c r="BS34" s="92">
        <v>0.32104026354841375</v>
      </c>
      <c r="BT34" s="57">
        <v>8.004750833680737E-3</v>
      </c>
      <c r="BU34" s="101">
        <f t="shared" si="23"/>
        <v>1.9087351496278157E-3</v>
      </c>
      <c r="BV34" s="92">
        <v>0.32104026354841375</v>
      </c>
      <c r="BW34" s="57">
        <v>5.9454696695387345E-3</v>
      </c>
      <c r="BX34" s="101">
        <f t="shared" si="24"/>
        <v>1.060548706941059E-3</v>
      </c>
      <c r="BY34" s="92">
        <v>0.32104026354841375</v>
      </c>
      <c r="BZ34" s="57">
        <v>3.3034756924846757E-3</v>
      </c>
      <c r="CA34" s="101">
        <f t="shared" si="25"/>
        <v>2.6797455701697E-2</v>
      </c>
      <c r="CB34" s="92">
        <v>0.32104026354841375</v>
      </c>
      <c r="CC34" s="57">
        <v>8.3470700545496754E-2</v>
      </c>
      <c r="CD34" s="101">
        <f t="shared" si="26"/>
        <v>3.5973132203184779E-3</v>
      </c>
      <c r="CE34" s="92">
        <v>0.32104026354841375</v>
      </c>
      <c r="CF34" s="57">
        <v>1.1205177757325113E-2</v>
      </c>
      <c r="CG34" s="101">
        <f t="shared" si="27"/>
        <v>5.0278804971126368E-3</v>
      </c>
      <c r="CH34" s="92">
        <v>0.32104026354841375</v>
      </c>
      <c r="CI34" s="57">
        <v>1.566121470727742E-2</v>
      </c>
      <c r="CJ34" s="101">
        <f t="shared" si="28"/>
        <v>6.7612009753456812E-3</v>
      </c>
      <c r="CK34" s="92">
        <v>0.32104026354841375</v>
      </c>
      <c r="CL34" s="57">
        <v>2.106028976121269E-2</v>
      </c>
      <c r="CM34" s="101">
        <f t="shared" si="29"/>
        <v>0</v>
      </c>
      <c r="CN34" s="92">
        <v>0.32104026354841375</v>
      </c>
      <c r="CO34" s="57">
        <v>0</v>
      </c>
    </row>
    <row r="35" spans="1:93">
      <c r="A35" s="38">
        <v>29</v>
      </c>
      <c r="B35" s="68" t="s">
        <v>166</v>
      </c>
      <c r="C35" s="46" t="s">
        <v>165</v>
      </c>
      <c r="D35" s="101">
        <f t="shared" si="0"/>
        <v>3.5604595201247467E-5</v>
      </c>
      <c r="E35" s="92">
        <v>0.38731965042838795</v>
      </c>
      <c r="F35" s="57">
        <v>9.1925610182358794E-5</v>
      </c>
      <c r="G35" s="101">
        <f t="shared" si="1"/>
        <v>2.0180404095075327E-5</v>
      </c>
      <c r="H35" s="92">
        <v>0.38731965042838795</v>
      </c>
      <c r="I35" s="57">
        <v>5.2102711733719558E-5</v>
      </c>
      <c r="J35" s="101">
        <f t="shared" si="2"/>
        <v>9.7108904816086696E-6</v>
      </c>
      <c r="K35" s="92">
        <v>0.38731965042838795</v>
      </c>
      <c r="L35" s="57">
        <v>2.5072031514197932E-5</v>
      </c>
      <c r="M35" s="101">
        <f t="shared" si="3"/>
        <v>1.1919304453641981E-4</v>
      </c>
      <c r="N35" s="92">
        <v>0.38731965042838795</v>
      </c>
      <c r="O35" s="57">
        <v>3.0773818060764147E-4</v>
      </c>
      <c r="P35" s="101">
        <f t="shared" si="4"/>
        <v>6.3641828097888104E-4</v>
      </c>
      <c r="Q35" s="92">
        <v>0.38731965042838795</v>
      </c>
      <c r="R35" s="57">
        <v>1.6431345021482439E-3</v>
      </c>
      <c r="S35" s="101">
        <f t="shared" si="5"/>
        <v>5.7936205277542394E-4</v>
      </c>
      <c r="T35" s="92">
        <v>0.38731965042838795</v>
      </c>
      <c r="U35" s="57">
        <v>1.4958240619463302E-3</v>
      </c>
      <c r="V35" s="101">
        <f t="shared" si="6"/>
        <v>3.5535418318711408E-5</v>
      </c>
      <c r="W35" s="92">
        <v>0.38731965042838795</v>
      </c>
      <c r="X35" s="57">
        <v>9.1747006069555463E-5</v>
      </c>
      <c r="Y35" s="101">
        <f t="shared" si="7"/>
        <v>2.6087193382763713E-5</v>
      </c>
      <c r="Z35" s="92">
        <v>0.38731965042838795</v>
      </c>
      <c r="AA35" s="57">
        <v>6.7353136753868392E-5</v>
      </c>
      <c r="AB35" s="101">
        <f t="shared" si="8"/>
        <v>1.2425191333002443E-4</v>
      </c>
      <c r="AC35" s="92">
        <v>0.38731965042838795</v>
      </c>
      <c r="AD35" s="57">
        <v>3.2079940481356378E-4</v>
      </c>
      <c r="AE35" s="101">
        <f t="shared" si="9"/>
        <v>5.3543568218623514E-4</v>
      </c>
      <c r="AF35" s="92">
        <v>0.38731965042838795</v>
      </c>
      <c r="AG35" s="57">
        <v>1.3824129026090623E-3</v>
      </c>
      <c r="AH35" s="101">
        <f t="shared" si="10"/>
        <v>1.6036394545390974E-5</v>
      </c>
      <c r="AI35" s="92">
        <v>0.38731965042838795</v>
      </c>
      <c r="AJ35" s="57">
        <v>4.1403513939079021E-5</v>
      </c>
      <c r="AK35" s="101">
        <f t="shared" si="11"/>
        <v>4.1346187202668494E-7</v>
      </c>
      <c r="AL35" s="92">
        <v>0.38731965042838795</v>
      </c>
      <c r="AM35" s="57">
        <v>1.0674952111760476E-6</v>
      </c>
      <c r="AN35" s="101">
        <f t="shared" si="12"/>
        <v>4.8779669844418787E-6</v>
      </c>
      <c r="AO35" s="92">
        <v>0.38731965042838795</v>
      </c>
      <c r="AP35" s="57">
        <v>1.2594163448837906E-5</v>
      </c>
      <c r="AQ35" s="101">
        <f t="shared" si="13"/>
        <v>2.2312666201982499E-3</v>
      </c>
      <c r="AR35" s="92">
        <v>0.38731965042838795</v>
      </c>
      <c r="AS35" s="57">
        <v>5.7607885831002835E-3</v>
      </c>
      <c r="AT35" s="101">
        <f t="shared" si="14"/>
        <v>4.4470368723422003E-6</v>
      </c>
      <c r="AU35" s="92">
        <v>0.38731965042838795</v>
      </c>
      <c r="AV35" s="57">
        <v>1.1481567917929376E-5</v>
      </c>
      <c r="AW35" s="101">
        <f t="shared" si="15"/>
        <v>1.0564491031545435E-5</v>
      </c>
      <c r="AX35" s="92">
        <v>0.38731965042838795</v>
      </c>
      <c r="AY35" s="57">
        <v>2.7275897362451842E-5</v>
      </c>
      <c r="AZ35" s="101">
        <f t="shared" si="16"/>
        <v>0.38734480017705841</v>
      </c>
      <c r="BA35" s="92">
        <v>0.38731965042838795</v>
      </c>
      <c r="BB35" s="57">
        <v>1.0000649327981233</v>
      </c>
      <c r="BC35" s="101">
        <f t="shared" si="17"/>
        <v>6.6586579949297976E-6</v>
      </c>
      <c r="BD35" s="92">
        <v>0.38731965042838795</v>
      </c>
      <c r="BE35" s="57">
        <v>1.7191634835890997E-5</v>
      </c>
      <c r="BF35" s="101">
        <f t="shared" si="18"/>
        <v>1.0663795766508336E-4</v>
      </c>
      <c r="BG35" s="92">
        <v>0.38731965042838795</v>
      </c>
      <c r="BH35" s="57">
        <v>2.7532286974631511E-4</v>
      </c>
      <c r="BI35" s="101">
        <f t="shared" si="19"/>
        <v>3.9068238030544032E-5</v>
      </c>
      <c r="BJ35" s="92">
        <v>0.38731965042838795</v>
      </c>
      <c r="BK35" s="57">
        <v>1.0086820533720225E-4</v>
      </c>
      <c r="BL35" s="101">
        <f t="shared" si="20"/>
        <v>4.0013830912508791E-4</v>
      </c>
      <c r="BM35" s="92">
        <v>0.38731965042838795</v>
      </c>
      <c r="BN35" s="57">
        <v>1.033095812935187E-3</v>
      </c>
      <c r="BO35" s="101">
        <f t="shared" si="21"/>
        <v>4.9697297479883014E-5</v>
      </c>
      <c r="BP35" s="92">
        <v>0.38731965042838795</v>
      </c>
      <c r="BQ35" s="57">
        <v>1.2831080846250947E-4</v>
      </c>
      <c r="BR35" s="101">
        <f t="shared" si="22"/>
        <v>3.5380827605910185E-4</v>
      </c>
      <c r="BS35" s="92">
        <v>0.38731965042838795</v>
      </c>
      <c r="BT35" s="57">
        <v>9.1347876532414131E-4</v>
      </c>
      <c r="BU35" s="101">
        <f t="shared" si="23"/>
        <v>1.3610355158076042E-4</v>
      </c>
      <c r="BV35" s="92">
        <v>0.38731965042838795</v>
      </c>
      <c r="BW35" s="57">
        <v>3.5139851910489313E-4</v>
      </c>
      <c r="BX35" s="101">
        <f t="shared" si="24"/>
        <v>1.921899090436424E-5</v>
      </c>
      <c r="BY35" s="92">
        <v>0.38731965042838795</v>
      </c>
      <c r="BZ35" s="57">
        <v>4.9620490163892842E-5</v>
      </c>
      <c r="CA35" s="101">
        <f t="shared" si="25"/>
        <v>1.0546621230981222E-5</v>
      </c>
      <c r="CB35" s="92">
        <v>0.38731965042838795</v>
      </c>
      <c r="CC35" s="57">
        <v>2.7229760275050133E-5</v>
      </c>
      <c r="CD35" s="101">
        <f t="shared" si="26"/>
        <v>2.7150753222976967E-5</v>
      </c>
      <c r="CE35" s="92">
        <v>0.38731965042838795</v>
      </c>
      <c r="CF35" s="57">
        <v>7.0099085323833591E-5</v>
      </c>
      <c r="CG35" s="101">
        <f t="shared" si="27"/>
        <v>7.3497688472649446E-5</v>
      </c>
      <c r="CH35" s="92">
        <v>0.38731965042838795</v>
      </c>
      <c r="CI35" s="57">
        <v>1.8975977178374153E-4</v>
      </c>
      <c r="CJ35" s="101">
        <f t="shared" si="28"/>
        <v>5.7170982005180904E-5</v>
      </c>
      <c r="CK35" s="92">
        <v>0.38731965042838795</v>
      </c>
      <c r="CL35" s="57">
        <v>1.4760671693767142E-4</v>
      </c>
      <c r="CM35" s="101">
        <f t="shared" si="29"/>
        <v>0</v>
      </c>
      <c r="CN35" s="92">
        <v>0.38731965042838795</v>
      </c>
      <c r="CO35" s="57">
        <v>0</v>
      </c>
    </row>
    <row r="36" spans="1:93" ht="22.5">
      <c r="A36" s="38">
        <v>30</v>
      </c>
      <c r="B36" s="68" t="s">
        <v>66</v>
      </c>
      <c r="C36" s="46" t="s">
        <v>65</v>
      </c>
      <c r="D36" s="101">
        <f t="shared" si="0"/>
        <v>1.0554302276236732E-3</v>
      </c>
      <c r="E36" s="92">
        <v>0.44082200993931453</v>
      </c>
      <c r="F36" s="57">
        <v>2.3942321477300288E-3</v>
      </c>
      <c r="G36" s="101">
        <f t="shared" si="1"/>
        <v>6.7716324358451053E-3</v>
      </c>
      <c r="H36" s="92">
        <v>0.44082200993931453</v>
      </c>
      <c r="I36" s="57">
        <v>1.5361375528361929E-2</v>
      </c>
      <c r="J36" s="101">
        <f t="shared" si="2"/>
        <v>9.5614562231158067E-4</v>
      </c>
      <c r="K36" s="92">
        <v>0.44082200993931453</v>
      </c>
      <c r="L36" s="57">
        <v>2.1690060857968681E-3</v>
      </c>
      <c r="M36" s="101">
        <f t="shared" si="3"/>
        <v>8.7013278869871105E-3</v>
      </c>
      <c r="N36" s="92">
        <v>0.44082200993931453</v>
      </c>
      <c r="O36" s="57">
        <v>1.9738868955715194E-2</v>
      </c>
      <c r="P36" s="101">
        <f t="shared" si="4"/>
        <v>3.1791680037147486E-3</v>
      </c>
      <c r="Q36" s="92">
        <v>0.44082200993931453</v>
      </c>
      <c r="R36" s="57">
        <v>7.2119085073642456E-3</v>
      </c>
      <c r="S36" s="101">
        <f t="shared" si="5"/>
        <v>2.6432031628404809E-3</v>
      </c>
      <c r="T36" s="92">
        <v>0.44082200993931453</v>
      </c>
      <c r="U36" s="57">
        <v>5.9960780161688286E-3</v>
      </c>
      <c r="V36" s="101">
        <f t="shared" si="6"/>
        <v>8.1237494768075455E-4</v>
      </c>
      <c r="W36" s="92">
        <v>0.44082200993931453</v>
      </c>
      <c r="X36" s="57">
        <v>1.8428638529019675E-3</v>
      </c>
      <c r="Y36" s="101">
        <f t="shared" si="7"/>
        <v>6.5953041705756846E-4</v>
      </c>
      <c r="Z36" s="92">
        <v>0.44082200993931453</v>
      </c>
      <c r="AA36" s="57">
        <v>1.4961376750411402E-3</v>
      </c>
      <c r="AB36" s="101">
        <f t="shared" si="8"/>
        <v>1.4921733981000787E-2</v>
      </c>
      <c r="AC36" s="92">
        <v>0.44082200993931453</v>
      </c>
      <c r="AD36" s="57">
        <v>3.3849793441699923E-2</v>
      </c>
      <c r="AE36" s="101">
        <f t="shared" si="9"/>
        <v>1.7599104905704026E-3</v>
      </c>
      <c r="AF36" s="92">
        <v>0.44082200993931453</v>
      </c>
      <c r="AG36" s="57">
        <v>3.9923380659070981E-3</v>
      </c>
      <c r="AH36" s="101">
        <f t="shared" si="10"/>
        <v>9.7768947301710585E-4</v>
      </c>
      <c r="AI36" s="92">
        <v>0.44082200993931453</v>
      </c>
      <c r="AJ36" s="57">
        <v>2.2178780799799419E-3</v>
      </c>
      <c r="AK36" s="101">
        <f t="shared" si="11"/>
        <v>1.7255182705320152E-5</v>
      </c>
      <c r="AL36" s="92">
        <v>0.44082200993931453</v>
      </c>
      <c r="AM36" s="57">
        <v>3.9143196837416478E-5</v>
      </c>
      <c r="AN36" s="101">
        <f t="shared" si="12"/>
        <v>1.646921688677845E-4</v>
      </c>
      <c r="AO36" s="92">
        <v>0.44082200993931453</v>
      </c>
      <c r="AP36" s="57">
        <v>3.7360241810624825E-4</v>
      </c>
      <c r="AQ36" s="101">
        <f t="shared" si="13"/>
        <v>1.0964672574958582E-3</v>
      </c>
      <c r="AR36" s="92">
        <v>0.44082200993931453</v>
      </c>
      <c r="AS36" s="57">
        <v>2.487324209711767E-3</v>
      </c>
      <c r="AT36" s="101">
        <f t="shared" si="14"/>
        <v>9.8047769016105751E-5</v>
      </c>
      <c r="AU36" s="92">
        <v>0.44082200993931453</v>
      </c>
      <c r="AV36" s="57">
        <v>2.2242031206564172E-4</v>
      </c>
      <c r="AW36" s="101">
        <f t="shared" si="15"/>
        <v>2.4322457815603192E-4</v>
      </c>
      <c r="AX36" s="92">
        <v>0.44082200993931453</v>
      </c>
      <c r="AY36" s="57">
        <v>5.5175234600812078E-4</v>
      </c>
      <c r="AZ36" s="101">
        <f t="shared" si="16"/>
        <v>6.6555502444986679E-4</v>
      </c>
      <c r="BA36" s="92">
        <v>0.44082200993931453</v>
      </c>
      <c r="BB36" s="57">
        <v>1.5098044322729937E-3</v>
      </c>
      <c r="BC36" s="101">
        <f t="shared" si="17"/>
        <v>1.7758095642049946E-4</v>
      </c>
      <c r="BD36" s="92">
        <v>0.44082200993931453</v>
      </c>
      <c r="BE36" s="57">
        <v>4.0284049438671637E-4</v>
      </c>
      <c r="BF36" s="101">
        <f t="shared" si="18"/>
        <v>7.6933156351312283E-4</v>
      </c>
      <c r="BG36" s="92">
        <v>0.44082200993931453</v>
      </c>
      <c r="BH36" s="57">
        <v>1.7452203977270382E-3</v>
      </c>
      <c r="BI36" s="101">
        <f t="shared" si="19"/>
        <v>2.364861681219391E-3</v>
      </c>
      <c r="BJ36" s="92">
        <v>0.44082200993931453</v>
      </c>
      <c r="BK36" s="57">
        <v>5.3646633514169316E-3</v>
      </c>
      <c r="BL36" s="101">
        <f t="shared" si="20"/>
        <v>6.689505644230917E-3</v>
      </c>
      <c r="BM36" s="92">
        <v>0.44082200993931453</v>
      </c>
      <c r="BN36" s="57">
        <v>1.5175071782717526E-2</v>
      </c>
      <c r="BO36" s="101">
        <f t="shared" si="21"/>
        <v>7.7063012907422667E-3</v>
      </c>
      <c r="BP36" s="92">
        <v>0.44082200993931453</v>
      </c>
      <c r="BQ36" s="57">
        <v>1.7481661797701865E-2</v>
      </c>
      <c r="BR36" s="101">
        <f t="shared" si="22"/>
        <v>3.1081599247980212E-3</v>
      </c>
      <c r="BS36" s="92">
        <v>0.44082200993931453</v>
      </c>
      <c r="BT36" s="57">
        <v>7.0508274421821728E-3</v>
      </c>
      <c r="BU36" s="101">
        <f t="shared" si="23"/>
        <v>2.6078284385280194E-3</v>
      </c>
      <c r="BV36" s="92">
        <v>0.44082200993931453</v>
      </c>
      <c r="BW36" s="57">
        <v>5.9158308335988587E-3</v>
      </c>
      <c r="BX36" s="101">
        <f t="shared" si="24"/>
        <v>1.2927032494520015E-3</v>
      </c>
      <c r="BY36" s="92">
        <v>0.44082200993931453</v>
      </c>
      <c r="BZ36" s="57">
        <v>2.9324834520625697E-3</v>
      </c>
      <c r="CA36" s="101">
        <f t="shared" si="25"/>
        <v>6.8498136484921506E-4</v>
      </c>
      <c r="CB36" s="92">
        <v>0.44082200993931453</v>
      </c>
      <c r="CC36" s="57">
        <v>1.5538728770451197E-3</v>
      </c>
      <c r="CD36" s="101">
        <f t="shared" si="26"/>
        <v>3.2208154928287172E-3</v>
      </c>
      <c r="CE36" s="92">
        <v>0.44082200993931453</v>
      </c>
      <c r="CF36" s="57">
        <v>7.3063853895863973E-3</v>
      </c>
      <c r="CG36" s="101">
        <f t="shared" si="27"/>
        <v>4.9703695696037909E-3</v>
      </c>
      <c r="CH36" s="92">
        <v>0.44082200993931453</v>
      </c>
      <c r="CI36" s="57">
        <v>1.1275230041912002E-2</v>
      </c>
      <c r="CJ36" s="101">
        <f t="shared" si="28"/>
        <v>4.274878094012593E-3</v>
      </c>
      <c r="CK36" s="92">
        <v>0.44082200993931453</v>
      </c>
      <c r="CL36" s="57">
        <v>9.6975150914109104E-3</v>
      </c>
      <c r="CM36" s="101">
        <f t="shared" si="29"/>
        <v>0</v>
      </c>
      <c r="CN36" s="92">
        <v>0.44082200993931453</v>
      </c>
      <c r="CO36" s="57">
        <v>0</v>
      </c>
    </row>
    <row r="37" spans="1:93" ht="22.5">
      <c r="A37" s="38">
        <v>31</v>
      </c>
      <c r="B37" s="68" t="s">
        <v>64</v>
      </c>
      <c r="C37" s="46" t="s">
        <v>135</v>
      </c>
      <c r="D37" s="101">
        <f t="shared" si="0"/>
        <v>1.5374693665813342E-4</v>
      </c>
      <c r="E37" s="92">
        <v>0.41873904641801107</v>
      </c>
      <c r="F37" s="57">
        <v>3.6716646793108894E-4</v>
      </c>
      <c r="G37" s="101">
        <f t="shared" si="1"/>
        <v>3.0442868378876647E-4</v>
      </c>
      <c r="H37" s="92">
        <v>0.41873904641801107</v>
      </c>
      <c r="I37" s="57">
        <v>7.2701288879773352E-4</v>
      </c>
      <c r="J37" s="101">
        <f t="shared" si="2"/>
        <v>2.8516498827840602E-5</v>
      </c>
      <c r="K37" s="92">
        <v>0.41873904641801107</v>
      </c>
      <c r="L37" s="57">
        <v>6.8100883048230663E-5</v>
      </c>
      <c r="M37" s="101">
        <f t="shared" si="3"/>
        <v>5.2199036728408874E-5</v>
      </c>
      <c r="N37" s="92">
        <v>0.41873904641801107</v>
      </c>
      <c r="O37" s="57">
        <v>1.2465767683938551E-4</v>
      </c>
      <c r="P37" s="101">
        <f t="shared" si="4"/>
        <v>4.6828148575028735E-4</v>
      </c>
      <c r="Q37" s="92">
        <v>0.41873904641801107</v>
      </c>
      <c r="R37" s="57">
        <v>1.1183133977021574E-3</v>
      </c>
      <c r="S37" s="101">
        <f t="shared" si="5"/>
        <v>3.3181558554288242E-4</v>
      </c>
      <c r="T37" s="92">
        <v>0.41873904641801107</v>
      </c>
      <c r="U37" s="57">
        <v>7.9241615603156267E-4</v>
      </c>
      <c r="V37" s="101">
        <f t="shared" si="6"/>
        <v>5.6622256085553175E-5</v>
      </c>
      <c r="W37" s="92">
        <v>0.41873904641801107</v>
      </c>
      <c r="X37" s="57">
        <v>1.3522086504688975E-4</v>
      </c>
      <c r="Y37" s="101">
        <f t="shared" si="7"/>
        <v>5.0348683448799677E-5</v>
      </c>
      <c r="Z37" s="92">
        <v>0.41873904641801107</v>
      </c>
      <c r="AA37" s="57">
        <v>1.2023880715088252E-4</v>
      </c>
      <c r="AB37" s="101">
        <f t="shared" si="8"/>
        <v>1.2025332896838262E-4</v>
      </c>
      <c r="AC37" s="92">
        <v>0.41873904641801107</v>
      </c>
      <c r="AD37" s="57">
        <v>2.8717964086955088E-4</v>
      </c>
      <c r="AE37" s="101">
        <f t="shared" si="9"/>
        <v>1.2286658646299691E-4</v>
      </c>
      <c r="AF37" s="92">
        <v>0.41873904641801107</v>
      </c>
      <c r="AG37" s="57">
        <v>2.9342041902713782E-4</v>
      </c>
      <c r="AH37" s="101">
        <f t="shared" si="10"/>
        <v>5.8493811596430161E-5</v>
      </c>
      <c r="AI37" s="92">
        <v>0.41873904641801107</v>
      </c>
      <c r="AJ37" s="57">
        <v>1.396903682539269E-4</v>
      </c>
      <c r="AK37" s="101">
        <f t="shared" si="11"/>
        <v>1.5852666286438648E-6</v>
      </c>
      <c r="AL37" s="92">
        <v>0.41873904641801107</v>
      </c>
      <c r="AM37" s="57">
        <v>3.7858103804854018E-6</v>
      </c>
      <c r="AN37" s="101">
        <f t="shared" si="12"/>
        <v>1.4554457913763019E-5</v>
      </c>
      <c r="AO37" s="92">
        <v>0.41873904641801107</v>
      </c>
      <c r="AP37" s="57">
        <v>3.4757823609393867E-5</v>
      </c>
      <c r="AQ37" s="101">
        <f t="shared" si="13"/>
        <v>1.3870616550319442E-4</v>
      </c>
      <c r="AR37" s="92">
        <v>0.41873904641801107</v>
      </c>
      <c r="AS37" s="57">
        <v>3.3124726888910522E-4</v>
      </c>
      <c r="AT37" s="101">
        <f t="shared" si="14"/>
        <v>9.976967884672924E-6</v>
      </c>
      <c r="AU37" s="92">
        <v>0.41873904641801107</v>
      </c>
      <c r="AV37" s="57">
        <v>2.3826218190107117E-5</v>
      </c>
      <c r="AW37" s="101">
        <f t="shared" si="15"/>
        <v>2.8206244166353268E-5</v>
      </c>
      <c r="AX37" s="92">
        <v>0.41873904641801107</v>
      </c>
      <c r="AY37" s="57">
        <v>6.7359957012931768E-5</v>
      </c>
      <c r="AZ37" s="101">
        <f t="shared" si="16"/>
        <v>8.6804422184481254E-5</v>
      </c>
      <c r="BA37" s="92">
        <v>0.41873904641801107</v>
      </c>
      <c r="BB37" s="57">
        <v>2.0729956503227009E-4</v>
      </c>
      <c r="BC37" s="101">
        <f t="shared" si="17"/>
        <v>2.567998017096758E-4</v>
      </c>
      <c r="BD37" s="92">
        <v>0.41873904641801107</v>
      </c>
      <c r="BE37" s="57">
        <v>6.1326929959457956E-4</v>
      </c>
      <c r="BF37" s="101">
        <f t="shared" si="18"/>
        <v>2.7334539508585588E-4</v>
      </c>
      <c r="BG37" s="92">
        <v>0.41873904641801107</v>
      </c>
      <c r="BH37" s="57">
        <v>6.5278219794431521E-4</v>
      </c>
      <c r="BI37" s="101">
        <f t="shared" si="19"/>
        <v>1.6425277499430973E-4</v>
      </c>
      <c r="BJ37" s="92">
        <v>0.41873904641801107</v>
      </c>
      <c r="BK37" s="57">
        <v>3.9225569337124225E-4</v>
      </c>
      <c r="BL37" s="101">
        <f t="shared" si="20"/>
        <v>6.8058827385861651E-5</v>
      </c>
      <c r="BM37" s="92">
        <v>0.41873904641801107</v>
      </c>
      <c r="BN37" s="57">
        <v>1.6253279451260234E-4</v>
      </c>
      <c r="BO37" s="101">
        <f t="shared" si="21"/>
        <v>2.118447542143899E-4</v>
      </c>
      <c r="BP37" s="92">
        <v>0.41873904641801107</v>
      </c>
      <c r="BQ37" s="57">
        <v>5.0591115403867412E-4</v>
      </c>
      <c r="BR37" s="101">
        <f t="shared" si="22"/>
        <v>1.8442832960541264E-4</v>
      </c>
      <c r="BS37" s="92">
        <v>0.41873904641801107</v>
      </c>
      <c r="BT37" s="57">
        <v>4.4043738262064281E-4</v>
      </c>
      <c r="BU37" s="101">
        <f t="shared" si="23"/>
        <v>4.0942035040002012E-3</v>
      </c>
      <c r="BV37" s="92">
        <v>0.41873904641801107</v>
      </c>
      <c r="BW37" s="57">
        <v>9.7774581544829604E-3</v>
      </c>
      <c r="BX37" s="101">
        <f t="shared" si="24"/>
        <v>2.8585159553488475E-4</v>
      </c>
      <c r="BY37" s="92">
        <v>0.41873904641801107</v>
      </c>
      <c r="BZ37" s="57">
        <v>6.8264853249326574E-4</v>
      </c>
      <c r="CA37" s="101">
        <f t="shared" si="25"/>
        <v>8.8321938927794557E-4</v>
      </c>
      <c r="CB37" s="92">
        <v>0.41873904641801107</v>
      </c>
      <c r="CC37" s="57">
        <v>2.1092358040961426E-3</v>
      </c>
      <c r="CD37" s="101">
        <f t="shared" si="26"/>
        <v>1.5806017265879502E-4</v>
      </c>
      <c r="CE37" s="92">
        <v>0.41873904641801107</v>
      </c>
      <c r="CF37" s="57">
        <v>3.7746700244669712E-4</v>
      </c>
      <c r="CG37" s="101">
        <f t="shared" si="27"/>
        <v>1.2025684298518696E-3</v>
      </c>
      <c r="CH37" s="92">
        <v>0.41873904641801107</v>
      </c>
      <c r="CI37" s="57">
        <v>2.8718803277098543E-3</v>
      </c>
      <c r="CJ37" s="101">
        <f t="shared" si="28"/>
        <v>5.2630302277384888E-4</v>
      </c>
      <c r="CK37" s="92">
        <v>0.41873904641801107</v>
      </c>
      <c r="CL37" s="57">
        <v>1.2568759165785099E-3</v>
      </c>
      <c r="CM37" s="101">
        <f t="shared" si="29"/>
        <v>0</v>
      </c>
      <c r="CN37" s="92">
        <v>0.41873904641801107</v>
      </c>
      <c r="CO37" s="57">
        <v>0</v>
      </c>
    </row>
    <row r="38" spans="1:93">
      <c r="A38" s="38">
        <v>32</v>
      </c>
      <c r="B38" s="68" t="s">
        <v>96</v>
      </c>
      <c r="C38" s="46" t="s">
        <v>164</v>
      </c>
      <c r="D38" s="101">
        <f t="shared" si="0"/>
        <v>1.1638338591210674E-4</v>
      </c>
      <c r="E38" s="92">
        <v>0.41752699182706426</v>
      </c>
      <c r="F38" s="57">
        <v>2.7874457984817337E-4</v>
      </c>
      <c r="G38" s="101">
        <f t="shared" si="1"/>
        <v>6.4288358174248709E-6</v>
      </c>
      <c r="H38" s="92">
        <v>0.41752699182706426</v>
      </c>
      <c r="I38" s="57">
        <v>1.5397413684065805E-5</v>
      </c>
      <c r="J38" s="101">
        <f t="shared" si="2"/>
        <v>2.1682251897548844E-5</v>
      </c>
      <c r="K38" s="92">
        <v>0.41752699182706426</v>
      </c>
      <c r="L38" s="57">
        <v>5.1930180136783656E-5</v>
      </c>
      <c r="M38" s="101">
        <f t="shared" si="3"/>
        <v>8.9373739721237863E-5</v>
      </c>
      <c r="N38" s="92">
        <v>0.41752699182706426</v>
      </c>
      <c r="O38" s="57">
        <v>2.1405499876821286E-4</v>
      </c>
      <c r="P38" s="101">
        <f t="shared" si="4"/>
        <v>1.1915662927381131E-3</v>
      </c>
      <c r="Q38" s="92">
        <v>0.41752699182706426</v>
      </c>
      <c r="R38" s="57">
        <v>2.8538664950112937E-3</v>
      </c>
      <c r="S38" s="101">
        <f t="shared" si="5"/>
        <v>1.1715415653542809E-3</v>
      </c>
      <c r="T38" s="92">
        <v>0.41752699182706426</v>
      </c>
      <c r="U38" s="57">
        <v>2.805906176814366E-3</v>
      </c>
      <c r="V38" s="101">
        <f t="shared" si="6"/>
        <v>8.9161358040344615E-5</v>
      </c>
      <c r="W38" s="92">
        <v>0.41752699182706426</v>
      </c>
      <c r="X38" s="57">
        <v>2.1354633301713438E-4</v>
      </c>
      <c r="Y38" s="101">
        <f t="shared" si="7"/>
        <v>5.5069360490128278E-5</v>
      </c>
      <c r="Z38" s="92">
        <v>0.41752699182706426</v>
      </c>
      <c r="AA38" s="57">
        <v>1.318941327580984E-4</v>
      </c>
      <c r="AB38" s="101">
        <f t="shared" si="8"/>
        <v>1.4252547403389038E-3</v>
      </c>
      <c r="AC38" s="92">
        <v>0.41752699182706426</v>
      </c>
      <c r="AD38" s="57">
        <v>3.4135631186431917E-3</v>
      </c>
      <c r="AE38" s="101">
        <f t="shared" si="9"/>
        <v>1.1236857880677355E-4</v>
      </c>
      <c r="AF38" s="92">
        <v>0.41752699182706426</v>
      </c>
      <c r="AG38" s="57">
        <v>2.6912889706856498E-4</v>
      </c>
      <c r="AH38" s="101">
        <f t="shared" si="10"/>
        <v>5.4181181101824477E-5</v>
      </c>
      <c r="AI38" s="92">
        <v>0.41752699182706426</v>
      </c>
      <c r="AJ38" s="57">
        <v>1.2976689450598636E-4</v>
      </c>
      <c r="AK38" s="101">
        <f t="shared" si="11"/>
        <v>1.7254034619228896E-6</v>
      </c>
      <c r="AL38" s="92">
        <v>0.41752699182706426</v>
      </c>
      <c r="AM38" s="57">
        <v>4.1324357363644059E-6</v>
      </c>
      <c r="AN38" s="101">
        <f t="shared" si="12"/>
        <v>1.963652293598456E-5</v>
      </c>
      <c r="AO38" s="92">
        <v>0.41752699182706426</v>
      </c>
      <c r="AP38" s="57">
        <v>4.7030547294814952E-5</v>
      </c>
      <c r="AQ38" s="101">
        <f t="shared" si="13"/>
        <v>3.0052463437839892E-4</v>
      </c>
      <c r="AR38" s="92">
        <v>0.41752699182706426</v>
      </c>
      <c r="AS38" s="57">
        <v>7.1977294944053187E-4</v>
      </c>
      <c r="AT38" s="101">
        <f t="shared" si="14"/>
        <v>1.250464204870917E-5</v>
      </c>
      <c r="AU38" s="92">
        <v>0.41752699182706426</v>
      </c>
      <c r="AV38" s="57">
        <v>2.9949302185206925E-5</v>
      </c>
      <c r="AW38" s="101">
        <f t="shared" si="15"/>
        <v>2.9635799968984139E-5</v>
      </c>
      <c r="AX38" s="92">
        <v>0.41752699182706426</v>
      </c>
      <c r="AY38" s="57">
        <v>7.0979363128836963E-5</v>
      </c>
      <c r="AZ38" s="101">
        <f t="shared" si="16"/>
        <v>8.7549706301802768E-5</v>
      </c>
      <c r="BA38" s="92">
        <v>0.41752699182706426</v>
      </c>
      <c r="BB38" s="57">
        <v>2.0968633888480444E-4</v>
      </c>
      <c r="BC38" s="101">
        <f t="shared" si="17"/>
        <v>0.41806567726181998</v>
      </c>
      <c r="BD38" s="92">
        <v>0.41752699182706426</v>
      </c>
      <c r="BE38" s="57">
        <v>1.0012901811027797</v>
      </c>
      <c r="BF38" s="101">
        <f t="shared" si="18"/>
        <v>3.0257150437602344E-4</v>
      </c>
      <c r="BG38" s="92">
        <v>0.41752699182706426</v>
      </c>
      <c r="BH38" s="57">
        <v>7.2467531512632286E-4</v>
      </c>
      <c r="BI38" s="101">
        <f t="shared" si="19"/>
        <v>4.8219334567475055E-4</v>
      </c>
      <c r="BJ38" s="92">
        <v>0.41752699182706426</v>
      </c>
      <c r="BK38" s="57">
        <v>1.1548794571692516E-3</v>
      </c>
      <c r="BL38" s="101">
        <f t="shared" si="20"/>
        <v>1.8374491536809215E-4</v>
      </c>
      <c r="BM38" s="92">
        <v>0.41752699182706426</v>
      </c>
      <c r="BN38" s="57">
        <v>4.4007913012770577E-4</v>
      </c>
      <c r="BO38" s="101">
        <f t="shared" si="21"/>
        <v>2.2866797609319245E-3</v>
      </c>
      <c r="BP38" s="92">
        <v>0.41752699182706426</v>
      </c>
      <c r="BQ38" s="57">
        <v>5.4767231956085027E-3</v>
      </c>
      <c r="BR38" s="101">
        <f t="shared" si="22"/>
        <v>2.1690439113396047E-4</v>
      </c>
      <c r="BS38" s="92">
        <v>0.41752699182706426</v>
      </c>
      <c r="BT38" s="57">
        <v>5.1949788966889167E-4</v>
      </c>
      <c r="BU38" s="101">
        <f t="shared" si="23"/>
        <v>3.4643412756684609E-4</v>
      </c>
      <c r="BV38" s="92">
        <v>0.41752699182706426</v>
      </c>
      <c r="BW38" s="57">
        <v>8.2972869861868911E-4</v>
      </c>
      <c r="BX38" s="101">
        <f t="shared" si="24"/>
        <v>5.4378079638383865E-4</v>
      </c>
      <c r="BY38" s="92">
        <v>0.41752699182706426</v>
      </c>
      <c r="BZ38" s="57">
        <v>1.3023847727886956E-3</v>
      </c>
      <c r="CA38" s="101">
        <f t="shared" si="25"/>
        <v>1.9582693485742378E-4</v>
      </c>
      <c r="CB38" s="92">
        <v>0.41752699182706426</v>
      </c>
      <c r="CC38" s="57">
        <v>4.6901622814970832E-4</v>
      </c>
      <c r="CD38" s="101">
        <f t="shared" si="26"/>
        <v>4.7558116258968302E-4</v>
      </c>
      <c r="CE38" s="92">
        <v>0.41752699182706426</v>
      </c>
      <c r="CF38" s="57">
        <v>1.139042916743127E-3</v>
      </c>
      <c r="CG38" s="101">
        <f t="shared" si="27"/>
        <v>9.4841130125766998E-4</v>
      </c>
      <c r="CH38" s="92">
        <v>0.41752699182706426</v>
      </c>
      <c r="CI38" s="57">
        <v>2.2714969806083649E-3</v>
      </c>
      <c r="CJ38" s="101">
        <f t="shared" si="28"/>
        <v>6.2294640176098286E-4</v>
      </c>
      <c r="CK38" s="92">
        <v>0.41752699182706426</v>
      </c>
      <c r="CL38" s="57">
        <v>1.4919907310303939E-3</v>
      </c>
      <c r="CM38" s="101">
        <f t="shared" si="29"/>
        <v>0</v>
      </c>
      <c r="CN38" s="92">
        <v>0.41752699182706426</v>
      </c>
      <c r="CO38" s="57">
        <v>0</v>
      </c>
    </row>
    <row r="39" spans="1:93" ht="22.5">
      <c r="A39" s="38">
        <v>33</v>
      </c>
      <c r="B39" s="68" t="s">
        <v>95</v>
      </c>
      <c r="C39" s="46" t="s">
        <v>163</v>
      </c>
      <c r="D39" s="101">
        <f t="shared" si="0"/>
        <v>2.4239760685405357E-3</v>
      </c>
      <c r="E39" s="92">
        <v>0.42682929186868729</v>
      </c>
      <c r="F39" s="57">
        <v>5.6790293326125897E-3</v>
      </c>
      <c r="G39" s="101">
        <f t="shared" si="1"/>
        <v>4.5517256536302695E-4</v>
      </c>
      <c r="H39" s="92">
        <v>0.42682929186868729</v>
      </c>
      <c r="I39" s="57">
        <v>1.0664042370903152E-3</v>
      </c>
      <c r="J39" s="101">
        <f t="shared" si="2"/>
        <v>3.1320801694446958E-4</v>
      </c>
      <c r="K39" s="92">
        <v>0.42682929186868729</v>
      </c>
      <c r="L39" s="57">
        <v>7.3380159916678603E-4</v>
      </c>
      <c r="M39" s="101">
        <f t="shared" si="3"/>
        <v>2.186686349980986E-2</v>
      </c>
      <c r="N39" s="92">
        <v>0.42682929186868729</v>
      </c>
      <c r="O39" s="57">
        <v>5.1230934512660233E-2</v>
      </c>
      <c r="P39" s="101">
        <f t="shared" si="4"/>
        <v>5.3944476447810689E-3</v>
      </c>
      <c r="Q39" s="92">
        <v>0.42682929186868729</v>
      </c>
      <c r="R39" s="57">
        <v>1.263841949825846E-2</v>
      </c>
      <c r="S39" s="101">
        <f t="shared" si="5"/>
        <v>3.0066025866759207E-3</v>
      </c>
      <c r="T39" s="92">
        <v>0.42682929186868729</v>
      </c>
      <c r="U39" s="57">
        <v>7.0440399568474149E-3</v>
      </c>
      <c r="V39" s="101">
        <f t="shared" si="6"/>
        <v>2.0608039666608984E-3</v>
      </c>
      <c r="W39" s="92">
        <v>0.42682929186868729</v>
      </c>
      <c r="X39" s="57">
        <v>4.8281690266348881E-3</v>
      </c>
      <c r="Y39" s="101">
        <f t="shared" si="7"/>
        <v>1.079776140191785E-3</v>
      </c>
      <c r="Z39" s="92">
        <v>0.42682929186868729</v>
      </c>
      <c r="AA39" s="57">
        <v>2.5297611030031526E-3</v>
      </c>
      <c r="AB39" s="101">
        <f t="shared" si="8"/>
        <v>9.7723040311917895E-3</v>
      </c>
      <c r="AC39" s="92">
        <v>0.42682929186868729</v>
      </c>
      <c r="AD39" s="57">
        <v>2.2895111037033063E-2</v>
      </c>
      <c r="AE39" s="101">
        <f t="shared" si="9"/>
        <v>4.0492549714903295E-3</v>
      </c>
      <c r="AF39" s="92">
        <v>0.42682929186868729</v>
      </c>
      <c r="AG39" s="57">
        <v>9.4868254091991198E-3</v>
      </c>
      <c r="AH39" s="101">
        <f t="shared" si="10"/>
        <v>6.9192069184188126E-4</v>
      </c>
      <c r="AI39" s="92">
        <v>0.42682929186868729</v>
      </c>
      <c r="AJ39" s="57">
        <v>1.6210712456321964E-3</v>
      </c>
      <c r="AK39" s="101">
        <f t="shared" si="11"/>
        <v>5.3223989296192326E-4</v>
      </c>
      <c r="AL39" s="92">
        <v>0.42682929186868729</v>
      </c>
      <c r="AM39" s="57">
        <v>1.2469619660631568E-3</v>
      </c>
      <c r="AN39" s="101">
        <f t="shared" si="12"/>
        <v>1.0981375860467861E-3</v>
      </c>
      <c r="AO39" s="92">
        <v>0.42682929186868729</v>
      </c>
      <c r="AP39" s="57">
        <v>2.572779345201605E-3</v>
      </c>
      <c r="AQ39" s="101">
        <f t="shared" si="13"/>
        <v>3.5732405479127509E-3</v>
      </c>
      <c r="AR39" s="92">
        <v>0.42682929186868729</v>
      </c>
      <c r="AS39" s="57">
        <v>8.3715916784175334E-3</v>
      </c>
      <c r="AT39" s="101">
        <f t="shared" si="14"/>
        <v>9.0748866961857128E-5</v>
      </c>
      <c r="AU39" s="92">
        <v>0.42682929186868729</v>
      </c>
      <c r="AV39" s="57">
        <v>2.1261161942413205E-4</v>
      </c>
      <c r="AW39" s="101">
        <f t="shared" si="15"/>
        <v>2.4103955869391461E-4</v>
      </c>
      <c r="AX39" s="92">
        <v>0.42682929186868729</v>
      </c>
      <c r="AY39" s="57">
        <v>5.6472122060467604E-4</v>
      </c>
      <c r="AZ39" s="101">
        <f t="shared" si="16"/>
        <v>4.3815240923439309E-4</v>
      </c>
      <c r="BA39" s="92">
        <v>0.42682929186868729</v>
      </c>
      <c r="BB39" s="57">
        <v>1.0265284449343494E-3</v>
      </c>
      <c r="BC39" s="101">
        <f t="shared" si="17"/>
        <v>1.0716458846063079E-4</v>
      </c>
      <c r="BD39" s="92">
        <v>0.42682929186868729</v>
      </c>
      <c r="BE39" s="57">
        <v>2.5107130766835852E-4</v>
      </c>
      <c r="BF39" s="101">
        <f t="shared" si="18"/>
        <v>9.4208765602760917E-4</v>
      </c>
      <c r="BG39" s="92">
        <v>0.42682929186868729</v>
      </c>
      <c r="BH39" s="57">
        <v>2.2071766722079598E-3</v>
      </c>
      <c r="BI39" s="101">
        <f t="shared" si="19"/>
        <v>8.192519107128027E-4</v>
      </c>
      <c r="BJ39" s="92">
        <v>0.42682929186868729</v>
      </c>
      <c r="BK39" s="57">
        <v>1.9193900847949373E-3</v>
      </c>
      <c r="BL39" s="101">
        <f t="shared" si="20"/>
        <v>4.5856149769033109E-3</v>
      </c>
      <c r="BM39" s="92">
        <v>0.42682929186868729</v>
      </c>
      <c r="BN39" s="57">
        <v>1.0743440209614435E-2</v>
      </c>
      <c r="BO39" s="101">
        <f t="shared" si="21"/>
        <v>4.5142831655613945E-3</v>
      </c>
      <c r="BP39" s="92">
        <v>0.42682929186868729</v>
      </c>
      <c r="BQ39" s="57">
        <v>1.057631997513001E-2</v>
      </c>
      <c r="BR39" s="101">
        <f t="shared" si="22"/>
        <v>2.7214920725001758E-3</v>
      </c>
      <c r="BS39" s="92">
        <v>0.42682929186868729</v>
      </c>
      <c r="BT39" s="57">
        <v>6.3760667891027368E-3</v>
      </c>
      <c r="BU39" s="101">
        <f t="shared" si="23"/>
        <v>1.7048597066141472E-3</v>
      </c>
      <c r="BV39" s="92">
        <v>0.42682929186868729</v>
      </c>
      <c r="BW39" s="57">
        <v>3.9942425205874623E-3</v>
      </c>
      <c r="BX39" s="101">
        <f t="shared" si="24"/>
        <v>1.6372316771649706E-3</v>
      </c>
      <c r="BY39" s="92">
        <v>0.42682929186868729</v>
      </c>
      <c r="BZ39" s="57">
        <v>3.8357997174867276E-3</v>
      </c>
      <c r="CA39" s="101">
        <f t="shared" si="25"/>
        <v>4.6103740710946091E-4</v>
      </c>
      <c r="CB39" s="92">
        <v>0.42682929186868729</v>
      </c>
      <c r="CC39" s="57">
        <v>1.0801447227087161E-3</v>
      </c>
      <c r="CD39" s="101">
        <f t="shared" si="26"/>
        <v>2.467660961452872E-4</v>
      </c>
      <c r="CE39" s="92">
        <v>0.42682929186868729</v>
      </c>
      <c r="CF39" s="57">
        <v>5.7813767903540229E-4</v>
      </c>
      <c r="CG39" s="101">
        <f t="shared" si="27"/>
        <v>2.8370782663511823E-3</v>
      </c>
      <c r="CH39" s="92">
        <v>0.42682929186868729</v>
      </c>
      <c r="CI39" s="57">
        <v>6.6468687140244362E-3</v>
      </c>
      <c r="CJ39" s="101">
        <f t="shared" si="28"/>
        <v>1.2682204909515505E-3</v>
      </c>
      <c r="CK39" s="92">
        <v>0.42682929186868729</v>
      </c>
      <c r="CL39" s="57">
        <v>2.9712592718255022E-3</v>
      </c>
      <c r="CM39" s="101">
        <f t="shared" si="29"/>
        <v>0</v>
      </c>
      <c r="CN39" s="92">
        <v>0.42682929186868729</v>
      </c>
      <c r="CO39" s="57">
        <v>0</v>
      </c>
    </row>
    <row r="40" spans="1:93">
      <c r="A40" s="38">
        <v>34</v>
      </c>
      <c r="B40" s="68" t="s">
        <v>63</v>
      </c>
      <c r="C40" s="46" t="s">
        <v>62</v>
      </c>
      <c r="D40" s="101">
        <f t="shared" si="0"/>
        <v>4.3001075766220005E-4</v>
      </c>
      <c r="E40" s="92">
        <v>0.48543721095330916</v>
      </c>
      <c r="F40" s="57">
        <v>8.85821580957377E-4</v>
      </c>
      <c r="G40" s="101">
        <f t="shared" si="1"/>
        <v>1.2834599433478606E-5</v>
      </c>
      <c r="H40" s="92">
        <v>0.48543721095330916</v>
      </c>
      <c r="I40" s="57">
        <v>2.6439257526784605E-5</v>
      </c>
      <c r="J40" s="101">
        <f t="shared" si="2"/>
        <v>4.380575102190669E-5</v>
      </c>
      <c r="K40" s="92">
        <v>0.48543721095330916</v>
      </c>
      <c r="L40" s="57">
        <v>9.0239788037427686E-5</v>
      </c>
      <c r="M40" s="101">
        <f t="shared" si="3"/>
        <v>5.0047461114422322E-4</v>
      </c>
      <c r="N40" s="92">
        <v>0.48543721095330916</v>
      </c>
      <c r="O40" s="57">
        <v>1.0309770241168439E-3</v>
      </c>
      <c r="P40" s="101">
        <f t="shared" si="4"/>
        <v>2.7410511131400285E-4</v>
      </c>
      <c r="Q40" s="92">
        <v>0.48543721095330916</v>
      </c>
      <c r="R40" s="57">
        <v>5.6465615970335478E-4</v>
      </c>
      <c r="S40" s="101">
        <f t="shared" si="5"/>
        <v>1.0829253847060988E-4</v>
      </c>
      <c r="T40" s="92">
        <v>0.48543721095330916</v>
      </c>
      <c r="U40" s="57">
        <v>2.2308248322773467E-4</v>
      </c>
      <c r="V40" s="101">
        <f t="shared" si="6"/>
        <v>3.9412311508464886E-4</v>
      </c>
      <c r="W40" s="92">
        <v>0.48543721095330916</v>
      </c>
      <c r="X40" s="57">
        <v>8.1189308563853961E-4</v>
      </c>
      <c r="Y40" s="101">
        <f t="shared" si="7"/>
        <v>1.0800418757519854E-4</v>
      </c>
      <c r="Z40" s="92">
        <v>0.48543721095330916</v>
      </c>
      <c r="AA40" s="57">
        <v>2.2248848077199981E-4</v>
      </c>
      <c r="AB40" s="101">
        <f t="shared" si="8"/>
        <v>2.6353144384942993E-4</v>
      </c>
      <c r="AC40" s="92">
        <v>0.48543721095330916</v>
      </c>
      <c r="AD40" s="57">
        <v>5.428744189838739E-4</v>
      </c>
      <c r="AE40" s="101">
        <f t="shared" si="9"/>
        <v>2.5362705089311267E-4</v>
      </c>
      <c r="AF40" s="92">
        <v>0.48543721095330916</v>
      </c>
      <c r="AG40" s="57">
        <v>5.2247138284894953E-4</v>
      </c>
      <c r="AH40" s="101">
        <f t="shared" si="10"/>
        <v>1.279057584021343E-4</v>
      </c>
      <c r="AI40" s="92">
        <v>0.48543721095330916</v>
      </c>
      <c r="AJ40" s="57">
        <v>2.6348568984019781E-4</v>
      </c>
      <c r="AK40" s="101">
        <f t="shared" si="11"/>
        <v>1.7098495949029727E-6</v>
      </c>
      <c r="AL40" s="92">
        <v>0.48543721095330916</v>
      </c>
      <c r="AM40" s="57">
        <v>3.522287859937938E-6</v>
      </c>
      <c r="AN40" s="101">
        <f t="shared" si="12"/>
        <v>1.9561766962888592E-5</v>
      </c>
      <c r="AO40" s="92">
        <v>0.48543721095330916</v>
      </c>
      <c r="AP40" s="57">
        <v>4.0297213566452579E-5</v>
      </c>
      <c r="AQ40" s="101">
        <f t="shared" si="13"/>
        <v>1.556494937489335E-4</v>
      </c>
      <c r="AR40" s="92">
        <v>0.48543721095330916</v>
      </c>
      <c r="AS40" s="57">
        <v>3.2063774724493533E-4</v>
      </c>
      <c r="AT40" s="101">
        <f t="shared" si="14"/>
        <v>1.5505385314769733E-5</v>
      </c>
      <c r="AU40" s="92">
        <v>0.48543721095330916</v>
      </c>
      <c r="AV40" s="57">
        <v>3.1941072840955094E-5</v>
      </c>
      <c r="AW40" s="101">
        <f t="shared" si="15"/>
        <v>4.0244552388427503E-5</v>
      </c>
      <c r="AX40" s="92">
        <v>0.48543721095330916</v>
      </c>
      <c r="AY40" s="57">
        <v>8.2903723654382866E-5</v>
      </c>
      <c r="AZ40" s="101">
        <f t="shared" si="16"/>
        <v>9.9966095109552163E-5</v>
      </c>
      <c r="BA40" s="92">
        <v>0.48543721095330916</v>
      </c>
      <c r="BB40" s="57">
        <v>2.0593002113133681E-4</v>
      </c>
      <c r="BC40" s="101">
        <f t="shared" si="17"/>
        <v>2.3951432794005845E-5</v>
      </c>
      <c r="BD40" s="92">
        <v>0.48543721095330916</v>
      </c>
      <c r="BE40" s="57">
        <v>4.9339919259526169E-5</v>
      </c>
      <c r="BF40" s="101">
        <f t="shared" si="18"/>
        <v>4.7013358355772766E-4</v>
      </c>
      <c r="BG40" s="92">
        <v>0.48543721095330916</v>
      </c>
      <c r="BH40" s="57">
        <v>9.6847454820052218E-4</v>
      </c>
      <c r="BI40" s="101">
        <f t="shared" si="19"/>
        <v>2.4813119241950806E-3</v>
      </c>
      <c r="BJ40" s="92">
        <v>0.48543721095330916</v>
      </c>
      <c r="BK40" s="57">
        <v>5.1114992180394279E-3</v>
      </c>
      <c r="BL40" s="101">
        <f t="shared" si="20"/>
        <v>2.2281669685408689E-4</v>
      </c>
      <c r="BM40" s="92">
        <v>0.48543721095330916</v>
      </c>
      <c r="BN40" s="57">
        <v>4.5900209507325566E-4</v>
      </c>
      <c r="BO40" s="101">
        <f t="shared" si="21"/>
        <v>6.1003517312977165E-2</v>
      </c>
      <c r="BP40" s="92">
        <v>0.48543721095330916</v>
      </c>
      <c r="BQ40" s="57">
        <v>0.12566716340755482</v>
      </c>
      <c r="BR40" s="101">
        <f t="shared" si="22"/>
        <v>1.5360306391629175E-3</v>
      </c>
      <c r="BS40" s="92">
        <v>0.48543721095330916</v>
      </c>
      <c r="BT40" s="57">
        <v>3.1642210454910051E-3</v>
      </c>
      <c r="BU40" s="101">
        <f t="shared" si="23"/>
        <v>8.7099625430460664E-4</v>
      </c>
      <c r="BV40" s="92">
        <v>0.48543721095330916</v>
      </c>
      <c r="BW40" s="57">
        <v>1.7942511094156352E-3</v>
      </c>
      <c r="BX40" s="101">
        <f t="shared" si="24"/>
        <v>5.8334235968119817E-4</v>
      </c>
      <c r="BY40" s="92">
        <v>0.48543721095330916</v>
      </c>
      <c r="BZ40" s="57">
        <v>1.201684474364092E-3</v>
      </c>
      <c r="CA40" s="101">
        <f t="shared" si="25"/>
        <v>1.0322470226299938E-4</v>
      </c>
      <c r="CB40" s="92">
        <v>0.48543721095330916</v>
      </c>
      <c r="CC40" s="57">
        <v>2.1264274747353031E-4</v>
      </c>
      <c r="CD40" s="101">
        <f t="shared" si="26"/>
        <v>1.1532102219014506E-4</v>
      </c>
      <c r="CE40" s="92">
        <v>0.48543721095330916</v>
      </c>
      <c r="CF40" s="57">
        <v>2.3756115021276558E-4</v>
      </c>
      <c r="CG40" s="101">
        <f t="shared" si="27"/>
        <v>6.8761554096444548E-4</v>
      </c>
      <c r="CH40" s="92">
        <v>0.48543721095330916</v>
      </c>
      <c r="CI40" s="57">
        <v>1.4164870872055634E-3</v>
      </c>
      <c r="CJ40" s="101">
        <f t="shared" si="28"/>
        <v>1.2142845408341218E-3</v>
      </c>
      <c r="CK40" s="92">
        <v>0.48543721095330916</v>
      </c>
      <c r="CL40" s="57">
        <v>2.5014245167763113E-3</v>
      </c>
      <c r="CM40" s="101">
        <f t="shared" si="29"/>
        <v>0</v>
      </c>
      <c r="CN40" s="92">
        <v>0.48543721095330916</v>
      </c>
      <c r="CO40" s="57">
        <v>0</v>
      </c>
    </row>
    <row r="41" spans="1:93">
      <c r="A41" s="38">
        <v>35</v>
      </c>
      <c r="B41" s="68" t="s">
        <v>61</v>
      </c>
      <c r="C41" s="46" t="s">
        <v>60</v>
      </c>
      <c r="D41" s="101">
        <f t="shared" si="0"/>
        <v>1.0752812059009586E-4</v>
      </c>
      <c r="E41" s="92">
        <v>0.47592497119118177</v>
      </c>
      <c r="F41" s="57">
        <v>2.2593502568475483E-4</v>
      </c>
      <c r="G41" s="101">
        <f t="shared" si="1"/>
        <v>6.6007113695258103E-6</v>
      </c>
      <c r="H41" s="92">
        <v>0.47592497119118177</v>
      </c>
      <c r="I41" s="57">
        <v>1.3869226809017901E-5</v>
      </c>
      <c r="J41" s="101">
        <f t="shared" si="2"/>
        <v>2.060598919174201E-5</v>
      </c>
      <c r="K41" s="92">
        <v>0.47592497119118177</v>
      </c>
      <c r="L41" s="57">
        <v>4.3296717842242551E-5</v>
      </c>
      <c r="M41" s="101">
        <f t="shared" si="3"/>
        <v>2.6883681142931642E-4</v>
      </c>
      <c r="N41" s="92">
        <v>0.47592497119118177</v>
      </c>
      <c r="O41" s="57">
        <v>5.6487225445735884E-4</v>
      </c>
      <c r="P41" s="101">
        <f t="shared" si="4"/>
        <v>2.8091496079296797E-4</v>
      </c>
      <c r="Q41" s="92">
        <v>0.47592497119118177</v>
      </c>
      <c r="R41" s="57">
        <v>5.9025051803832085E-4</v>
      </c>
      <c r="S41" s="101">
        <f t="shared" si="5"/>
        <v>1.0072028070929431E-4</v>
      </c>
      <c r="T41" s="92">
        <v>0.47592497119118177</v>
      </c>
      <c r="U41" s="57">
        <v>2.1163058634474213E-4</v>
      </c>
      <c r="V41" s="101">
        <f t="shared" si="6"/>
        <v>2.8755668461522644E-4</v>
      </c>
      <c r="W41" s="92">
        <v>0.47592497119118177</v>
      </c>
      <c r="X41" s="57">
        <v>6.042059190454062E-4</v>
      </c>
      <c r="Y41" s="101">
        <f t="shared" si="7"/>
        <v>1.1273973371628751E-4</v>
      </c>
      <c r="Z41" s="92">
        <v>0.47592497119118177</v>
      </c>
      <c r="AA41" s="57">
        <v>2.3688551881216445E-4</v>
      </c>
      <c r="AB41" s="101">
        <f t="shared" si="8"/>
        <v>1.5108531543571465E-4</v>
      </c>
      <c r="AC41" s="92">
        <v>0.47592497119118177</v>
      </c>
      <c r="AD41" s="57">
        <v>3.1745616343174148E-4</v>
      </c>
      <c r="AE41" s="101">
        <f t="shared" si="9"/>
        <v>9.7911010240848186E-5</v>
      </c>
      <c r="AF41" s="92">
        <v>0.47592497119118177</v>
      </c>
      <c r="AG41" s="57">
        <v>2.0572782721568265E-4</v>
      </c>
      <c r="AH41" s="101">
        <f t="shared" si="10"/>
        <v>6.4415351873034886E-5</v>
      </c>
      <c r="AI41" s="92">
        <v>0.47592497119118177</v>
      </c>
      <c r="AJ41" s="57">
        <v>1.3534770346639128E-4</v>
      </c>
      <c r="AK41" s="101">
        <f t="shared" si="11"/>
        <v>2.2097655044222013E-6</v>
      </c>
      <c r="AL41" s="92">
        <v>0.47592497119118177</v>
      </c>
      <c r="AM41" s="57">
        <v>4.6430963664113474E-6</v>
      </c>
      <c r="AN41" s="101">
        <f t="shared" si="12"/>
        <v>2.1433025329386625E-5</v>
      </c>
      <c r="AO41" s="92">
        <v>0.47592497119118177</v>
      </c>
      <c r="AP41" s="57">
        <v>4.5034462629145926E-5</v>
      </c>
      <c r="AQ41" s="101">
        <f t="shared" si="13"/>
        <v>2.510262747050352E-4</v>
      </c>
      <c r="AR41" s="92">
        <v>0.47592497119118177</v>
      </c>
      <c r="AS41" s="57">
        <v>5.2744926175390049E-4</v>
      </c>
      <c r="AT41" s="101">
        <f t="shared" si="14"/>
        <v>2.4639511649683107E-5</v>
      </c>
      <c r="AU41" s="92">
        <v>0.47592497119118177</v>
      </c>
      <c r="AV41" s="57">
        <v>5.1771840397475747E-5</v>
      </c>
      <c r="AW41" s="101">
        <f t="shared" si="15"/>
        <v>5.2725194828348632E-5</v>
      </c>
      <c r="AX41" s="92">
        <v>0.47592497119118177</v>
      </c>
      <c r="AY41" s="57">
        <v>1.1078467829999326E-4</v>
      </c>
      <c r="AZ41" s="101">
        <f t="shared" si="16"/>
        <v>1.395999187955153E-4</v>
      </c>
      <c r="BA41" s="92">
        <v>0.47592497119118177</v>
      </c>
      <c r="BB41" s="57">
        <v>2.9332337499777297E-4</v>
      </c>
      <c r="BC41" s="101">
        <f t="shared" si="17"/>
        <v>3.2487499222599907E-5</v>
      </c>
      <c r="BD41" s="92">
        <v>0.47592497119118177</v>
      </c>
      <c r="BE41" s="57">
        <v>6.8261808455411966E-5</v>
      </c>
      <c r="BF41" s="101">
        <f t="shared" si="18"/>
        <v>0.481464176400004</v>
      </c>
      <c r="BG41" s="92">
        <v>0.47592497119118177</v>
      </c>
      <c r="BH41" s="57">
        <v>1.0116388202849669</v>
      </c>
      <c r="BI41" s="101">
        <f t="shared" si="19"/>
        <v>3.2918162316798841E-4</v>
      </c>
      <c r="BJ41" s="92">
        <v>0.47592497119118177</v>
      </c>
      <c r="BK41" s="57">
        <v>6.9166705488070358E-4</v>
      </c>
      <c r="BL41" s="101">
        <f t="shared" si="20"/>
        <v>1.1323811820670545E-4</v>
      </c>
      <c r="BM41" s="92">
        <v>0.47592497119118177</v>
      </c>
      <c r="BN41" s="57">
        <v>2.3793271011454673E-4</v>
      </c>
      <c r="BO41" s="101">
        <f t="shared" si="21"/>
        <v>1.0628365056267022E-4</v>
      </c>
      <c r="BP41" s="92">
        <v>0.47592497119118177</v>
      </c>
      <c r="BQ41" s="57">
        <v>2.2332018069288377E-4</v>
      </c>
      <c r="BR41" s="101">
        <f t="shared" si="22"/>
        <v>3.8431679908908509E-3</v>
      </c>
      <c r="BS41" s="92">
        <v>0.47592497119118177</v>
      </c>
      <c r="BT41" s="57">
        <v>8.075155168412099E-3</v>
      </c>
      <c r="BU41" s="101">
        <f t="shared" si="23"/>
        <v>8.2122927551479233E-4</v>
      </c>
      <c r="BV41" s="92">
        <v>0.47592497119118177</v>
      </c>
      <c r="BW41" s="57">
        <v>1.7255435735161286E-3</v>
      </c>
      <c r="BX41" s="101">
        <f t="shared" si="24"/>
        <v>8.2413749691351409E-5</v>
      </c>
      <c r="BY41" s="92">
        <v>0.47592497119118177</v>
      </c>
      <c r="BZ41" s="57">
        <v>1.7316542455227745E-4</v>
      </c>
      <c r="CA41" s="101">
        <f t="shared" si="25"/>
        <v>7.918447703898246E-5</v>
      </c>
      <c r="CB41" s="92">
        <v>0.47592497119118177</v>
      </c>
      <c r="CC41" s="57">
        <v>1.6638016879171822E-4</v>
      </c>
      <c r="CD41" s="101">
        <f t="shared" si="26"/>
        <v>1.2907974172510084E-4</v>
      </c>
      <c r="CE41" s="92">
        <v>0.47592497119118177</v>
      </c>
      <c r="CF41" s="57">
        <v>2.7121867844427265E-4</v>
      </c>
      <c r="CG41" s="101">
        <f t="shared" si="27"/>
        <v>3.7282782092968079E-4</v>
      </c>
      <c r="CH41" s="92">
        <v>0.47592497119118177</v>
      </c>
      <c r="CI41" s="57">
        <v>7.8337520302105299E-4</v>
      </c>
      <c r="CJ41" s="101">
        <f t="shared" si="28"/>
        <v>1.0140648489509139E-4</v>
      </c>
      <c r="CK41" s="92">
        <v>0.47592497119118177</v>
      </c>
      <c r="CL41" s="57">
        <v>2.1307241904387452E-4</v>
      </c>
      <c r="CM41" s="101">
        <f t="shared" si="29"/>
        <v>0</v>
      </c>
      <c r="CN41" s="92">
        <v>0.47592497119118177</v>
      </c>
      <c r="CO41" s="57">
        <v>0</v>
      </c>
    </row>
    <row r="42" spans="1:93">
      <c r="A42" s="38">
        <v>36</v>
      </c>
      <c r="B42" s="68" t="s">
        <v>59</v>
      </c>
      <c r="C42" s="46" t="s">
        <v>58</v>
      </c>
      <c r="D42" s="101">
        <f t="shared" si="0"/>
        <v>5.5704629775950219E-7</v>
      </c>
      <c r="E42" s="92">
        <v>0.47406238186488975</v>
      </c>
      <c r="F42" s="57">
        <v>1.1750485148561383E-6</v>
      </c>
      <c r="G42" s="101">
        <f t="shared" si="1"/>
        <v>3.3550941838980178E-7</v>
      </c>
      <c r="H42" s="92">
        <v>0.47406238186488975</v>
      </c>
      <c r="I42" s="57">
        <v>7.0773263440553632E-7</v>
      </c>
      <c r="J42" s="101">
        <f t="shared" si="2"/>
        <v>2.7496934562219428E-7</v>
      </c>
      <c r="K42" s="92">
        <v>0.47406238186488975</v>
      </c>
      <c r="L42" s="57">
        <v>5.8002776879385886E-7</v>
      </c>
      <c r="M42" s="101">
        <f t="shared" si="3"/>
        <v>5.7737382225782368E-7</v>
      </c>
      <c r="N42" s="92">
        <v>0.47406238186488975</v>
      </c>
      <c r="O42" s="57">
        <v>1.2179279443910363E-6</v>
      </c>
      <c r="P42" s="101">
        <f t="shared" si="4"/>
        <v>5.9031781725459516E-7</v>
      </c>
      <c r="Q42" s="92">
        <v>0.47406238186488975</v>
      </c>
      <c r="R42" s="57">
        <v>1.2452323572530142E-6</v>
      </c>
      <c r="S42" s="101">
        <f t="shared" si="5"/>
        <v>6.9186646743784457E-7</v>
      </c>
      <c r="T42" s="92">
        <v>0.47406238186488975</v>
      </c>
      <c r="U42" s="57">
        <v>1.4594418243357478E-6</v>
      </c>
      <c r="V42" s="101">
        <f t="shared" si="6"/>
        <v>2.1099298841684323E-7</v>
      </c>
      <c r="W42" s="92">
        <v>0.47406238186488975</v>
      </c>
      <c r="X42" s="57">
        <v>4.4507431192247041E-7</v>
      </c>
      <c r="Y42" s="101">
        <f t="shared" si="7"/>
        <v>2.1450898676972688E-7</v>
      </c>
      <c r="Z42" s="92">
        <v>0.47406238186488975</v>
      </c>
      <c r="AA42" s="57">
        <v>4.5249105386907301E-7</v>
      </c>
      <c r="AB42" s="101">
        <f t="shared" si="8"/>
        <v>1.3762151266259147E-6</v>
      </c>
      <c r="AC42" s="92">
        <v>0.47406238186488975</v>
      </c>
      <c r="AD42" s="57">
        <v>2.9030253807781422E-6</v>
      </c>
      <c r="AE42" s="101">
        <f t="shared" si="9"/>
        <v>3.6108284098119797E-7</v>
      </c>
      <c r="AF42" s="92">
        <v>0.47406238186488975</v>
      </c>
      <c r="AG42" s="57">
        <v>7.6167790315011429E-7</v>
      </c>
      <c r="AH42" s="101">
        <f t="shared" si="10"/>
        <v>2.5541873197309209E-7</v>
      </c>
      <c r="AI42" s="92">
        <v>0.47406238186488975</v>
      </c>
      <c r="AJ42" s="57">
        <v>5.3878717600057905E-7</v>
      </c>
      <c r="AK42" s="101">
        <f t="shared" si="11"/>
        <v>6.776049509563958E-9</v>
      </c>
      <c r="AL42" s="92">
        <v>0.47406238186488975</v>
      </c>
      <c r="AM42" s="57">
        <v>1.4293581960475336E-8</v>
      </c>
      <c r="AN42" s="101">
        <f t="shared" si="12"/>
        <v>6.3492465165837791E-8</v>
      </c>
      <c r="AO42" s="92">
        <v>0.47406238186488975</v>
      </c>
      <c r="AP42" s="57">
        <v>1.3393272192589514E-7</v>
      </c>
      <c r="AQ42" s="101">
        <f t="shared" si="13"/>
        <v>3.267970818886267E-7</v>
      </c>
      <c r="AR42" s="92">
        <v>0.47406238186488975</v>
      </c>
      <c r="AS42" s="57">
        <v>6.8935459633615388E-7</v>
      </c>
      <c r="AT42" s="101">
        <f t="shared" si="14"/>
        <v>4.0127392529577358E-8</v>
      </c>
      <c r="AU42" s="92">
        <v>0.47406238186488975</v>
      </c>
      <c r="AV42" s="57">
        <v>8.4645806258075706E-8</v>
      </c>
      <c r="AW42" s="101">
        <f t="shared" si="15"/>
        <v>1.2310849689209591E-7</v>
      </c>
      <c r="AX42" s="92">
        <v>0.47406238186488975</v>
      </c>
      <c r="AY42" s="57">
        <v>2.5968839039243254E-7</v>
      </c>
      <c r="AZ42" s="101">
        <f t="shared" si="16"/>
        <v>3.559898926445272E-7</v>
      </c>
      <c r="BA42" s="92">
        <v>0.47406238186488975</v>
      </c>
      <c r="BB42" s="57">
        <v>7.5093470029011118E-7</v>
      </c>
      <c r="BC42" s="101">
        <f t="shared" si="17"/>
        <v>8.6779523449431199E-8</v>
      </c>
      <c r="BD42" s="92">
        <v>0.47406238186488975</v>
      </c>
      <c r="BE42" s="57">
        <v>1.8305507200983481E-7</v>
      </c>
      <c r="BF42" s="101">
        <f t="shared" si="18"/>
        <v>9.1742246792005698E-8</v>
      </c>
      <c r="BG42" s="92">
        <v>0.47406238186488975</v>
      </c>
      <c r="BH42" s="57">
        <v>1.9352357474791728E-7</v>
      </c>
      <c r="BI42" s="101">
        <f t="shared" si="19"/>
        <v>3.5342810247679628E-7</v>
      </c>
      <c r="BJ42" s="92">
        <v>0.47406238186488975</v>
      </c>
      <c r="BK42" s="57">
        <v>7.455307908770647E-7</v>
      </c>
      <c r="BL42" s="101">
        <f t="shared" si="20"/>
        <v>9.5088734547885622E-7</v>
      </c>
      <c r="BM42" s="92">
        <v>0.47406238186488975</v>
      </c>
      <c r="BN42" s="57">
        <v>2.0058274646011969E-6</v>
      </c>
      <c r="BO42" s="101">
        <f t="shared" si="21"/>
        <v>3.2249662199121411E-7</v>
      </c>
      <c r="BP42" s="92">
        <v>0.47406238186488975</v>
      </c>
      <c r="BQ42" s="57">
        <v>6.8028309000718669E-7</v>
      </c>
      <c r="BR42" s="101">
        <f t="shared" si="22"/>
        <v>7.3781366493219318E-7</v>
      </c>
      <c r="BS42" s="92">
        <v>0.47406238186488975</v>
      </c>
      <c r="BT42" s="57">
        <v>1.5563640844686849E-6</v>
      </c>
      <c r="BU42" s="101">
        <f t="shared" si="23"/>
        <v>3.113518458987394E-7</v>
      </c>
      <c r="BV42" s="92">
        <v>0.47406238186488975</v>
      </c>
      <c r="BW42" s="57">
        <v>6.5677399812642445E-7</v>
      </c>
      <c r="BX42" s="101">
        <f t="shared" si="24"/>
        <v>1.8676386806884543E-4</v>
      </c>
      <c r="BY42" s="92">
        <v>0.47406238186488975</v>
      </c>
      <c r="BZ42" s="57">
        <v>3.939647506603342E-4</v>
      </c>
      <c r="CA42" s="101">
        <f t="shared" si="25"/>
        <v>2.0366680702691967E-6</v>
      </c>
      <c r="CB42" s="92">
        <v>0.47406238186488975</v>
      </c>
      <c r="CC42" s="57">
        <v>4.2962026690606678E-6</v>
      </c>
      <c r="CD42" s="101">
        <f t="shared" si="26"/>
        <v>2.8233461979648873E-6</v>
      </c>
      <c r="CE42" s="92">
        <v>0.47406238186488975</v>
      </c>
      <c r="CF42" s="57">
        <v>5.9556427718611001E-6</v>
      </c>
      <c r="CG42" s="101">
        <f t="shared" si="27"/>
        <v>1.8417110395600842E-4</v>
      </c>
      <c r="CH42" s="92">
        <v>0.47406238186488975</v>
      </c>
      <c r="CI42" s="57">
        <v>3.8849550397039969E-4</v>
      </c>
      <c r="CJ42" s="101">
        <f t="shared" si="28"/>
        <v>1.1118988249654448E-3</v>
      </c>
      <c r="CK42" s="92">
        <v>0.47406238186488975</v>
      </c>
      <c r="CL42" s="57">
        <v>2.345469430819216E-3</v>
      </c>
      <c r="CM42" s="101">
        <f t="shared" si="29"/>
        <v>0</v>
      </c>
      <c r="CN42" s="92">
        <v>0.47406238186488975</v>
      </c>
      <c r="CO42" s="57">
        <v>0</v>
      </c>
    </row>
    <row r="43" spans="1:93">
      <c r="A43" s="38">
        <v>37</v>
      </c>
      <c r="B43" s="68" t="s">
        <v>57</v>
      </c>
      <c r="C43" s="46" t="s">
        <v>56</v>
      </c>
      <c r="D43" s="101">
        <f t="shared" si="0"/>
        <v>3.9570437337267423E-5</v>
      </c>
      <c r="E43" s="92">
        <v>0.44469681762671404</v>
      </c>
      <c r="F43" s="57">
        <v>8.8982955957385581E-5</v>
      </c>
      <c r="G43" s="101">
        <f t="shared" si="1"/>
        <v>2.4755863575905057E-6</v>
      </c>
      <c r="H43" s="92">
        <v>0.44469681762671404</v>
      </c>
      <c r="I43" s="57">
        <v>5.5669081933222973E-6</v>
      </c>
      <c r="J43" s="101">
        <f t="shared" si="2"/>
        <v>7.2301553714940089E-6</v>
      </c>
      <c r="K43" s="92">
        <v>0.44469681762671404</v>
      </c>
      <c r="L43" s="57">
        <v>1.6258617298141141E-5</v>
      </c>
      <c r="M43" s="101">
        <f t="shared" si="3"/>
        <v>1.8104768052093457E-5</v>
      </c>
      <c r="N43" s="92">
        <v>0.44469681762671404</v>
      </c>
      <c r="O43" s="57">
        <v>4.0712609882652463E-5</v>
      </c>
      <c r="P43" s="101">
        <f t="shared" si="4"/>
        <v>3.7797255635758185E-5</v>
      </c>
      <c r="Q43" s="92">
        <v>0.44469681762671404</v>
      </c>
      <c r="R43" s="57">
        <v>8.499556132979983E-5</v>
      </c>
      <c r="S43" s="101">
        <f t="shared" si="5"/>
        <v>4.3466359834570852E-5</v>
      </c>
      <c r="T43" s="92">
        <v>0.44469681762671404</v>
      </c>
      <c r="U43" s="57">
        <v>9.7743806817743504E-5</v>
      </c>
      <c r="V43" s="101">
        <f t="shared" si="6"/>
        <v>1.228843669068615E-5</v>
      </c>
      <c r="W43" s="92">
        <v>0.44469681762671404</v>
      </c>
      <c r="X43" s="57">
        <v>2.7633291275318434E-5</v>
      </c>
      <c r="Y43" s="101">
        <f t="shared" si="7"/>
        <v>1.3242652424414481E-5</v>
      </c>
      <c r="Z43" s="92">
        <v>0.44469681762671404</v>
      </c>
      <c r="AA43" s="57">
        <v>2.9779058224632012E-5</v>
      </c>
      <c r="AB43" s="101">
        <f t="shared" si="8"/>
        <v>7.3216381657248203E-5</v>
      </c>
      <c r="AC43" s="92">
        <v>0.44469681762671404</v>
      </c>
      <c r="AD43" s="57">
        <v>1.6464336769485781E-4</v>
      </c>
      <c r="AE43" s="101">
        <f t="shared" si="9"/>
        <v>1.7420339124021764E-5</v>
      </c>
      <c r="AF43" s="92">
        <v>0.44469681762671404</v>
      </c>
      <c r="AG43" s="57">
        <v>3.9173518751475951E-5</v>
      </c>
      <c r="AH43" s="101">
        <f t="shared" si="10"/>
        <v>2.1109501472741801E-5</v>
      </c>
      <c r="AI43" s="92">
        <v>0.44469681762671404</v>
      </c>
      <c r="AJ43" s="57">
        <v>4.7469423292481194E-5</v>
      </c>
      <c r="AK43" s="101">
        <f t="shared" si="11"/>
        <v>8.2313147623388387E-4</v>
      </c>
      <c r="AL43" s="92">
        <v>0.44469681762671404</v>
      </c>
      <c r="AM43" s="57">
        <v>1.8509947532946687E-3</v>
      </c>
      <c r="AN43" s="101">
        <f t="shared" si="12"/>
        <v>3.903832156180163E-6</v>
      </c>
      <c r="AO43" s="92">
        <v>0.44469681762671404</v>
      </c>
      <c r="AP43" s="57">
        <v>8.7786374928752131E-6</v>
      </c>
      <c r="AQ43" s="101">
        <f t="shared" si="13"/>
        <v>3.1275864955107078E-5</v>
      </c>
      <c r="AR43" s="92">
        <v>0.44469681762671404</v>
      </c>
      <c r="AS43" s="57">
        <v>7.033075955439052E-5</v>
      </c>
      <c r="AT43" s="101">
        <f t="shared" si="14"/>
        <v>3.6059131286441999E-5</v>
      </c>
      <c r="AU43" s="92">
        <v>0.44469681762671404</v>
      </c>
      <c r="AV43" s="57">
        <v>8.1087000979419282E-5</v>
      </c>
      <c r="AW43" s="101">
        <f t="shared" si="15"/>
        <v>7.0030834268921058E-6</v>
      </c>
      <c r="AX43" s="92">
        <v>0.44469681762671404</v>
      </c>
      <c r="AY43" s="57">
        <v>1.5747995374166612E-5</v>
      </c>
      <c r="AZ43" s="101">
        <f t="shared" si="16"/>
        <v>2.0447814006906215E-5</v>
      </c>
      <c r="BA43" s="92">
        <v>0.44469681762671404</v>
      </c>
      <c r="BB43" s="57">
        <v>4.5981471412440943E-5</v>
      </c>
      <c r="BC43" s="101">
        <f t="shared" si="17"/>
        <v>4.8975426070326254E-6</v>
      </c>
      <c r="BD43" s="92">
        <v>0.44469681762671404</v>
      </c>
      <c r="BE43" s="57">
        <v>1.1013217124354833E-5</v>
      </c>
      <c r="BF43" s="101">
        <f t="shared" si="18"/>
        <v>5.7762907775230242E-6</v>
      </c>
      <c r="BG43" s="92">
        <v>0.44469681762671404</v>
      </c>
      <c r="BH43" s="57">
        <v>1.2989278421982635E-5</v>
      </c>
      <c r="BI43" s="101">
        <f t="shared" si="19"/>
        <v>1.8533185780780151E-5</v>
      </c>
      <c r="BJ43" s="92">
        <v>0.44469681762671404</v>
      </c>
      <c r="BK43" s="57">
        <v>4.1676002719536475E-5</v>
      </c>
      <c r="BL43" s="101">
        <f t="shared" si="20"/>
        <v>2.0583356830698056E-5</v>
      </c>
      <c r="BM43" s="92">
        <v>0.44469681762671404</v>
      </c>
      <c r="BN43" s="57">
        <v>4.6286269689422579E-5</v>
      </c>
      <c r="BO43" s="101">
        <f t="shared" si="21"/>
        <v>7.176113294319338E-5</v>
      </c>
      <c r="BP43" s="92">
        <v>0.44469681762671404</v>
      </c>
      <c r="BQ43" s="57">
        <v>1.6137091631591318E-4</v>
      </c>
      <c r="BR43" s="101">
        <f t="shared" si="22"/>
        <v>9.4637016562043616E-5</v>
      </c>
      <c r="BS43" s="92">
        <v>0.44469681762671404</v>
      </c>
      <c r="BT43" s="57">
        <v>2.1281244391877684E-4</v>
      </c>
      <c r="BU43" s="101">
        <f t="shared" si="23"/>
        <v>4.1442468321125749E-5</v>
      </c>
      <c r="BV43" s="92">
        <v>0.44469681762671404</v>
      </c>
      <c r="BW43" s="57">
        <v>9.319263524820915E-5</v>
      </c>
      <c r="BX43" s="101">
        <f t="shared" si="24"/>
        <v>1.8595266513897208E-4</v>
      </c>
      <c r="BY43" s="92">
        <v>0.44469681762671404</v>
      </c>
      <c r="BZ43" s="57">
        <v>4.1815605097283125E-4</v>
      </c>
      <c r="CA43" s="101">
        <f t="shared" si="25"/>
        <v>3.7347542826219688E-4</v>
      </c>
      <c r="CB43" s="92">
        <v>0.44469681762671404</v>
      </c>
      <c r="CC43" s="57">
        <v>8.3984281752989387E-4</v>
      </c>
      <c r="CD43" s="101">
        <f t="shared" si="26"/>
        <v>6.6420414047179468E-5</v>
      </c>
      <c r="CE43" s="92">
        <v>0.44469681762671404</v>
      </c>
      <c r="CF43" s="57">
        <v>1.4936111843942603E-4</v>
      </c>
      <c r="CG43" s="101">
        <f t="shared" si="27"/>
        <v>8.8090036708659463E-4</v>
      </c>
      <c r="CH43" s="92">
        <v>0.44469681762671404</v>
      </c>
      <c r="CI43" s="57">
        <v>1.9809009917989501E-3</v>
      </c>
      <c r="CJ43" s="101">
        <f t="shared" si="28"/>
        <v>8.5015757742774411E-4</v>
      </c>
      <c r="CK43" s="92">
        <v>0.44469681762671404</v>
      </c>
      <c r="CL43" s="57">
        <v>1.9117689709697466E-3</v>
      </c>
      <c r="CM43" s="101">
        <f t="shared" si="29"/>
        <v>0</v>
      </c>
      <c r="CN43" s="92">
        <v>0.44469681762671404</v>
      </c>
      <c r="CO43" s="57">
        <v>0</v>
      </c>
    </row>
    <row r="44" spans="1:93" ht="22.5">
      <c r="A44" s="38">
        <v>38</v>
      </c>
      <c r="B44" s="68" t="s">
        <v>55</v>
      </c>
      <c r="C44" s="46" t="s">
        <v>136</v>
      </c>
      <c r="D44" s="101">
        <f t="shared" si="0"/>
        <v>1.2515551578005661E-3</v>
      </c>
      <c r="E44" s="92">
        <v>0.53476087783790938</v>
      </c>
      <c r="F44" s="57">
        <v>2.3404014947030647E-3</v>
      </c>
      <c r="G44" s="101">
        <f t="shared" si="1"/>
        <v>9.5239156756835757E-5</v>
      </c>
      <c r="H44" s="92">
        <v>0.53476087783790938</v>
      </c>
      <c r="I44" s="57">
        <v>1.7809671706332932E-4</v>
      </c>
      <c r="J44" s="101">
        <f t="shared" si="2"/>
        <v>2.0254963992742763E-3</v>
      </c>
      <c r="K44" s="92">
        <v>0.53476087783790938</v>
      </c>
      <c r="L44" s="57">
        <v>3.787667503770202E-3</v>
      </c>
      <c r="M44" s="101">
        <f t="shared" si="3"/>
        <v>1.739441646923008E-3</v>
      </c>
      <c r="N44" s="92">
        <v>0.53476087783790938</v>
      </c>
      <c r="O44" s="57">
        <v>3.2527466368814056E-3</v>
      </c>
      <c r="P44" s="101">
        <f t="shared" si="4"/>
        <v>1.8139914610588753E-2</v>
      </c>
      <c r="Q44" s="92">
        <v>0.53476087783790938</v>
      </c>
      <c r="R44" s="57">
        <v>3.392154393180407E-2</v>
      </c>
      <c r="S44" s="101">
        <f t="shared" si="5"/>
        <v>2.5879551377101305E-3</v>
      </c>
      <c r="T44" s="92">
        <v>0.53476087783790938</v>
      </c>
      <c r="U44" s="57">
        <v>4.8394623559103404E-3</v>
      </c>
      <c r="V44" s="101">
        <f t="shared" si="6"/>
        <v>1.1146676621798884E-3</v>
      </c>
      <c r="W44" s="92">
        <v>0.53476087783790938</v>
      </c>
      <c r="X44" s="57">
        <v>2.0844226052709742E-3</v>
      </c>
      <c r="Y44" s="101">
        <f t="shared" si="7"/>
        <v>1.5799485198294569E-3</v>
      </c>
      <c r="Z44" s="92">
        <v>0.53476087783790938</v>
      </c>
      <c r="AA44" s="57">
        <v>2.9544953367145023E-3</v>
      </c>
      <c r="AB44" s="101">
        <f t="shared" si="8"/>
        <v>5.294250593446282E-3</v>
      </c>
      <c r="AC44" s="92">
        <v>0.53476087783790938</v>
      </c>
      <c r="AD44" s="57">
        <v>9.9002204777048318E-3</v>
      </c>
      <c r="AE44" s="101">
        <f t="shared" si="9"/>
        <v>1.8655050587392649E-3</v>
      </c>
      <c r="AF44" s="92">
        <v>0.53476087783790938</v>
      </c>
      <c r="AG44" s="57">
        <v>3.4884845471151232E-3</v>
      </c>
      <c r="AH44" s="101">
        <f t="shared" si="10"/>
        <v>7.9413021759070185E-4</v>
      </c>
      <c r="AI44" s="92">
        <v>0.53476087783790938</v>
      </c>
      <c r="AJ44" s="57">
        <v>1.4850192871278245E-3</v>
      </c>
      <c r="AK44" s="101">
        <f t="shared" si="11"/>
        <v>2.6618152963978199E-5</v>
      </c>
      <c r="AL44" s="92">
        <v>0.53476087783790938</v>
      </c>
      <c r="AM44" s="57">
        <v>4.9775804601858688E-5</v>
      </c>
      <c r="AN44" s="101">
        <f t="shared" si="12"/>
        <v>7.7495733929215346E-4</v>
      </c>
      <c r="AO44" s="92">
        <v>0.53476087783790938</v>
      </c>
      <c r="AP44" s="57">
        <v>1.4491661065883913E-3</v>
      </c>
      <c r="AQ44" s="101">
        <f t="shared" si="13"/>
        <v>8.1624728753771757E-3</v>
      </c>
      <c r="AR44" s="92">
        <v>0.53476087783790938</v>
      </c>
      <c r="AS44" s="57">
        <v>1.5263780904053515E-2</v>
      </c>
      <c r="AT44" s="101">
        <f t="shared" si="14"/>
        <v>2.8047297522016095E-4</v>
      </c>
      <c r="AU44" s="92">
        <v>0.53476087783790938</v>
      </c>
      <c r="AV44" s="57">
        <v>5.244829733134942E-4</v>
      </c>
      <c r="AW44" s="101">
        <f t="shared" si="15"/>
        <v>5.838144283948053E-4</v>
      </c>
      <c r="AX44" s="92">
        <v>0.53476087783790938</v>
      </c>
      <c r="AY44" s="57">
        <v>1.091729878885726E-3</v>
      </c>
      <c r="AZ44" s="101">
        <f t="shared" si="16"/>
        <v>1.6227216471090887E-3</v>
      </c>
      <c r="BA44" s="92">
        <v>0.53476087783790938</v>
      </c>
      <c r="BB44" s="57">
        <v>3.034480857444006E-3</v>
      </c>
      <c r="BC44" s="101">
        <f t="shared" si="17"/>
        <v>3.897538485567198E-4</v>
      </c>
      <c r="BD44" s="92">
        <v>0.53476087783790938</v>
      </c>
      <c r="BE44" s="57">
        <v>7.2883762576748847E-4</v>
      </c>
      <c r="BF44" s="101">
        <f t="shared" si="18"/>
        <v>4.6027034622216648E-4</v>
      </c>
      <c r="BG44" s="92">
        <v>0.53476087783790938</v>
      </c>
      <c r="BH44" s="57">
        <v>8.6070310169862195E-4</v>
      </c>
      <c r="BI44" s="101">
        <f t="shared" si="19"/>
        <v>0.53921456363091425</v>
      </c>
      <c r="BJ44" s="92">
        <v>0.53476087783790938</v>
      </c>
      <c r="BK44" s="57">
        <v>1.0083283687673854</v>
      </c>
      <c r="BL44" s="101">
        <f t="shared" si="20"/>
        <v>2.009773350827716E-2</v>
      </c>
      <c r="BM44" s="92">
        <v>0.53476087783790938</v>
      </c>
      <c r="BN44" s="57">
        <v>3.7582654867226388E-2</v>
      </c>
      <c r="BO44" s="101">
        <f t="shared" si="21"/>
        <v>1.6683741058525121E-3</v>
      </c>
      <c r="BP44" s="92">
        <v>0.53476087783790938</v>
      </c>
      <c r="BQ44" s="57">
        <v>3.1198507127109076E-3</v>
      </c>
      <c r="BR44" s="101">
        <f t="shared" si="22"/>
        <v>3.7393372310253345E-2</v>
      </c>
      <c r="BS44" s="92">
        <v>0.53476087783790938</v>
      </c>
      <c r="BT44" s="57">
        <v>6.9925407523150185E-2</v>
      </c>
      <c r="BU44" s="101">
        <f t="shared" si="23"/>
        <v>3.4763650095346122E-3</v>
      </c>
      <c r="BV44" s="92">
        <v>0.53476087783790938</v>
      </c>
      <c r="BW44" s="57">
        <v>6.5007840954818845E-3</v>
      </c>
      <c r="BX44" s="101">
        <f t="shared" si="24"/>
        <v>1.426298343746465E-3</v>
      </c>
      <c r="BY44" s="92">
        <v>0.53476087783790938</v>
      </c>
      <c r="BZ44" s="57">
        <v>2.6671703238896776E-3</v>
      </c>
      <c r="CA44" s="101">
        <f t="shared" si="25"/>
        <v>9.8339634421825274E-4</v>
      </c>
      <c r="CB44" s="92">
        <v>0.53476087783790938</v>
      </c>
      <c r="CC44" s="57">
        <v>1.8389459382186306E-3</v>
      </c>
      <c r="CD44" s="101">
        <f t="shared" si="26"/>
        <v>1.3676052302577849E-3</v>
      </c>
      <c r="CE44" s="92">
        <v>0.53476087783790938</v>
      </c>
      <c r="CF44" s="57">
        <v>2.5574145135432249E-3</v>
      </c>
      <c r="CG44" s="101">
        <f t="shared" si="27"/>
        <v>8.5655564917542087E-3</v>
      </c>
      <c r="CH44" s="92">
        <v>0.53476087783790938</v>
      </c>
      <c r="CI44" s="57">
        <v>1.6017545124814653E-2</v>
      </c>
      <c r="CJ44" s="101">
        <f t="shared" si="28"/>
        <v>4.0476612965215236E-3</v>
      </c>
      <c r="CK44" s="92">
        <v>0.53476087783790938</v>
      </c>
      <c r="CL44" s="57">
        <v>7.5691051164524497E-3</v>
      </c>
      <c r="CM44" s="101">
        <f t="shared" si="29"/>
        <v>0</v>
      </c>
      <c r="CN44" s="92">
        <v>0.53476087783790938</v>
      </c>
      <c r="CO44" s="57">
        <v>0</v>
      </c>
    </row>
    <row r="45" spans="1:93" ht="22.5">
      <c r="A45" s="38">
        <v>39</v>
      </c>
      <c r="B45" s="68" t="s">
        <v>54</v>
      </c>
      <c r="C45" s="46" t="s">
        <v>53</v>
      </c>
      <c r="D45" s="101">
        <f t="shared" si="0"/>
        <v>1.5231926908622149E-3</v>
      </c>
      <c r="E45" s="92">
        <v>0.50377186369057159</v>
      </c>
      <c r="F45" s="57">
        <v>3.0235763460537274E-3</v>
      </c>
      <c r="G45" s="101">
        <f t="shared" si="1"/>
        <v>1.8975944511350623E-4</v>
      </c>
      <c r="H45" s="92">
        <v>0.50377186369057159</v>
      </c>
      <c r="I45" s="57">
        <v>3.7667733907041087E-4</v>
      </c>
      <c r="J45" s="101">
        <f t="shared" si="2"/>
        <v>2.3741522998846834E-4</v>
      </c>
      <c r="K45" s="92">
        <v>0.50377186369057159</v>
      </c>
      <c r="L45" s="57">
        <v>4.7127528768516991E-4</v>
      </c>
      <c r="M45" s="101">
        <f t="shared" si="3"/>
        <v>1.4509543874687337E-3</v>
      </c>
      <c r="N45" s="92">
        <v>0.50377186369057159</v>
      </c>
      <c r="O45" s="57">
        <v>2.8801814711111847E-3</v>
      </c>
      <c r="P45" s="101">
        <f t="shared" si="4"/>
        <v>3.0405822422313912E-3</v>
      </c>
      <c r="Q45" s="92">
        <v>0.50377186369057159</v>
      </c>
      <c r="R45" s="57">
        <v>6.0356333121831269E-3</v>
      </c>
      <c r="S45" s="101">
        <f t="shared" si="5"/>
        <v>1.8016164993191702E-3</v>
      </c>
      <c r="T45" s="92">
        <v>0.50377186369057159</v>
      </c>
      <c r="U45" s="57">
        <v>3.5762547080750921E-3</v>
      </c>
      <c r="V45" s="101">
        <f t="shared" si="6"/>
        <v>4.5536881348323801E-4</v>
      </c>
      <c r="W45" s="92">
        <v>0.50377186369057159</v>
      </c>
      <c r="X45" s="57">
        <v>9.0391871063870324E-4</v>
      </c>
      <c r="Y45" s="101">
        <f t="shared" si="7"/>
        <v>7.4819241537683271E-4</v>
      </c>
      <c r="Z45" s="92">
        <v>0.50377186369057159</v>
      </c>
      <c r="AA45" s="57">
        <v>1.4851810299520616E-3</v>
      </c>
      <c r="AB45" s="101">
        <f t="shared" si="8"/>
        <v>3.1912193076216156E-3</v>
      </c>
      <c r="AC45" s="92">
        <v>0.50377186369057159</v>
      </c>
      <c r="AD45" s="57">
        <v>6.3346517295410866E-3</v>
      </c>
      <c r="AE45" s="101">
        <f t="shared" si="9"/>
        <v>6.7261645268646981E-4</v>
      </c>
      <c r="AF45" s="92">
        <v>0.50377186369057159</v>
      </c>
      <c r="AG45" s="57">
        <v>1.3351608161658003E-3</v>
      </c>
      <c r="AH45" s="101">
        <f t="shared" si="10"/>
        <v>1.1296487930047743E-3</v>
      </c>
      <c r="AI45" s="92">
        <v>0.50377186369057159</v>
      </c>
      <c r="AJ45" s="57">
        <v>2.2423816700065467E-3</v>
      </c>
      <c r="AK45" s="101">
        <f t="shared" si="11"/>
        <v>3.7778839460651067E-5</v>
      </c>
      <c r="AL45" s="92">
        <v>0.50377186369057159</v>
      </c>
      <c r="AM45" s="57">
        <v>7.4991960019140153E-5</v>
      </c>
      <c r="AN45" s="101">
        <f t="shared" si="12"/>
        <v>4.0553025237814364E-4</v>
      </c>
      <c r="AO45" s="92">
        <v>0.50377186369057159</v>
      </c>
      <c r="AP45" s="57">
        <v>8.0498789552730906E-4</v>
      </c>
      <c r="AQ45" s="101">
        <f t="shared" si="13"/>
        <v>1.451718604404849E-2</v>
      </c>
      <c r="AR45" s="92">
        <v>0.50377186369057159</v>
      </c>
      <c r="AS45" s="57">
        <v>2.8816984612235676E-2</v>
      </c>
      <c r="AT45" s="101">
        <f t="shared" si="14"/>
        <v>2.0590710966285439E-4</v>
      </c>
      <c r="AU45" s="92">
        <v>0.50377186369057159</v>
      </c>
      <c r="AV45" s="57">
        <v>4.0873086510708216E-4</v>
      </c>
      <c r="AW45" s="101">
        <f t="shared" si="15"/>
        <v>2.4750306357793414E-4</v>
      </c>
      <c r="AX45" s="92">
        <v>0.50377186369057159</v>
      </c>
      <c r="AY45" s="57">
        <v>4.91299894687958E-4</v>
      </c>
      <c r="AZ45" s="101">
        <f t="shared" si="16"/>
        <v>1.4053522331975619E-3</v>
      </c>
      <c r="BA45" s="92">
        <v>0.50377186369057159</v>
      </c>
      <c r="BB45" s="57">
        <v>2.7896600316304324E-3</v>
      </c>
      <c r="BC45" s="101">
        <f t="shared" si="17"/>
        <v>1.6265008522432412E-4</v>
      </c>
      <c r="BD45" s="92">
        <v>0.50377186369057159</v>
      </c>
      <c r="BE45" s="57">
        <v>3.228645681653781E-4</v>
      </c>
      <c r="BF45" s="101">
        <f t="shared" si="18"/>
        <v>2.3745012959544787E-4</v>
      </c>
      <c r="BG45" s="92">
        <v>0.50377186369057159</v>
      </c>
      <c r="BH45" s="57">
        <v>4.713445642952685E-4</v>
      </c>
      <c r="BI45" s="101">
        <f t="shared" si="19"/>
        <v>6.8585451362595227E-4</v>
      </c>
      <c r="BJ45" s="92">
        <v>0.50377186369057159</v>
      </c>
      <c r="BK45" s="57">
        <v>1.3614387048166312E-3</v>
      </c>
      <c r="BL45" s="101">
        <f t="shared" si="20"/>
        <v>6.8170921174929584E-3</v>
      </c>
      <c r="BM45" s="92">
        <v>0.50377186369057159</v>
      </c>
      <c r="BN45" s="57">
        <v>1.3532101748501332E-2</v>
      </c>
      <c r="BO45" s="101">
        <f t="shared" si="21"/>
        <v>7.5594274826243065E-4</v>
      </c>
      <c r="BP45" s="92">
        <v>0.50377186369057159</v>
      </c>
      <c r="BQ45" s="57">
        <v>1.5005656384310265E-3</v>
      </c>
      <c r="BR45" s="101">
        <f t="shared" si="22"/>
        <v>3.762826578147378E-3</v>
      </c>
      <c r="BS45" s="92">
        <v>0.50377186369057159</v>
      </c>
      <c r="BT45" s="57">
        <v>7.4693067425031772E-3</v>
      </c>
      <c r="BU45" s="101">
        <f t="shared" si="23"/>
        <v>5.2322785171723812E-3</v>
      </c>
      <c r="BV45" s="92">
        <v>0.50377186369057159</v>
      </c>
      <c r="BW45" s="57">
        <v>1.0386206325302377E-2</v>
      </c>
      <c r="BX45" s="101">
        <f t="shared" si="24"/>
        <v>1.6225284646482815E-3</v>
      </c>
      <c r="BY45" s="92">
        <v>0.50377186369057159</v>
      </c>
      <c r="BZ45" s="57">
        <v>3.2207603909472724E-3</v>
      </c>
      <c r="CA45" s="101">
        <f t="shared" si="25"/>
        <v>4.3138315363953975E-3</v>
      </c>
      <c r="CB45" s="92">
        <v>0.50377186369057159</v>
      </c>
      <c r="CC45" s="57">
        <v>8.5630656400553836E-3</v>
      </c>
      <c r="CD45" s="101">
        <f t="shared" si="26"/>
        <v>1.8108317779986622E-3</v>
      </c>
      <c r="CE45" s="92">
        <v>0.50377186369057159</v>
      </c>
      <c r="CF45" s="57">
        <v>3.5945472713238254E-3</v>
      </c>
      <c r="CG45" s="101">
        <f t="shared" si="27"/>
        <v>2.0126134482665651E-2</v>
      </c>
      <c r="CH45" s="92">
        <v>0.50377186369057159</v>
      </c>
      <c r="CI45" s="57">
        <v>3.9950890339972601E-2</v>
      </c>
      <c r="CJ45" s="101">
        <f t="shared" si="28"/>
        <v>8.9173101405098688E-3</v>
      </c>
      <c r="CK45" s="92">
        <v>0.50377186369057159</v>
      </c>
      <c r="CL45" s="57">
        <v>1.7701088098058388E-2</v>
      </c>
      <c r="CM45" s="101">
        <f t="shared" si="29"/>
        <v>0</v>
      </c>
      <c r="CN45" s="92">
        <v>0.50377186369057159</v>
      </c>
      <c r="CO45" s="57">
        <v>0</v>
      </c>
    </row>
    <row r="46" spans="1:93" ht="22.5">
      <c r="A46" s="38">
        <v>40</v>
      </c>
      <c r="B46" s="68" t="s">
        <v>52</v>
      </c>
      <c r="C46" s="46" t="s">
        <v>51</v>
      </c>
      <c r="D46" s="101">
        <f t="shared" si="0"/>
        <v>5.9956819396368241E-5</v>
      </c>
      <c r="E46" s="92">
        <v>0.58076244491260198</v>
      </c>
      <c r="F46" s="57">
        <v>1.0323811383050267E-4</v>
      </c>
      <c r="G46" s="101">
        <f t="shared" si="1"/>
        <v>1.382918148605177E-5</v>
      </c>
      <c r="H46" s="92">
        <v>0.58076244491260198</v>
      </c>
      <c r="I46" s="57">
        <v>2.3812113898192749E-5</v>
      </c>
      <c r="J46" s="101">
        <f t="shared" si="2"/>
        <v>8.8275707965717925E-6</v>
      </c>
      <c r="K46" s="92">
        <v>0.58076244491260198</v>
      </c>
      <c r="L46" s="57">
        <v>1.5199968375882569E-5</v>
      </c>
      <c r="M46" s="101">
        <f t="shared" si="3"/>
        <v>5.7233893345274802E-5</v>
      </c>
      <c r="N46" s="92">
        <v>0.58076244491260198</v>
      </c>
      <c r="O46" s="57">
        <v>9.8549577106157128E-5</v>
      </c>
      <c r="P46" s="101">
        <f t="shared" si="4"/>
        <v>6.3439651179569465E-4</v>
      </c>
      <c r="Q46" s="92">
        <v>0.58076244491260198</v>
      </c>
      <c r="R46" s="57">
        <v>1.0923511279920381E-3</v>
      </c>
      <c r="S46" s="101">
        <f t="shared" si="5"/>
        <v>2.78215027635304E-5</v>
      </c>
      <c r="T46" s="92">
        <v>0.58076244491260198</v>
      </c>
      <c r="U46" s="57">
        <v>4.7905134030691693E-5</v>
      </c>
      <c r="V46" s="101">
        <f t="shared" si="6"/>
        <v>3.5691885408108309E-5</v>
      </c>
      <c r="W46" s="92">
        <v>0.58076244491260198</v>
      </c>
      <c r="X46" s="57">
        <v>6.1456944609218877E-5</v>
      </c>
      <c r="Y46" s="101">
        <f t="shared" si="7"/>
        <v>3.2673172242209445E-5</v>
      </c>
      <c r="Z46" s="92">
        <v>0.58076244491260198</v>
      </c>
      <c r="AA46" s="57">
        <v>5.6259099617101411E-5</v>
      </c>
      <c r="AB46" s="101">
        <f t="shared" si="8"/>
        <v>4.1678143574129239E-5</v>
      </c>
      <c r="AC46" s="92">
        <v>0.58076244491260198</v>
      </c>
      <c r="AD46" s="57">
        <v>7.1764529437507479E-5</v>
      </c>
      <c r="AE46" s="101">
        <f t="shared" si="9"/>
        <v>4.2936738841340339E-5</v>
      </c>
      <c r="AF46" s="92">
        <v>0.58076244491260198</v>
      </c>
      <c r="AG46" s="57">
        <v>7.3931672437603681E-5</v>
      </c>
      <c r="AH46" s="101">
        <f t="shared" si="10"/>
        <v>5.1050699936090499E-5</v>
      </c>
      <c r="AI46" s="92">
        <v>0.58076244491260198</v>
      </c>
      <c r="AJ46" s="57">
        <v>8.7902894519588013E-5</v>
      </c>
      <c r="AK46" s="101">
        <f t="shared" si="11"/>
        <v>9.6896429241030257E-7</v>
      </c>
      <c r="AL46" s="92">
        <v>0.58076244491260198</v>
      </c>
      <c r="AM46" s="57">
        <v>1.6684348323454706E-6</v>
      </c>
      <c r="AN46" s="101">
        <f t="shared" si="12"/>
        <v>1.0116664001300083E-5</v>
      </c>
      <c r="AO46" s="92">
        <v>0.58076244491260198</v>
      </c>
      <c r="AP46" s="57">
        <v>1.7419624994557841E-5</v>
      </c>
      <c r="AQ46" s="101">
        <f t="shared" si="13"/>
        <v>2.9367906972186078E-3</v>
      </c>
      <c r="AR46" s="92">
        <v>0.58076244491260198</v>
      </c>
      <c r="AS46" s="57">
        <v>5.0567847885903865E-3</v>
      </c>
      <c r="AT46" s="101">
        <f t="shared" si="14"/>
        <v>6.9988957856757217E-6</v>
      </c>
      <c r="AU46" s="92">
        <v>0.58076244491260198</v>
      </c>
      <c r="AV46" s="57">
        <v>1.2051219645803672E-5</v>
      </c>
      <c r="AW46" s="101">
        <f t="shared" si="15"/>
        <v>1.905918395102228E-5</v>
      </c>
      <c r="AX46" s="92">
        <v>0.58076244491260198</v>
      </c>
      <c r="AY46" s="57">
        <v>3.2817521377248261E-5</v>
      </c>
      <c r="AZ46" s="101">
        <f t="shared" si="16"/>
        <v>5.4125885410159776E-5</v>
      </c>
      <c r="BA46" s="92">
        <v>0.58076244491260198</v>
      </c>
      <c r="BB46" s="57">
        <v>9.3197977734777766E-5</v>
      </c>
      <c r="BC46" s="101">
        <f t="shared" si="17"/>
        <v>1.3371137107580739E-5</v>
      </c>
      <c r="BD46" s="92">
        <v>0.58076244491260198</v>
      </c>
      <c r="BE46" s="57">
        <v>2.302341899809472E-5</v>
      </c>
      <c r="BF46" s="101">
        <f t="shared" si="18"/>
        <v>1.7275893570661884E-5</v>
      </c>
      <c r="BG46" s="92">
        <v>0.58076244491260198</v>
      </c>
      <c r="BH46" s="57">
        <v>2.9746919281706838E-5</v>
      </c>
      <c r="BI46" s="101">
        <f t="shared" si="19"/>
        <v>4.3206003438096405E-5</v>
      </c>
      <c r="BJ46" s="92">
        <v>0.58076244491260198</v>
      </c>
      <c r="BK46" s="57">
        <v>7.4395312259900698E-5</v>
      </c>
      <c r="BL46" s="101">
        <f t="shared" si="20"/>
        <v>8.3868620180548633E-4</v>
      </c>
      <c r="BM46" s="92">
        <v>0.58076244491260198</v>
      </c>
      <c r="BN46" s="57">
        <v>1.444112320196081E-3</v>
      </c>
      <c r="BO46" s="101">
        <f t="shared" si="21"/>
        <v>1.8393370359075105E-5</v>
      </c>
      <c r="BP46" s="92">
        <v>0.58076244491260198</v>
      </c>
      <c r="BQ46" s="57">
        <v>3.1671073982483655E-5</v>
      </c>
      <c r="BR46" s="101">
        <f t="shared" si="22"/>
        <v>1.2275230506310694E-4</v>
      </c>
      <c r="BS46" s="92">
        <v>0.58076244491260198</v>
      </c>
      <c r="BT46" s="57">
        <v>2.1136405450868941E-4</v>
      </c>
      <c r="BU46" s="101">
        <f t="shared" si="23"/>
        <v>1.6343560649026613E-4</v>
      </c>
      <c r="BV46" s="92">
        <v>0.58076244491260198</v>
      </c>
      <c r="BW46" s="57">
        <v>2.8141559069795103E-4</v>
      </c>
      <c r="BX46" s="101">
        <f t="shared" si="24"/>
        <v>4.094348011778228E-5</v>
      </c>
      <c r="BY46" s="92">
        <v>0.58076244491260198</v>
      </c>
      <c r="BZ46" s="57">
        <v>7.0499531222174326E-5</v>
      </c>
      <c r="CA46" s="101">
        <f t="shared" si="25"/>
        <v>1.8710124499707282E-5</v>
      </c>
      <c r="CB46" s="92">
        <v>0.58076244491260198</v>
      </c>
      <c r="CC46" s="57">
        <v>3.2216484835762647E-5</v>
      </c>
      <c r="CD46" s="101">
        <f t="shared" si="26"/>
        <v>1.386751304498493E-5</v>
      </c>
      <c r="CE46" s="92">
        <v>0.58076244491260198</v>
      </c>
      <c r="CF46" s="57">
        <v>2.3878116029131033E-5</v>
      </c>
      <c r="CG46" s="101">
        <f t="shared" si="27"/>
        <v>7.1110278414452494E-4</v>
      </c>
      <c r="CH46" s="92">
        <v>0.58076244491260198</v>
      </c>
      <c r="CI46" s="57">
        <v>1.2244296964682999E-3</v>
      </c>
      <c r="CJ46" s="101">
        <f t="shared" si="28"/>
        <v>4.1953382697860114E-4</v>
      </c>
      <c r="CK46" s="92">
        <v>0.58076244491260198</v>
      </c>
      <c r="CL46" s="57">
        <v>7.2238456644994691E-4</v>
      </c>
      <c r="CM46" s="101">
        <f t="shared" si="29"/>
        <v>0</v>
      </c>
      <c r="CN46" s="92">
        <v>0.58076244491260198</v>
      </c>
      <c r="CO46" s="57">
        <v>0</v>
      </c>
    </row>
    <row r="47" spans="1:93" ht="22.5">
      <c r="A47" s="38">
        <v>41</v>
      </c>
      <c r="B47" s="68" t="s">
        <v>50</v>
      </c>
      <c r="C47" s="46" t="s">
        <v>49</v>
      </c>
      <c r="D47" s="101">
        <f t="shared" si="0"/>
        <v>1.2516272545367042E-4</v>
      </c>
      <c r="E47" s="92">
        <v>0.5227386568130542</v>
      </c>
      <c r="F47" s="57">
        <v>2.3943652114182952E-4</v>
      </c>
      <c r="G47" s="101">
        <f t="shared" si="1"/>
        <v>2.9231205569407232E-5</v>
      </c>
      <c r="H47" s="92">
        <v>0.5227386568130542</v>
      </c>
      <c r="I47" s="57">
        <v>5.5919349350628034E-5</v>
      </c>
      <c r="J47" s="101">
        <f t="shared" si="2"/>
        <v>6.2721516704136198E-6</v>
      </c>
      <c r="K47" s="92">
        <v>0.5227386568130542</v>
      </c>
      <c r="L47" s="57">
        <v>1.1998637538407103E-5</v>
      </c>
      <c r="M47" s="101">
        <f t="shared" si="3"/>
        <v>3.9001520362640531E-5</v>
      </c>
      <c r="N47" s="92">
        <v>0.5227386568130542</v>
      </c>
      <c r="O47" s="57">
        <v>7.4609979297147243E-5</v>
      </c>
      <c r="P47" s="101">
        <f t="shared" si="4"/>
        <v>4.7321413189310623E-5</v>
      </c>
      <c r="Q47" s="92">
        <v>0.5227386568130542</v>
      </c>
      <c r="R47" s="57">
        <v>9.052594938704537E-5</v>
      </c>
      <c r="S47" s="101">
        <f t="shared" si="5"/>
        <v>3.5235040325030577E-5</v>
      </c>
      <c r="T47" s="92">
        <v>0.5227386568130542</v>
      </c>
      <c r="U47" s="57">
        <v>6.7404696143663243E-5</v>
      </c>
      <c r="V47" s="101">
        <f t="shared" si="6"/>
        <v>1.4962221723366179E-5</v>
      </c>
      <c r="W47" s="92">
        <v>0.5227386568130542</v>
      </c>
      <c r="X47" s="57">
        <v>2.8622757334583509E-5</v>
      </c>
      <c r="Y47" s="101">
        <f t="shared" si="7"/>
        <v>2.3094342802765679E-5</v>
      </c>
      <c r="Z47" s="92">
        <v>0.5227386568130542</v>
      </c>
      <c r="AA47" s="57">
        <v>4.4179519730879317E-5</v>
      </c>
      <c r="AB47" s="101">
        <f t="shared" si="8"/>
        <v>3.403924628568523E-5</v>
      </c>
      <c r="AC47" s="92">
        <v>0.5227386568130542</v>
      </c>
      <c r="AD47" s="57">
        <v>6.5117139974322979E-5</v>
      </c>
      <c r="AE47" s="101">
        <f t="shared" si="9"/>
        <v>1.8509735990583791E-5</v>
      </c>
      <c r="AF47" s="92">
        <v>0.5227386568130542</v>
      </c>
      <c r="AG47" s="57">
        <v>3.5409158571571617E-5</v>
      </c>
      <c r="AH47" s="101">
        <f t="shared" si="10"/>
        <v>3.6400654466085266E-5</v>
      </c>
      <c r="AI47" s="92">
        <v>0.5227386568130542</v>
      </c>
      <c r="AJ47" s="57">
        <v>6.963451811275389E-5</v>
      </c>
      <c r="AK47" s="101">
        <f t="shared" si="11"/>
        <v>9.3297501930936959E-7</v>
      </c>
      <c r="AL47" s="92">
        <v>0.5227386568130542</v>
      </c>
      <c r="AM47" s="57">
        <v>1.78478290661987E-6</v>
      </c>
      <c r="AN47" s="101">
        <f t="shared" si="12"/>
        <v>1.3122167737263689E-5</v>
      </c>
      <c r="AO47" s="92">
        <v>0.5227386568130542</v>
      </c>
      <c r="AP47" s="57">
        <v>2.5102730716845642E-5</v>
      </c>
      <c r="AQ47" s="101">
        <f t="shared" si="13"/>
        <v>2.0332384553451441E-3</v>
      </c>
      <c r="AR47" s="92">
        <v>0.5227386568130542</v>
      </c>
      <c r="AS47" s="57">
        <v>3.8895888583045553E-3</v>
      </c>
      <c r="AT47" s="101">
        <f t="shared" si="14"/>
        <v>3.4903416618800911E-6</v>
      </c>
      <c r="AU47" s="92">
        <v>0.5227386568130542</v>
      </c>
      <c r="AV47" s="57">
        <v>6.6770299391275624E-6</v>
      </c>
      <c r="AW47" s="101">
        <f t="shared" si="15"/>
        <v>6.312703854835063E-6</v>
      </c>
      <c r="AX47" s="92">
        <v>0.5227386568130542</v>
      </c>
      <c r="AY47" s="57">
        <v>1.2076213940865407E-5</v>
      </c>
      <c r="AZ47" s="101">
        <f t="shared" si="16"/>
        <v>1.6922342036294248E-5</v>
      </c>
      <c r="BA47" s="92">
        <v>0.5227386568130542</v>
      </c>
      <c r="BB47" s="57">
        <v>3.2372471053630429E-5</v>
      </c>
      <c r="BC47" s="101">
        <f t="shared" si="17"/>
        <v>4.0692819434854282E-6</v>
      </c>
      <c r="BD47" s="92">
        <v>0.5227386568130542</v>
      </c>
      <c r="BE47" s="57">
        <v>7.7845437494413507E-6</v>
      </c>
      <c r="BF47" s="101">
        <f t="shared" si="18"/>
        <v>9.8122618812016779E-6</v>
      </c>
      <c r="BG47" s="92">
        <v>0.5227386568130542</v>
      </c>
      <c r="BH47" s="57">
        <v>1.8770874801996543E-5</v>
      </c>
      <c r="BI47" s="101">
        <f t="shared" si="19"/>
        <v>2.1655856206553562E-5</v>
      </c>
      <c r="BJ47" s="92">
        <v>0.5227386568130542</v>
      </c>
      <c r="BK47" s="57">
        <v>4.1427692259419596E-5</v>
      </c>
      <c r="BL47" s="101">
        <f t="shared" si="20"/>
        <v>0.5229960890856522</v>
      </c>
      <c r="BM47" s="92">
        <v>0.5227386568130542</v>
      </c>
      <c r="BN47" s="57">
        <v>1.0004924684050869</v>
      </c>
      <c r="BO47" s="101">
        <f t="shared" si="21"/>
        <v>3.6099025584421701E-5</v>
      </c>
      <c r="BP47" s="92">
        <v>0.5227386568130542</v>
      </c>
      <c r="BQ47" s="57">
        <v>6.9057501514244643E-5</v>
      </c>
      <c r="BR47" s="101">
        <f t="shared" si="22"/>
        <v>1.5109204011321575E-4</v>
      </c>
      <c r="BS47" s="92">
        <v>0.5227386568130542</v>
      </c>
      <c r="BT47" s="57">
        <v>2.8903934718424782E-4</v>
      </c>
      <c r="BU47" s="101">
        <f t="shared" si="23"/>
        <v>1.9415168592190987E-4</v>
      </c>
      <c r="BV47" s="92">
        <v>0.5227386568130542</v>
      </c>
      <c r="BW47" s="57">
        <v>3.7141252783098432E-4</v>
      </c>
      <c r="BX47" s="101">
        <f t="shared" si="24"/>
        <v>5.2230015376688651E-5</v>
      </c>
      <c r="BY47" s="92">
        <v>0.5227386568130542</v>
      </c>
      <c r="BZ47" s="57">
        <v>9.9916114287617236E-5</v>
      </c>
      <c r="CA47" s="101">
        <f t="shared" si="25"/>
        <v>2.9878809239592601E-4</v>
      </c>
      <c r="CB47" s="92">
        <v>0.5227386568130542</v>
      </c>
      <c r="CC47" s="57">
        <v>5.7158216348017455E-4</v>
      </c>
      <c r="CD47" s="101">
        <f t="shared" si="26"/>
        <v>1.0691661800426405E-4</v>
      </c>
      <c r="CE47" s="92">
        <v>0.5227386568130542</v>
      </c>
      <c r="CF47" s="57">
        <v>2.0453168444839232E-4</v>
      </c>
      <c r="CG47" s="101">
        <f t="shared" si="27"/>
        <v>4.4360228172706179E-3</v>
      </c>
      <c r="CH47" s="92">
        <v>0.5227386568130542</v>
      </c>
      <c r="CI47" s="57">
        <v>8.4861197071504548E-3</v>
      </c>
      <c r="CJ47" s="101">
        <f t="shared" si="28"/>
        <v>2.8384874479759742E-3</v>
      </c>
      <c r="CK47" s="92">
        <v>0.5227386568130542</v>
      </c>
      <c r="CL47" s="57">
        <v>5.4300316438833712E-3</v>
      </c>
      <c r="CM47" s="101">
        <f t="shared" si="29"/>
        <v>0</v>
      </c>
      <c r="CN47" s="92">
        <v>0.5227386568130542</v>
      </c>
      <c r="CO47" s="57">
        <v>0</v>
      </c>
    </row>
    <row r="48" spans="1:93" ht="22.5">
      <c r="A48" s="38">
        <v>42</v>
      </c>
      <c r="B48" s="68" t="s">
        <v>94</v>
      </c>
      <c r="C48" s="46" t="s">
        <v>162</v>
      </c>
      <c r="D48" s="101">
        <f t="shared" si="0"/>
        <v>3.0094291637289467E-4</v>
      </c>
      <c r="E48" s="92">
        <v>0.55368539450655496</v>
      </c>
      <c r="F48" s="57">
        <v>5.4352691864139799E-4</v>
      </c>
      <c r="G48" s="101">
        <f t="shared" si="1"/>
        <v>9.2406019842824469E-5</v>
      </c>
      <c r="H48" s="92">
        <v>0.55368539450655496</v>
      </c>
      <c r="I48" s="57">
        <v>1.668926447394857E-4</v>
      </c>
      <c r="J48" s="101">
        <f t="shared" si="2"/>
        <v>2.5450200971134656E-4</v>
      </c>
      <c r="K48" s="92">
        <v>0.55368539450655496</v>
      </c>
      <c r="L48" s="57">
        <v>4.5965093577763423E-4</v>
      </c>
      <c r="M48" s="101">
        <f t="shared" si="3"/>
        <v>1.2197339300809584E-3</v>
      </c>
      <c r="N48" s="92">
        <v>0.55368539450655496</v>
      </c>
      <c r="O48" s="57">
        <v>2.2029367980132232E-3</v>
      </c>
      <c r="P48" s="101">
        <f t="shared" si="4"/>
        <v>1.6361037070480296E-3</v>
      </c>
      <c r="Q48" s="92">
        <v>0.55368539450655496</v>
      </c>
      <c r="R48" s="57">
        <v>2.9549338365808383E-3</v>
      </c>
      <c r="S48" s="101">
        <f t="shared" si="5"/>
        <v>1.2775606820883672E-3</v>
      </c>
      <c r="T48" s="92">
        <v>0.55368539450655496</v>
      </c>
      <c r="U48" s="57">
        <v>2.3073765260268977E-3</v>
      </c>
      <c r="V48" s="101">
        <f t="shared" si="6"/>
        <v>1.9756395859957246E-3</v>
      </c>
      <c r="W48" s="92">
        <v>0.55368539450655496</v>
      </c>
      <c r="X48" s="57">
        <v>3.5681627248925658E-3</v>
      </c>
      <c r="Y48" s="101">
        <f t="shared" si="7"/>
        <v>4.0101461093968431E-4</v>
      </c>
      <c r="Z48" s="92">
        <v>0.55368539450655496</v>
      </c>
      <c r="AA48" s="57">
        <v>7.2426438356220139E-4</v>
      </c>
      <c r="AB48" s="101">
        <f t="shared" si="8"/>
        <v>2.0004710973315085E-3</v>
      </c>
      <c r="AC48" s="92">
        <v>0.55368539450655496</v>
      </c>
      <c r="AD48" s="57">
        <v>3.6130104156247983E-3</v>
      </c>
      <c r="AE48" s="101">
        <f t="shared" si="9"/>
        <v>6.2506771136309671E-3</v>
      </c>
      <c r="AF48" s="92">
        <v>0.55368539450655496</v>
      </c>
      <c r="AG48" s="57">
        <v>1.128922159704353E-2</v>
      </c>
      <c r="AH48" s="101">
        <f t="shared" si="10"/>
        <v>3.8768234797107609E-4</v>
      </c>
      <c r="AI48" s="92">
        <v>0.55368539450655496</v>
      </c>
      <c r="AJ48" s="57">
        <v>7.0018525288458987E-4</v>
      </c>
      <c r="AK48" s="101">
        <f t="shared" si="11"/>
        <v>4.2234863403385933E-6</v>
      </c>
      <c r="AL48" s="92">
        <v>0.55368539450655496</v>
      </c>
      <c r="AM48" s="57">
        <v>7.6279533147204806E-6</v>
      </c>
      <c r="AN48" s="101">
        <f t="shared" si="12"/>
        <v>4.2385765820034769E-5</v>
      </c>
      <c r="AO48" s="92">
        <v>0.55368539450655496</v>
      </c>
      <c r="AP48" s="57">
        <v>7.6552074951893956E-5</v>
      </c>
      <c r="AQ48" s="101">
        <f t="shared" si="13"/>
        <v>1.0974324836827939E-3</v>
      </c>
      <c r="AR48" s="92">
        <v>0.55368539450655496</v>
      </c>
      <c r="AS48" s="57">
        <v>1.9820506276146707E-3</v>
      </c>
      <c r="AT48" s="101">
        <f t="shared" si="14"/>
        <v>6.7656149483250028E-5</v>
      </c>
      <c r="AU48" s="92">
        <v>0.55368539450655496</v>
      </c>
      <c r="AV48" s="57">
        <v>1.2219240412426855E-4</v>
      </c>
      <c r="AW48" s="101">
        <f t="shared" si="15"/>
        <v>1.3670356038024954E-3</v>
      </c>
      <c r="AX48" s="92">
        <v>0.55368539450655496</v>
      </c>
      <c r="AY48" s="57">
        <v>2.468975373679125E-3</v>
      </c>
      <c r="AZ48" s="101">
        <f t="shared" si="16"/>
        <v>9.4667309881150366E-4</v>
      </c>
      <c r="BA48" s="92">
        <v>0.55368539450655496</v>
      </c>
      <c r="BB48" s="57">
        <v>1.7097671497280143E-3</v>
      </c>
      <c r="BC48" s="101">
        <f t="shared" si="17"/>
        <v>1.5423861791057059E-4</v>
      </c>
      <c r="BD48" s="92">
        <v>0.55368539450655496</v>
      </c>
      <c r="BE48" s="57">
        <v>2.7856725035708811E-4</v>
      </c>
      <c r="BF48" s="101">
        <f t="shared" si="18"/>
        <v>8.5127445847725969E-4</v>
      </c>
      <c r="BG48" s="92">
        <v>0.55368539450655496</v>
      </c>
      <c r="BH48" s="57">
        <v>1.5374695936054381E-3</v>
      </c>
      <c r="BI48" s="101">
        <f t="shared" si="19"/>
        <v>3.7568008683624599E-3</v>
      </c>
      <c r="BJ48" s="92">
        <v>0.55368539450655496</v>
      </c>
      <c r="BK48" s="57">
        <v>6.7850821163713826E-3</v>
      </c>
      <c r="BL48" s="101">
        <f t="shared" si="20"/>
        <v>5.9522761255452654E-3</v>
      </c>
      <c r="BM48" s="92">
        <v>0.55368539450655496</v>
      </c>
      <c r="BN48" s="57">
        <v>1.0750285603704501E-2</v>
      </c>
      <c r="BO48" s="101">
        <f t="shared" si="21"/>
        <v>7.1518908334708194E-3</v>
      </c>
      <c r="BP48" s="92">
        <v>0.55368539450655496</v>
      </c>
      <c r="BQ48" s="57">
        <v>1.2916885481229991E-2</v>
      </c>
      <c r="BR48" s="101">
        <f t="shared" si="22"/>
        <v>1.9953377883351877E-3</v>
      </c>
      <c r="BS48" s="92">
        <v>0.55368539450655496</v>
      </c>
      <c r="BT48" s="57">
        <v>3.6037392500003272E-3</v>
      </c>
      <c r="BU48" s="101">
        <f t="shared" si="23"/>
        <v>1.396307175809584E-3</v>
      </c>
      <c r="BV48" s="92">
        <v>0.55368539450655496</v>
      </c>
      <c r="BW48" s="57">
        <v>2.521842168247863E-3</v>
      </c>
      <c r="BX48" s="101">
        <f t="shared" si="24"/>
        <v>3.5341326377468787E-4</v>
      </c>
      <c r="BY48" s="92">
        <v>0.55368539450655496</v>
      </c>
      <c r="BZ48" s="57">
        <v>6.3829255255983442E-4</v>
      </c>
      <c r="CA48" s="101">
        <f t="shared" si="25"/>
        <v>2.8813506136995346E-4</v>
      </c>
      <c r="CB48" s="92">
        <v>0.55368539450655496</v>
      </c>
      <c r="CC48" s="57">
        <v>5.203949105913111E-4</v>
      </c>
      <c r="CD48" s="101">
        <f t="shared" si="26"/>
        <v>3.6994543867933856E-4</v>
      </c>
      <c r="CE48" s="92">
        <v>0.55368539450655496</v>
      </c>
      <c r="CF48" s="57">
        <v>6.6815097950892195E-4</v>
      </c>
      <c r="CG48" s="101">
        <f t="shared" si="27"/>
        <v>4.7714696718042958E-3</v>
      </c>
      <c r="CH48" s="92">
        <v>0.55368539450655496</v>
      </c>
      <c r="CI48" s="57">
        <v>8.6176549339117663E-3</v>
      </c>
      <c r="CJ48" s="101">
        <f t="shared" si="28"/>
        <v>2.1160822598805958E-3</v>
      </c>
      <c r="CK48" s="92">
        <v>0.55368539450655496</v>
      </c>
      <c r="CL48" s="57">
        <v>3.8218133995866922E-3</v>
      </c>
      <c r="CM48" s="101">
        <f t="shared" si="29"/>
        <v>0</v>
      </c>
      <c r="CN48" s="92">
        <v>0.55368539450655496</v>
      </c>
      <c r="CO48" s="57">
        <v>0</v>
      </c>
    </row>
    <row r="49" spans="1:93">
      <c r="A49" s="38">
        <v>43</v>
      </c>
      <c r="B49" s="68" t="s">
        <v>48</v>
      </c>
      <c r="C49" s="46" t="s">
        <v>47</v>
      </c>
      <c r="D49" s="101">
        <f t="shared" si="0"/>
        <v>1.4571480735862464E-3</v>
      </c>
      <c r="E49" s="92">
        <v>0.40986395126300018</v>
      </c>
      <c r="F49" s="57">
        <v>3.5551993999375373E-3</v>
      </c>
      <c r="G49" s="101">
        <f t="shared" si="1"/>
        <v>8.1030884075178341E-5</v>
      </c>
      <c r="H49" s="92">
        <v>0.40986395126300018</v>
      </c>
      <c r="I49" s="57">
        <v>1.9770190529194088E-4</v>
      </c>
      <c r="J49" s="101">
        <f t="shared" si="2"/>
        <v>1.2596183333086566E-2</v>
      </c>
      <c r="K49" s="92">
        <v>0.40986395126300018</v>
      </c>
      <c r="L49" s="57">
        <v>3.0732596253638046E-2</v>
      </c>
      <c r="M49" s="101">
        <f t="shared" si="3"/>
        <v>1.9718995560668372E-2</v>
      </c>
      <c r="N49" s="92">
        <v>0.40986395126300018</v>
      </c>
      <c r="O49" s="57">
        <v>4.8111075638401661E-2</v>
      </c>
      <c r="P49" s="101">
        <f t="shared" si="4"/>
        <v>4.3823300270732484E-3</v>
      </c>
      <c r="Q49" s="92">
        <v>0.40986395126300018</v>
      </c>
      <c r="R49" s="57">
        <v>1.0692157760078804E-2</v>
      </c>
      <c r="S49" s="101">
        <f t="shared" si="5"/>
        <v>3.7679865014324265E-3</v>
      </c>
      <c r="T49" s="92">
        <v>0.40986395126300001</v>
      </c>
      <c r="U49" s="57">
        <v>9.1932615440351289E-3</v>
      </c>
      <c r="V49" s="101">
        <f t="shared" si="6"/>
        <v>6.5125624813334873E-4</v>
      </c>
      <c r="W49" s="92">
        <v>0.40986395126300018</v>
      </c>
      <c r="X49" s="57">
        <v>1.5889571310833646E-3</v>
      </c>
      <c r="Y49" s="101">
        <f t="shared" si="7"/>
        <v>4.034017421031012E-4</v>
      </c>
      <c r="Z49" s="92">
        <v>0.40986395126300018</v>
      </c>
      <c r="AA49" s="57">
        <v>9.842332824343649E-4</v>
      </c>
      <c r="AB49" s="101">
        <f t="shared" si="8"/>
        <v>1.8512597103355201E-3</v>
      </c>
      <c r="AC49" s="92">
        <v>0.40986395126300018</v>
      </c>
      <c r="AD49" s="57">
        <v>4.5167663675491423E-3</v>
      </c>
      <c r="AE49" s="101">
        <f t="shared" si="9"/>
        <v>1.2819709021056119E-3</v>
      </c>
      <c r="AF49" s="92">
        <v>0.40986395126300018</v>
      </c>
      <c r="AG49" s="57">
        <v>3.1277961825020343E-3</v>
      </c>
      <c r="AH49" s="101">
        <f t="shared" si="10"/>
        <v>5.4645465747461396E-4</v>
      </c>
      <c r="AI49" s="92">
        <v>0.40986395126300018</v>
      </c>
      <c r="AJ49" s="57">
        <v>1.3332586478774432E-3</v>
      </c>
      <c r="AK49" s="101">
        <f t="shared" si="11"/>
        <v>1.205762226149234E-5</v>
      </c>
      <c r="AL49" s="92">
        <v>0.40986395126300018</v>
      </c>
      <c r="AM49" s="57">
        <v>2.9418596644902892E-5</v>
      </c>
      <c r="AN49" s="101">
        <f t="shared" si="12"/>
        <v>1.1784646686572105E-4</v>
      </c>
      <c r="AO49" s="92">
        <v>0.40986395126300018</v>
      </c>
      <c r="AP49" s="57">
        <v>2.8752581558484441E-4</v>
      </c>
      <c r="AQ49" s="101">
        <f t="shared" si="13"/>
        <v>1.7592456281655061E-3</v>
      </c>
      <c r="AR49" s="92">
        <v>0.40986395126300018</v>
      </c>
      <c r="AS49" s="57">
        <v>4.2922672822149196E-3</v>
      </c>
      <c r="AT49" s="101">
        <f t="shared" si="14"/>
        <v>8.5938770119254286E-5</v>
      </c>
      <c r="AU49" s="92">
        <v>0.40986395126300018</v>
      </c>
      <c r="AV49" s="57">
        <v>2.0967633248650692E-4</v>
      </c>
      <c r="AW49" s="101">
        <f t="shared" si="15"/>
        <v>3.0520203739083996E-4</v>
      </c>
      <c r="AX49" s="92">
        <v>0.40986395126300018</v>
      </c>
      <c r="AY49" s="57">
        <v>7.4464230496572488E-4</v>
      </c>
      <c r="AZ49" s="101">
        <f t="shared" si="16"/>
        <v>6.3657148374191702E-4</v>
      </c>
      <c r="BA49" s="92">
        <v>0.40986395126300018</v>
      </c>
      <c r="BB49" s="57">
        <v>1.5531287437705002E-3</v>
      </c>
      <c r="BC49" s="101">
        <f t="shared" si="17"/>
        <v>1.5493506317519628E-4</v>
      </c>
      <c r="BD49" s="92">
        <v>0.40986395126300018</v>
      </c>
      <c r="BE49" s="57">
        <v>3.7801583354125733E-4</v>
      </c>
      <c r="BF49" s="101">
        <f t="shared" si="18"/>
        <v>2.1307192545618495E-4</v>
      </c>
      <c r="BG49" s="92">
        <v>0.40986395126300018</v>
      </c>
      <c r="BH49" s="57">
        <v>5.1986012626775669E-4</v>
      </c>
      <c r="BI49" s="101">
        <f t="shared" si="19"/>
        <v>2.0544882801328637E-3</v>
      </c>
      <c r="BJ49" s="92">
        <v>0.40986395126300018</v>
      </c>
      <c r="BK49" s="57">
        <v>5.0126103400944047E-3</v>
      </c>
      <c r="BL49" s="101">
        <f t="shared" si="20"/>
        <v>6.0981958508412197E-2</v>
      </c>
      <c r="BM49" s="92">
        <v>0.40986395126300018</v>
      </c>
      <c r="BN49" s="57">
        <v>0.14878585520999257</v>
      </c>
      <c r="BO49" s="101">
        <f t="shared" si="21"/>
        <v>1.1259579224739264E-3</v>
      </c>
      <c r="BP49" s="92">
        <v>0.40986395126300018</v>
      </c>
      <c r="BQ49" s="57">
        <v>2.7471504117507163E-3</v>
      </c>
      <c r="BR49" s="101">
        <f t="shared" si="22"/>
        <v>2.3072267357861845E-3</v>
      </c>
      <c r="BS49" s="92">
        <v>0.40986395126300018</v>
      </c>
      <c r="BT49" s="57">
        <v>5.629250215044383E-3</v>
      </c>
      <c r="BU49" s="101">
        <f t="shared" si="23"/>
        <v>7.4157500825309834E-3</v>
      </c>
      <c r="BV49" s="92">
        <v>0.40986395126300018</v>
      </c>
      <c r="BW49" s="57">
        <v>1.8093199120535655E-2</v>
      </c>
      <c r="BX49" s="101">
        <f t="shared" si="24"/>
        <v>7.6156935427792148E-4</v>
      </c>
      <c r="BY49" s="92">
        <v>0.40986395126300018</v>
      </c>
      <c r="BZ49" s="57">
        <v>1.8581027971138651E-3</v>
      </c>
      <c r="CA49" s="101">
        <f t="shared" si="25"/>
        <v>2.0588967354772197E-3</v>
      </c>
      <c r="CB49" s="92">
        <v>0.40986395126300018</v>
      </c>
      <c r="CC49" s="57">
        <v>5.0233662392916165E-3</v>
      </c>
      <c r="CD49" s="101">
        <f t="shared" si="26"/>
        <v>1.3074640014119884E-2</v>
      </c>
      <c r="CE49" s="92">
        <v>0.40986395126300018</v>
      </c>
      <c r="CF49" s="57">
        <v>3.1899951127270988E-2</v>
      </c>
      <c r="CG49" s="101">
        <f t="shared" si="27"/>
        <v>1.6135250427873775E-2</v>
      </c>
      <c r="CH49" s="92">
        <v>0.40986395126300018</v>
      </c>
      <c r="CI49" s="57">
        <v>3.936733244812779E-2</v>
      </c>
      <c r="CJ49" s="101">
        <f t="shared" si="28"/>
        <v>6.0465714669031063E-2</v>
      </c>
      <c r="CK49" s="92">
        <v>0.40986395126300018</v>
      </c>
      <c r="CL49" s="57">
        <v>0.1475263059429972</v>
      </c>
      <c r="CM49" s="101">
        <f t="shared" si="29"/>
        <v>0</v>
      </c>
      <c r="CN49" s="92">
        <v>0.40986395126300018</v>
      </c>
      <c r="CO49" s="57">
        <v>0</v>
      </c>
    </row>
    <row r="50" spans="1:93" ht="33.75">
      <c r="A50" s="38">
        <v>44</v>
      </c>
      <c r="B50" s="68" t="s">
        <v>46</v>
      </c>
      <c r="C50" s="46" t="s">
        <v>137</v>
      </c>
      <c r="D50" s="101">
        <f t="shared" si="0"/>
        <v>2.7014893816622271E-3</v>
      </c>
      <c r="E50" s="92">
        <v>0.67175327508183991</v>
      </c>
      <c r="F50" s="57">
        <v>4.0215499974050797E-3</v>
      </c>
      <c r="G50" s="101">
        <f t="shared" si="1"/>
        <v>5.2248073947148242E-5</v>
      </c>
      <c r="H50" s="92">
        <v>0.67175327508183991</v>
      </c>
      <c r="I50" s="57">
        <v>7.7778666491477608E-5</v>
      </c>
      <c r="J50" s="101">
        <f t="shared" si="2"/>
        <v>1.2410584397113073E-4</v>
      </c>
      <c r="K50" s="92">
        <v>0.67175327508183991</v>
      </c>
      <c r="L50" s="57">
        <v>1.8474914611471134E-4</v>
      </c>
      <c r="M50" s="101">
        <f t="shared" si="3"/>
        <v>2.7866496511845923E-3</v>
      </c>
      <c r="N50" s="92">
        <v>0.67175327508183991</v>
      </c>
      <c r="O50" s="57">
        <v>4.1483231337355129E-3</v>
      </c>
      <c r="P50" s="101">
        <f t="shared" si="4"/>
        <v>1.2983220083684934E-3</v>
      </c>
      <c r="Q50" s="92">
        <v>0.67175327508183991</v>
      </c>
      <c r="R50" s="57">
        <v>1.9327364026774836E-3</v>
      </c>
      <c r="S50" s="101">
        <f t="shared" si="5"/>
        <v>5.5598518999682009E-4</v>
      </c>
      <c r="T50" s="92">
        <v>0.67175327508183991</v>
      </c>
      <c r="U50" s="57">
        <v>8.2766279022470604E-4</v>
      </c>
      <c r="V50" s="101">
        <f t="shared" si="6"/>
        <v>1.4197101511146963E-3</v>
      </c>
      <c r="W50" s="92">
        <v>0.67175327508183991</v>
      </c>
      <c r="X50" s="57">
        <v>2.11343986516736E-3</v>
      </c>
      <c r="Y50" s="101">
        <f t="shared" si="7"/>
        <v>4.9978145529489481E-4</v>
      </c>
      <c r="Z50" s="92">
        <v>0.67175327508183991</v>
      </c>
      <c r="AA50" s="57">
        <v>7.4399556181398044E-4</v>
      </c>
      <c r="AB50" s="101">
        <f t="shared" si="8"/>
        <v>1.0954432891109363E-3</v>
      </c>
      <c r="AC50" s="92">
        <v>0.67175327508183991</v>
      </c>
      <c r="AD50" s="57">
        <v>1.6307226622415472E-3</v>
      </c>
      <c r="AE50" s="101">
        <f t="shared" si="9"/>
        <v>5.7683305143199973E-4</v>
      </c>
      <c r="AF50" s="92">
        <v>0.67175327508183991</v>
      </c>
      <c r="AG50" s="57">
        <v>8.5869778805577684E-4</v>
      </c>
      <c r="AH50" s="101">
        <f t="shared" si="10"/>
        <v>7.53082254010473E-4</v>
      </c>
      <c r="AI50" s="92">
        <v>0.67175327508183991</v>
      </c>
      <c r="AJ50" s="57">
        <v>1.1210697170307429E-3</v>
      </c>
      <c r="AK50" s="101">
        <f t="shared" si="11"/>
        <v>1.1159031478388761E-5</v>
      </c>
      <c r="AL50" s="92">
        <v>0.67175327508183991</v>
      </c>
      <c r="AM50" s="57">
        <v>1.6611800630267495E-5</v>
      </c>
      <c r="AN50" s="101">
        <f t="shared" si="12"/>
        <v>9.8163053300030922E-5</v>
      </c>
      <c r="AO50" s="92">
        <v>0.67175327508183991</v>
      </c>
      <c r="AP50" s="57">
        <v>1.4612962368969721E-4</v>
      </c>
      <c r="AQ50" s="101">
        <f t="shared" si="13"/>
        <v>8.6286562339664712E-4</v>
      </c>
      <c r="AR50" s="92">
        <v>0.67175327508183991</v>
      </c>
      <c r="AS50" s="57">
        <v>1.2844978288963666E-3</v>
      </c>
      <c r="AT50" s="101">
        <f t="shared" si="14"/>
        <v>9.4429135437186721E-5</v>
      </c>
      <c r="AU50" s="92">
        <v>0.67175327508183991</v>
      </c>
      <c r="AV50" s="57">
        <v>1.4057115750672357E-4</v>
      </c>
      <c r="AW50" s="101">
        <f t="shared" si="15"/>
        <v>2.40280663763483E-4</v>
      </c>
      <c r="AX50" s="92">
        <v>0.67175327508183991</v>
      </c>
      <c r="AY50" s="57">
        <v>3.5769183817408189E-4</v>
      </c>
      <c r="AZ50" s="101">
        <f t="shared" si="16"/>
        <v>5.9711780231829468E-4</v>
      </c>
      <c r="BA50" s="92">
        <v>0.67175327508183991</v>
      </c>
      <c r="BB50" s="57">
        <v>8.88894515989591E-4</v>
      </c>
      <c r="BC50" s="101">
        <f t="shared" si="17"/>
        <v>1.4080283924162217E-4</v>
      </c>
      <c r="BD50" s="92">
        <v>0.67175327508183991</v>
      </c>
      <c r="BE50" s="57">
        <v>2.0960499109508342E-4</v>
      </c>
      <c r="BF50" s="101">
        <f t="shared" si="18"/>
        <v>5.4457615930514295E-3</v>
      </c>
      <c r="BG50" s="92">
        <v>0.67175327508183991</v>
      </c>
      <c r="BH50" s="57">
        <v>8.106788303172725E-3</v>
      </c>
      <c r="BI50" s="101">
        <f t="shared" si="19"/>
        <v>2.6205260690961587E-3</v>
      </c>
      <c r="BJ50" s="92">
        <v>0.67175327508183991</v>
      </c>
      <c r="BK50" s="57">
        <v>3.9010246266040147E-3</v>
      </c>
      <c r="BL50" s="101">
        <f t="shared" si="20"/>
        <v>7.0414043360174762E-4</v>
      </c>
      <c r="BM50" s="92">
        <v>0.67175327508183991</v>
      </c>
      <c r="BN50" s="57">
        <v>1.0482128777354483E-3</v>
      </c>
      <c r="BO50" s="101">
        <f t="shared" si="21"/>
        <v>0.72861055594058655</v>
      </c>
      <c r="BP50" s="92">
        <v>0.67175327508183991</v>
      </c>
      <c r="BQ50" s="57">
        <v>1.0846401245335495</v>
      </c>
      <c r="BR50" s="101">
        <f t="shared" si="22"/>
        <v>1.0605809509513954E-2</v>
      </c>
      <c r="BS50" s="92">
        <v>0.67175327508183991</v>
      </c>
      <c r="BT50" s="57">
        <v>1.5788251286488846E-2</v>
      </c>
      <c r="BU50" s="101">
        <f t="shared" si="23"/>
        <v>2.8115709165911673E-3</v>
      </c>
      <c r="BV50" s="92">
        <v>0.67175327508183991</v>
      </c>
      <c r="BW50" s="57">
        <v>4.1854219709589547E-3</v>
      </c>
      <c r="BX50" s="101">
        <f t="shared" si="24"/>
        <v>1.2358870678080395E-3</v>
      </c>
      <c r="BY50" s="92">
        <v>0.67175327508183991</v>
      </c>
      <c r="BZ50" s="57">
        <v>1.8397931408037735E-3</v>
      </c>
      <c r="CA50" s="101">
        <f t="shared" si="25"/>
        <v>7.8438122494169028E-4</v>
      </c>
      <c r="CB50" s="92">
        <v>0.67175327508183991</v>
      </c>
      <c r="CC50" s="57">
        <v>1.1676626732428344E-3</v>
      </c>
      <c r="CD50" s="101">
        <f t="shared" si="26"/>
        <v>5.504536048602422E-4</v>
      </c>
      <c r="CE50" s="92">
        <v>0.67175327508183991</v>
      </c>
      <c r="CF50" s="57">
        <v>8.1942824140780008E-4</v>
      </c>
      <c r="CG50" s="101">
        <f t="shared" si="27"/>
        <v>3.4615431686595452E-3</v>
      </c>
      <c r="CH50" s="92">
        <v>0.67175327508183991</v>
      </c>
      <c r="CI50" s="57">
        <v>5.1529978298026522E-3</v>
      </c>
      <c r="CJ50" s="101">
        <f t="shared" si="28"/>
        <v>1.8552492438238953E-3</v>
      </c>
      <c r="CK50" s="92">
        <v>0.67175327508183991</v>
      </c>
      <c r="CL50" s="57">
        <v>2.7618015611429207E-3</v>
      </c>
      <c r="CM50" s="101">
        <f t="shared" si="29"/>
        <v>0</v>
      </c>
      <c r="CN50" s="92">
        <v>0.67175327508183991</v>
      </c>
      <c r="CO50" s="57">
        <v>0</v>
      </c>
    </row>
    <row r="51" spans="1:93" ht="22.5">
      <c r="A51" s="38">
        <v>45</v>
      </c>
      <c r="B51" s="68" t="s">
        <v>45</v>
      </c>
      <c r="C51" s="46" t="s">
        <v>44</v>
      </c>
      <c r="D51" s="101">
        <f t="shared" si="0"/>
        <v>8.2868884078389285E-2</v>
      </c>
      <c r="E51" s="92">
        <v>0.78132186551824567</v>
      </c>
      <c r="F51" s="57">
        <v>0.106062415165385</v>
      </c>
      <c r="G51" s="101">
        <f t="shared" si="1"/>
        <v>2.1888845978803671E-3</v>
      </c>
      <c r="H51" s="92">
        <v>0.78132186551824567</v>
      </c>
      <c r="I51" s="57">
        <v>2.8015145799465042E-3</v>
      </c>
      <c r="J51" s="101">
        <f t="shared" si="2"/>
        <v>1.9654639276733981E-2</v>
      </c>
      <c r="K51" s="92">
        <v>0.78132186551824567</v>
      </c>
      <c r="L51" s="57">
        <v>2.5155624262092276E-2</v>
      </c>
      <c r="M51" s="101">
        <f t="shared" si="3"/>
        <v>6.770043067579129E-2</v>
      </c>
      <c r="N51" s="92">
        <v>0.78132186551824567</v>
      </c>
      <c r="O51" s="57">
        <v>8.6648580647216408E-2</v>
      </c>
      <c r="P51" s="101">
        <f t="shared" si="4"/>
        <v>4.0501936385478034E-2</v>
      </c>
      <c r="Q51" s="92">
        <v>0.78132186551824567</v>
      </c>
      <c r="R51" s="57">
        <v>5.1837710133215538E-2</v>
      </c>
      <c r="S51" s="101">
        <f t="shared" si="5"/>
        <v>1.6845865855686114E-2</v>
      </c>
      <c r="T51" s="92">
        <v>0.78132186551824567</v>
      </c>
      <c r="U51" s="57">
        <v>2.1560724970255837E-2</v>
      </c>
      <c r="V51" s="101">
        <f t="shared" si="6"/>
        <v>0.1130089141758098</v>
      </c>
      <c r="W51" s="92">
        <v>0.78132186551824567</v>
      </c>
      <c r="X51" s="57">
        <v>0.14463810519478004</v>
      </c>
      <c r="Y51" s="101">
        <f t="shared" si="7"/>
        <v>0.11791473220592075</v>
      </c>
      <c r="Z51" s="92">
        <v>0.78132186551824567</v>
      </c>
      <c r="AA51" s="57">
        <v>0.15091697469353257</v>
      </c>
      <c r="AB51" s="101">
        <f t="shared" si="8"/>
        <v>7.5441619681316963E-2</v>
      </c>
      <c r="AC51" s="92">
        <v>0.78132186551824567</v>
      </c>
      <c r="AD51" s="57">
        <v>9.6556391175968218E-2</v>
      </c>
      <c r="AE51" s="101">
        <f t="shared" si="9"/>
        <v>0.1440417685864103</v>
      </c>
      <c r="AF51" s="92">
        <v>0.78132186551824567</v>
      </c>
      <c r="AG51" s="57">
        <v>0.1843565052295936</v>
      </c>
      <c r="AH51" s="101">
        <f t="shared" si="10"/>
        <v>8.2583210022403472E-2</v>
      </c>
      <c r="AI51" s="92">
        <v>0.78132186551824567</v>
      </c>
      <c r="AJ51" s="57">
        <v>0.10569678600716821</v>
      </c>
      <c r="AK51" s="101">
        <f t="shared" si="11"/>
        <v>3.6814296996952843E-3</v>
      </c>
      <c r="AL51" s="92">
        <v>0.78132186551824567</v>
      </c>
      <c r="AM51" s="57">
        <v>4.711796587509318E-3</v>
      </c>
      <c r="AN51" s="101">
        <f t="shared" si="12"/>
        <v>3.344427033221959E-2</v>
      </c>
      <c r="AO51" s="92">
        <v>0.78132186551824567</v>
      </c>
      <c r="AP51" s="57">
        <v>4.2804728509723999E-2</v>
      </c>
      <c r="AQ51" s="101">
        <f t="shared" si="13"/>
        <v>5.9978003561003058E-2</v>
      </c>
      <c r="AR51" s="92">
        <v>0.78132186551824567</v>
      </c>
      <c r="AS51" s="57">
        <v>7.6764783129702946E-2</v>
      </c>
      <c r="AT51" s="101">
        <f t="shared" si="14"/>
        <v>2.1475319336447894E-2</v>
      </c>
      <c r="AU51" s="92">
        <v>0.78132186551824567</v>
      </c>
      <c r="AV51" s="57">
        <v>2.7485880383244433E-2</v>
      </c>
      <c r="AW51" s="101">
        <f t="shared" si="15"/>
        <v>7.2694324677768679E-2</v>
      </c>
      <c r="AX51" s="92">
        <v>0.78132186551824567</v>
      </c>
      <c r="AY51" s="57">
        <v>9.3040177020453668E-2</v>
      </c>
      <c r="AZ51" s="101">
        <f t="shared" si="16"/>
        <v>0.21070783894493808</v>
      </c>
      <c r="BA51" s="92">
        <v>0.78132186551824567</v>
      </c>
      <c r="BB51" s="57">
        <v>0.26968122644971282</v>
      </c>
      <c r="BC51" s="101">
        <f t="shared" si="17"/>
        <v>5.2237180245295334E-2</v>
      </c>
      <c r="BD51" s="92">
        <v>0.78132186551824567</v>
      </c>
      <c r="BE51" s="57">
        <v>6.685744064086413E-2</v>
      </c>
      <c r="BF51" s="101">
        <f t="shared" si="18"/>
        <v>4.6848570471371122E-2</v>
      </c>
      <c r="BG51" s="92">
        <v>0.78132186551824567</v>
      </c>
      <c r="BH51" s="57">
        <v>5.996065455085757E-2</v>
      </c>
      <c r="BI51" s="101">
        <f t="shared" si="19"/>
        <v>0.15433019444468801</v>
      </c>
      <c r="BJ51" s="92">
        <v>0.78132186551824567</v>
      </c>
      <c r="BK51" s="57">
        <v>0.19752447903441409</v>
      </c>
      <c r="BL51" s="101">
        <f t="shared" si="20"/>
        <v>0.10947962859323773</v>
      </c>
      <c r="BM51" s="92">
        <v>0.78132186551824567</v>
      </c>
      <c r="BN51" s="57">
        <v>0.14012103516470847</v>
      </c>
      <c r="BO51" s="101">
        <f t="shared" si="21"/>
        <v>2.2637346366563057E-2</v>
      </c>
      <c r="BP51" s="92">
        <v>0.78132186551824567</v>
      </c>
      <c r="BQ51" s="57">
        <v>2.8973138172125587E-2</v>
      </c>
      <c r="BR51" s="101">
        <f t="shared" si="22"/>
        <v>4.3040440795741895E-2</v>
      </c>
      <c r="BS51" s="92">
        <v>0.78132186551824567</v>
      </c>
      <c r="BT51" s="57">
        <v>5.5086696911001529E-2</v>
      </c>
      <c r="BU51" s="101">
        <f t="shared" si="23"/>
        <v>3.4688551363772691E-2</v>
      </c>
      <c r="BV51" s="92">
        <v>0.78132186551824567</v>
      </c>
      <c r="BW51" s="57">
        <v>4.4397261736383128E-2</v>
      </c>
      <c r="BX51" s="101">
        <f t="shared" si="24"/>
        <v>0.11998372479750798</v>
      </c>
      <c r="BY51" s="92">
        <v>0.78132186551824567</v>
      </c>
      <c r="BZ51" s="57">
        <v>0.15356504162074558</v>
      </c>
      <c r="CA51" s="101">
        <f t="shared" si="25"/>
        <v>1.8198327685505715E-2</v>
      </c>
      <c r="CB51" s="92">
        <v>0.78132186551824567</v>
      </c>
      <c r="CC51" s="57">
        <v>2.3291716882177467E-2</v>
      </c>
      <c r="CD51" s="101">
        <f t="shared" si="26"/>
        <v>1.3805750533409851E-2</v>
      </c>
      <c r="CE51" s="92">
        <v>0.78132186551824567</v>
      </c>
      <c r="CF51" s="57">
        <v>1.766973528157002E-2</v>
      </c>
      <c r="CG51" s="101">
        <f t="shared" si="27"/>
        <v>3.1449670430665655E-2</v>
      </c>
      <c r="CH51" s="92">
        <v>0.78132186551824567</v>
      </c>
      <c r="CI51" s="57">
        <v>4.0251875467231794E-2</v>
      </c>
      <c r="CJ51" s="101">
        <f t="shared" si="28"/>
        <v>8.4146144650241769E-2</v>
      </c>
      <c r="CK51" s="92">
        <v>0.78132186551824567</v>
      </c>
      <c r="CL51" s="57">
        <v>0.10769715832082619</v>
      </c>
      <c r="CM51" s="101">
        <f t="shared" si="29"/>
        <v>0</v>
      </c>
      <c r="CN51" s="92">
        <v>0.78132186551824567</v>
      </c>
      <c r="CO51" s="57">
        <v>0</v>
      </c>
    </row>
    <row r="52" spans="1:93" ht="22.5">
      <c r="A52" s="38">
        <v>46</v>
      </c>
      <c r="B52" s="68" t="s">
        <v>43</v>
      </c>
      <c r="C52" s="46" t="s">
        <v>42</v>
      </c>
      <c r="D52" s="101">
        <f t="shared" si="0"/>
        <v>8.9976083721723318E-3</v>
      </c>
      <c r="E52" s="92">
        <v>0.75292704541361721</v>
      </c>
      <c r="F52" s="57">
        <v>1.1950172897866266E-2</v>
      </c>
      <c r="G52" s="101">
        <f t="shared" si="1"/>
        <v>3.1137471458100156E-3</v>
      </c>
      <c r="H52" s="92">
        <v>0.75292704541361721</v>
      </c>
      <c r="I52" s="57">
        <v>4.1355230427398077E-3</v>
      </c>
      <c r="J52" s="101">
        <f t="shared" si="2"/>
        <v>1.0497891262513678E-3</v>
      </c>
      <c r="K52" s="92">
        <v>0.75292704541361721</v>
      </c>
      <c r="L52" s="57">
        <v>1.3942773508350611E-3</v>
      </c>
      <c r="M52" s="101">
        <f t="shared" si="3"/>
        <v>1.3507394424894559E-2</v>
      </c>
      <c r="N52" s="92">
        <v>0.75292704541361721</v>
      </c>
      <c r="O52" s="57">
        <v>1.7939844912164538E-2</v>
      </c>
      <c r="P52" s="101">
        <f t="shared" si="4"/>
        <v>3.0073267556346224E-3</v>
      </c>
      <c r="Q52" s="92">
        <v>0.75292704541361721</v>
      </c>
      <c r="R52" s="57">
        <v>3.9941808093539267E-3</v>
      </c>
      <c r="S52" s="101">
        <f t="shared" si="5"/>
        <v>1.7567955414503E-3</v>
      </c>
      <c r="T52" s="92">
        <v>0.75292704541361721</v>
      </c>
      <c r="U52" s="57">
        <v>2.3332878691921764E-3</v>
      </c>
      <c r="V52" s="101">
        <f t="shared" si="6"/>
        <v>2.8332129653658843E-3</v>
      </c>
      <c r="W52" s="92">
        <v>0.75292704541361721</v>
      </c>
      <c r="X52" s="57">
        <v>3.7629315916118686E-3</v>
      </c>
      <c r="Y52" s="101">
        <f t="shared" si="7"/>
        <v>1.7603462101005306E-3</v>
      </c>
      <c r="Z52" s="92">
        <v>0.75292704541361721</v>
      </c>
      <c r="AA52" s="57">
        <v>2.3380036894988837E-3</v>
      </c>
      <c r="AB52" s="101">
        <f t="shared" si="8"/>
        <v>7.3925384482604684E-3</v>
      </c>
      <c r="AC52" s="92">
        <v>0.75292704541361721</v>
      </c>
      <c r="AD52" s="57">
        <v>9.8183993964507006E-3</v>
      </c>
      <c r="AE52" s="101">
        <f t="shared" si="9"/>
        <v>3.0109554996439751E-3</v>
      </c>
      <c r="AF52" s="92">
        <v>0.75292704541361721</v>
      </c>
      <c r="AG52" s="57">
        <v>3.9990003254431108E-3</v>
      </c>
      <c r="AH52" s="101">
        <f t="shared" si="10"/>
        <v>2.7880142105302114E-3</v>
      </c>
      <c r="AI52" s="92">
        <v>0.75292704541361721</v>
      </c>
      <c r="AJ52" s="57">
        <v>3.7029008687005367E-3</v>
      </c>
      <c r="AK52" s="101">
        <f t="shared" si="11"/>
        <v>3.6335676178713529E-5</v>
      </c>
      <c r="AL52" s="92">
        <v>0.75292704541361721</v>
      </c>
      <c r="AM52" s="57">
        <v>4.8259225644833466E-5</v>
      </c>
      <c r="AN52" s="101">
        <f t="shared" si="12"/>
        <v>6.7331763156203866E-4</v>
      </c>
      <c r="AO52" s="92">
        <v>0.75292704541361721</v>
      </c>
      <c r="AP52" s="57">
        <v>8.9426676284706243E-4</v>
      </c>
      <c r="AQ52" s="101">
        <f t="shared" si="13"/>
        <v>5.9370709182740306E-3</v>
      </c>
      <c r="AR52" s="92">
        <v>0.75292704541361721</v>
      </c>
      <c r="AS52" s="57">
        <v>7.8853203035262557E-3</v>
      </c>
      <c r="AT52" s="101">
        <f t="shared" si="14"/>
        <v>2.836096122205678E-4</v>
      </c>
      <c r="AU52" s="92">
        <v>0.75292704541361721</v>
      </c>
      <c r="AV52" s="57">
        <v>3.7667608561566288E-4</v>
      </c>
      <c r="AW52" s="101">
        <f t="shared" si="15"/>
        <v>1.0681372793805519E-3</v>
      </c>
      <c r="AX52" s="92">
        <v>0.75292704541361721</v>
      </c>
      <c r="AY52" s="57">
        <v>1.4186464490643651E-3</v>
      </c>
      <c r="AZ52" s="101">
        <f t="shared" si="16"/>
        <v>2.0309455217481088E-3</v>
      </c>
      <c r="BA52" s="92">
        <v>0.75292704541361721</v>
      </c>
      <c r="BB52" s="57">
        <v>2.6974001453652363E-3</v>
      </c>
      <c r="BC52" s="101">
        <f t="shared" si="17"/>
        <v>4.7329418554002326E-4</v>
      </c>
      <c r="BD52" s="92">
        <v>0.75292704541361721</v>
      </c>
      <c r="BE52" s="57">
        <v>6.2860563772154199E-4</v>
      </c>
      <c r="BF52" s="101">
        <f t="shared" si="18"/>
        <v>5.5137376744251163E-4</v>
      </c>
      <c r="BG52" s="92">
        <v>0.75292704541361721</v>
      </c>
      <c r="BH52" s="57">
        <v>7.3230702868379077E-4</v>
      </c>
      <c r="BI52" s="101">
        <f t="shared" si="19"/>
        <v>2.4551147723427323E-3</v>
      </c>
      <c r="BJ52" s="92">
        <v>0.75292704541361721</v>
      </c>
      <c r="BK52" s="57">
        <v>3.2607605043514219E-3</v>
      </c>
      <c r="BL52" s="101">
        <f t="shared" si="20"/>
        <v>7.0348877351501795E-3</v>
      </c>
      <c r="BM52" s="92">
        <v>0.75292704541361721</v>
      </c>
      <c r="BN52" s="57">
        <v>9.3433856281329285E-3</v>
      </c>
      <c r="BO52" s="101">
        <f t="shared" si="21"/>
        <v>1.6786474572363119E-3</v>
      </c>
      <c r="BP52" s="92">
        <v>0.75292704541361721</v>
      </c>
      <c r="BQ52" s="57">
        <v>2.2294954968899465E-3</v>
      </c>
      <c r="BR52" s="101">
        <f t="shared" si="22"/>
        <v>1.75877069785038E-2</v>
      </c>
      <c r="BS52" s="92">
        <v>0.75292704541361721</v>
      </c>
      <c r="BT52" s="57">
        <v>2.3359111730197009E-2</v>
      </c>
      <c r="BU52" s="101">
        <f t="shared" si="23"/>
        <v>9.8901131811741459E-3</v>
      </c>
      <c r="BV52" s="92">
        <v>0.75292704541361721</v>
      </c>
      <c r="BW52" s="57">
        <v>1.3135553094312153E-2</v>
      </c>
      <c r="BX52" s="101">
        <f t="shared" si="24"/>
        <v>2.7333167139370136E-3</v>
      </c>
      <c r="BY52" s="92">
        <v>0.75292704541361721</v>
      </c>
      <c r="BZ52" s="57">
        <v>3.6302543926224327E-3</v>
      </c>
      <c r="CA52" s="101">
        <f t="shared" si="25"/>
        <v>9.3704981886363859E-4</v>
      </c>
      <c r="CB52" s="92">
        <v>0.75292704541361721</v>
      </c>
      <c r="CC52" s="57">
        <v>1.2445426480182742E-3</v>
      </c>
      <c r="CD52" s="101">
        <f t="shared" si="26"/>
        <v>1.0236658273473636E-3</v>
      </c>
      <c r="CE52" s="92">
        <v>0.75292704541361721</v>
      </c>
      <c r="CF52" s="57">
        <v>1.3595816933166709E-3</v>
      </c>
      <c r="CG52" s="101">
        <f t="shared" si="27"/>
        <v>1.4758496469333433E-2</v>
      </c>
      <c r="CH52" s="92">
        <v>0.75292704541361721</v>
      </c>
      <c r="CI52" s="57">
        <v>1.9601496000486895E-2</v>
      </c>
      <c r="CJ52" s="101">
        <f t="shared" si="28"/>
        <v>8.3247918032731405E-3</v>
      </c>
      <c r="CK52" s="92">
        <v>0.75292704541361721</v>
      </c>
      <c r="CL52" s="57">
        <v>1.105657162135802E-2</v>
      </c>
      <c r="CM52" s="101">
        <f t="shared" si="29"/>
        <v>0</v>
      </c>
      <c r="CN52" s="92">
        <v>0.75292704541361721</v>
      </c>
      <c r="CO52" s="57">
        <v>0</v>
      </c>
    </row>
    <row r="53" spans="1:93" ht="22.5">
      <c r="A53" s="38">
        <v>47</v>
      </c>
      <c r="B53" s="68" t="s">
        <v>41</v>
      </c>
      <c r="C53" s="46" t="s">
        <v>40</v>
      </c>
      <c r="D53" s="101">
        <f t="shared" si="0"/>
        <v>1.4594884853051621E-2</v>
      </c>
      <c r="E53" s="92">
        <v>0.63801684044600926</v>
      </c>
      <c r="F53" s="57">
        <v>2.2875391255893787E-2</v>
      </c>
      <c r="G53" s="101">
        <f t="shared" si="1"/>
        <v>9.843830000530148E-4</v>
      </c>
      <c r="H53" s="92">
        <v>0.63801684044600926</v>
      </c>
      <c r="I53" s="57">
        <v>1.5428793374245048E-3</v>
      </c>
      <c r="J53" s="101">
        <f t="shared" si="2"/>
        <v>2.7838356120944829E-3</v>
      </c>
      <c r="K53" s="92">
        <v>0.63801684044600926</v>
      </c>
      <c r="L53" s="57">
        <v>4.3632635310196935E-3</v>
      </c>
      <c r="M53" s="101">
        <f t="shared" si="3"/>
        <v>1.3779949326134125E-2</v>
      </c>
      <c r="N53" s="92">
        <v>0.63801684044600926</v>
      </c>
      <c r="O53" s="57">
        <v>2.1598096558863827E-2</v>
      </c>
      <c r="P53" s="101">
        <f t="shared" si="4"/>
        <v>4.1163476624079029E-2</v>
      </c>
      <c r="Q53" s="92">
        <v>0.63801684044600926</v>
      </c>
      <c r="R53" s="57">
        <v>6.4517852844297133E-2</v>
      </c>
      <c r="S53" s="101">
        <f t="shared" si="5"/>
        <v>1.3818407672731719E-2</v>
      </c>
      <c r="T53" s="92">
        <v>0.63801684044600926</v>
      </c>
      <c r="U53" s="57">
        <v>2.165837450790779E-2</v>
      </c>
      <c r="V53" s="101">
        <f t="shared" si="6"/>
        <v>1.4687614283791521E-2</v>
      </c>
      <c r="W53" s="92">
        <v>0.63801684044600926</v>
      </c>
      <c r="X53" s="57">
        <v>2.3020731354871544E-2</v>
      </c>
      <c r="Y53" s="101">
        <f t="shared" si="7"/>
        <v>1.7433069778484085E-2</v>
      </c>
      <c r="Z53" s="92">
        <v>0.63801684044600926</v>
      </c>
      <c r="AA53" s="57">
        <v>2.7323839549904982E-2</v>
      </c>
      <c r="AB53" s="101">
        <f t="shared" si="8"/>
        <v>1.8708725042378249E-2</v>
      </c>
      <c r="AC53" s="92">
        <v>0.63801684044600926</v>
      </c>
      <c r="AD53" s="57">
        <v>2.9323246435469963E-2</v>
      </c>
      <c r="AE53" s="101">
        <f t="shared" si="9"/>
        <v>1.4156877131206046E-2</v>
      </c>
      <c r="AF53" s="92">
        <v>0.63801684044600926</v>
      </c>
      <c r="AG53" s="57">
        <v>2.218887689752766E-2</v>
      </c>
      <c r="AH53" s="101">
        <f t="shared" si="10"/>
        <v>9.3271675506554578E-3</v>
      </c>
      <c r="AI53" s="92">
        <v>0.63801684044600926</v>
      </c>
      <c r="AJ53" s="57">
        <v>1.4618998997166359E-2</v>
      </c>
      <c r="AK53" s="101">
        <f t="shared" si="11"/>
        <v>3.3133206739109839E-4</v>
      </c>
      <c r="AL53" s="92">
        <v>0.63801684044600926</v>
      </c>
      <c r="AM53" s="57">
        <v>5.193155515448132E-4</v>
      </c>
      <c r="AN53" s="101">
        <f t="shared" si="12"/>
        <v>3.1999289451065823E-3</v>
      </c>
      <c r="AO53" s="92">
        <v>0.63801684044600926</v>
      </c>
      <c r="AP53" s="57">
        <v>5.0154302241766126E-3</v>
      </c>
      <c r="AQ53" s="101">
        <f t="shared" si="13"/>
        <v>3.9326098576524054E-2</v>
      </c>
      <c r="AR53" s="92">
        <v>0.63801684044600926</v>
      </c>
      <c r="AS53" s="57">
        <v>6.1638025963441534E-2</v>
      </c>
      <c r="AT53" s="101">
        <f t="shared" si="14"/>
        <v>3.9153753139043838E-3</v>
      </c>
      <c r="AU53" s="92">
        <v>0.63801684044600926</v>
      </c>
      <c r="AV53" s="57">
        <v>6.1367899179076814E-3</v>
      </c>
      <c r="AW53" s="101">
        <f t="shared" si="15"/>
        <v>7.7336272874569635E-3</v>
      </c>
      <c r="AX53" s="92">
        <v>0.63801684044600926</v>
      </c>
      <c r="AY53" s="57">
        <v>1.2121352912958737E-2</v>
      </c>
      <c r="AZ53" s="101">
        <f t="shared" si="16"/>
        <v>2.0584888992171337E-2</v>
      </c>
      <c r="BA53" s="92">
        <v>0.63801684044600926</v>
      </c>
      <c r="BB53" s="57">
        <v>3.226386466191293E-2</v>
      </c>
      <c r="BC53" s="101">
        <f t="shared" si="17"/>
        <v>4.8621823804018693E-3</v>
      </c>
      <c r="BD53" s="92">
        <v>0.63801684044600926</v>
      </c>
      <c r="BE53" s="57">
        <v>7.6207743623239368E-3</v>
      </c>
      <c r="BF53" s="101">
        <f t="shared" si="18"/>
        <v>6.1769124724452996E-3</v>
      </c>
      <c r="BG53" s="92">
        <v>0.63801684044600926</v>
      </c>
      <c r="BH53" s="57">
        <v>9.6814254434527056E-3</v>
      </c>
      <c r="BI53" s="101">
        <f t="shared" si="19"/>
        <v>1.798195330732575E-2</v>
      </c>
      <c r="BJ53" s="92">
        <v>0.63801684044600926</v>
      </c>
      <c r="BK53" s="57">
        <v>2.8184135852519762E-2</v>
      </c>
      <c r="BL53" s="101">
        <f t="shared" si="20"/>
        <v>1.4617239069149269E-2</v>
      </c>
      <c r="BM53" s="92">
        <v>0.63801684044600926</v>
      </c>
      <c r="BN53" s="57">
        <v>2.2910428287333303E-2</v>
      </c>
      <c r="BO53" s="101">
        <f t="shared" si="21"/>
        <v>1.1936169920639303E-2</v>
      </c>
      <c r="BP53" s="92">
        <v>0.63801684044600926</v>
      </c>
      <c r="BQ53" s="57">
        <v>1.8708236466446961E-2</v>
      </c>
      <c r="BR53" s="101">
        <f t="shared" si="22"/>
        <v>0.64901587458049337</v>
      </c>
      <c r="BS53" s="92">
        <v>0.63801684044600926</v>
      </c>
      <c r="BT53" s="57">
        <v>1.0172394103685338</v>
      </c>
      <c r="BU53" s="101">
        <f t="shared" si="23"/>
        <v>3.1006561314070053E-2</v>
      </c>
      <c r="BV53" s="92">
        <v>0.63801684044600926</v>
      </c>
      <c r="BW53" s="57">
        <v>4.8598343097644166E-2</v>
      </c>
      <c r="BX53" s="101">
        <f t="shared" si="24"/>
        <v>1.2005244994700608E-2</v>
      </c>
      <c r="BY53" s="92">
        <v>0.63801684044600926</v>
      </c>
      <c r="BZ53" s="57">
        <v>1.8816501749872736E-2</v>
      </c>
      <c r="CA53" s="101">
        <f t="shared" si="25"/>
        <v>8.6346802755333536E-3</v>
      </c>
      <c r="CB53" s="92">
        <v>0.63801684044600926</v>
      </c>
      <c r="CC53" s="57">
        <v>1.3533624393828275E-2</v>
      </c>
      <c r="CD53" s="101">
        <f t="shared" si="26"/>
        <v>2.0264228633855873E-2</v>
      </c>
      <c r="CE53" s="92">
        <v>0.63801684044600926</v>
      </c>
      <c r="CF53" s="57">
        <v>3.1761275485596978E-2</v>
      </c>
      <c r="CG53" s="101">
        <f t="shared" si="27"/>
        <v>1.0065130700804985E-2</v>
      </c>
      <c r="CH53" s="92">
        <v>0.63801684044600926</v>
      </c>
      <c r="CI53" s="57">
        <v>1.5775650520084859E-2</v>
      </c>
      <c r="CJ53" s="101">
        <f t="shared" si="28"/>
        <v>1.1718512091594375E-2</v>
      </c>
      <c r="CK53" s="92">
        <v>0.63801684044600926</v>
      </c>
      <c r="CL53" s="57">
        <v>1.8367088999410239E-2</v>
      </c>
      <c r="CM53" s="101">
        <f t="shared" si="29"/>
        <v>0</v>
      </c>
      <c r="CN53" s="92">
        <v>0.63801684044600926</v>
      </c>
      <c r="CO53" s="57">
        <v>0</v>
      </c>
    </row>
    <row r="54" spans="1:93">
      <c r="A54" s="38">
        <v>48</v>
      </c>
      <c r="B54" s="68" t="s">
        <v>39</v>
      </c>
      <c r="C54" s="46" t="s">
        <v>38</v>
      </c>
      <c r="D54" s="101">
        <f t="shared" si="0"/>
        <v>5.0415833186096957E-5</v>
      </c>
      <c r="E54" s="92">
        <v>0.54638884520280551</v>
      </c>
      <c r="F54" s="57">
        <v>9.2270978129840655E-5</v>
      </c>
      <c r="G54" s="101">
        <f t="shared" si="1"/>
        <v>4.2444029254725977E-6</v>
      </c>
      <c r="H54" s="92">
        <v>0.54638884520280551</v>
      </c>
      <c r="I54" s="57">
        <v>7.7680995187542392E-6</v>
      </c>
      <c r="J54" s="101">
        <f t="shared" si="2"/>
        <v>3.891034596851696E-2</v>
      </c>
      <c r="K54" s="92">
        <v>0.54638884520280551</v>
      </c>
      <c r="L54" s="57">
        <v>7.1213653628075885E-2</v>
      </c>
      <c r="M54" s="101">
        <f t="shared" si="3"/>
        <v>6.9142882635101735E-5</v>
      </c>
      <c r="N54" s="92">
        <v>0.54638884520280551</v>
      </c>
      <c r="O54" s="57">
        <v>1.2654519440168598E-4</v>
      </c>
      <c r="P54" s="101">
        <f t="shared" si="4"/>
        <v>3.8475979477565125E-4</v>
      </c>
      <c r="Q54" s="92">
        <v>0.54638884520280551</v>
      </c>
      <c r="R54" s="57">
        <v>7.0418676763585515E-4</v>
      </c>
      <c r="S54" s="101">
        <f t="shared" si="5"/>
        <v>3.408404397567252E-4</v>
      </c>
      <c r="T54" s="92">
        <v>0.54638884520280551</v>
      </c>
      <c r="U54" s="57">
        <v>6.2380563356891734E-4</v>
      </c>
      <c r="V54" s="101">
        <f t="shared" si="6"/>
        <v>1.1850705314302483E-4</v>
      </c>
      <c r="W54" s="92">
        <v>0.54638884520280551</v>
      </c>
      <c r="X54" s="57">
        <v>2.168914211618615E-4</v>
      </c>
      <c r="Y54" s="101">
        <f t="shared" si="7"/>
        <v>1.5130305405993081E-4</v>
      </c>
      <c r="Z54" s="92">
        <v>0.54638884520280551</v>
      </c>
      <c r="AA54" s="57">
        <v>2.7691461015052566E-4</v>
      </c>
      <c r="AB54" s="101">
        <f t="shared" si="8"/>
        <v>8.1570463798561128E-5</v>
      </c>
      <c r="AC54" s="92">
        <v>0.54638884520280551</v>
      </c>
      <c r="AD54" s="57">
        <v>1.4929013378427275E-4</v>
      </c>
      <c r="AE54" s="101">
        <f t="shared" si="9"/>
        <v>1.0949016326357255E-4</v>
      </c>
      <c r="AF54" s="92">
        <v>0.54638884520280551</v>
      </c>
      <c r="AG54" s="57">
        <v>2.0038872357090785E-4</v>
      </c>
      <c r="AH54" s="101">
        <f t="shared" si="10"/>
        <v>9.2263456875162276E-5</v>
      </c>
      <c r="AI54" s="92">
        <v>0.54638884520280551</v>
      </c>
      <c r="AJ54" s="57">
        <v>1.6886043279473696E-4</v>
      </c>
      <c r="AK54" s="101">
        <f t="shared" si="11"/>
        <v>2.4727335307181691E-6</v>
      </c>
      <c r="AL54" s="92">
        <v>0.54638884520280551</v>
      </c>
      <c r="AM54" s="57">
        <v>4.5255929955897141E-6</v>
      </c>
      <c r="AN54" s="101">
        <f t="shared" si="12"/>
        <v>2.008849951017059E-5</v>
      </c>
      <c r="AO54" s="92">
        <v>0.54638884520280551</v>
      </c>
      <c r="AP54" s="57">
        <v>3.6765940019720305E-5</v>
      </c>
      <c r="AQ54" s="101">
        <f t="shared" si="13"/>
        <v>1.7430999704733623E-4</v>
      </c>
      <c r="AR54" s="92">
        <v>0.54638884520280551</v>
      </c>
      <c r="AS54" s="57">
        <v>3.1902188080475331E-4</v>
      </c>
      <c r="AT54" s="101">
        <f t="shared" si="14"/>
        <v>3.3484577612575872E-5</v>
      </c>
      <c r="AU54" s="92">
        <v>0.54638884520280551</v>
      </c>
      <c r="AV54" s="57">
        <v>6.1283420967621062E-5</v>
      </c>
      <c r="AW54" s="101">
        <f t="shared" si="15"/>
        <v>6.3485565954189539E-5</v>
      </c>
      <c r="AX54" s="92">
        <v>0.54638884520280551</v>
      </c>
      <c r="AY54" s="57">
        <v>1.1619118236322215E-4</v>
      </c>
      <c r="AZ54" s="101">
        <f t="shared" si="16"/>
        <v>1.6785199656557843E-4</v>
      </c>
      <c r="BA54" s="92">
        <v>0.54638884520280551</v>
      </c>
      <c r="BB54" s="57">
        <v>3.072024585408146E-4</v>
      </c>
      <c r="BC54" s="101">
        <f t="shared" si="17"/>
        <v>3.9321792014631259E-5</v>
      </c>
      <c r="BD54" s="92">
        <v>0.54638884520280551</v>
      </c>
      <c r="BE54" s="57">
        <v>7.1966681530689043E-5</v>
      </c>
      <c r="BF54" s="101">
        <f t="shared" si="18"/>
        <v>5.233479740108649E-5</v>
      </c>
      <c r="BG54" s="92">
        <v>0.54638884520280551</v>
      </c>
      <c r="BH54" s="57">
        <v>9.5783063399951292E-5</v>
      </c>
      <c r="BI54" s="101">
        <f t="shared" si="19"/>
        <v>1.4831912309634868E-4</v>
      </c>
      <c r="BJ54" s="92">
        <v>0.54638884520280551</v>
      </c>
      <c r="BK54" s="57">
        <v>2.7145342442211909E-4</v>
      </c>
      <c r="BL54" s="101">
        <f t="shared" si="20"/>
        <v>1.348477318824906E-4</v>
      </c>
      <c r="BM54" s="92">
        <v>0.54638884520280551</v>
      </c>
      <c r="BN54" s="57">
        <v>2.4679810553679692E-4</v>
      </c>
      <c r="BO54" s="101">
        <f t="shared" si="21"/>
        <v>4.6194606643190602E-5</v>
      </c>
      <c r="BP54" s="92">
        <v>0.54638884520280551</v>
      </c>
      <c r="BQ54" s="57">
        <v>8.4545295989789751E-5</v>
      </c>
      <c r="BR54" s="101">
        <f t="shared" si="22"/>
        <v>7.1914298839081576E-5</v>
      </c>
      <c r="BS54" s="92">
        <v>0.54638884520280551</v>
      </c>
      <c r="BT54" s="57">
        <v>1.316174359533069E-4</v>
      </c>
      <c r="BU54" s="101">
        <f t="shared" si="23"/>
        <v>4.9960930695808489E-5</v>
      </c>
      <c r="BV54" s="92">
        <v>0.54638884520280551</v>
      </c>
      <c r="BW54" s="57">
        <v>9.1438416311856205E-5</v>
      </c>
      <c r="BX54" s="101">
        <f t="shared" si="24"/>
        <v>2.4168974223834962E-4</v>
      </c>
      <c r="BY54" s="92">
        <v>0.54638884520280551</v>
      </c>
      <c r="BZ54" s="57">
        <v>4.4234018384588469E-4</v>
      </c>
      <c r="CA54" s="101">
        <f t="shared" si="25"/>
        <v>5.7407654769573102E-5</v>
      </c>
      <c r="CB54" s="92">
        <v>0.54638884520280551</v>
      </c>
      <c r="CC54" s="57">
        <v>1.0506739892953864E-4</v>
      </c>
      <c r="CD54" s="101">
        <f t="shared" si="26"/>
        <v>1.6430934388166897E-5</v>
      </c>
      <c r="CE54" s="92">
        <v>0.54638884520280551</v>
      </c>
      <c r="CF54" s="57">
        <v>3.0071870120386804E-5</v>
      </c>
      <c r="CG54" s="101">
        <f t="shared" si="27"/>
        <v>7.177756506271644E-5</v>
      </c>
      <c r="CH54" s="92">
        <v>0.54638884520280551</v>
      </c>
      <c r="CI54" s="57">
        <v>1.3136718601214204E-4</v>
      </c>
      <c r="CJ54" s="101">
        <f t="shared" si="28"/>
        <v>1.2029938015030668E-4</v>
      </c>
      <c r="CK54" s="92">
        <v>0.54638884520280551</v>
      </c>
      <c r="CL54" s="57">
        <v>2.2017173521478946E-4</v>
      </c>
      <c r="CM54" s="101">
        <f t="shared" si="29"/>
        <v>0</v>
      </c>
      <c r="CN54" s="92">
        <v>0.54638884520280551</v>
      </c>
      <c r="CO54" s="57">
        <v>0</v>
      </c>
    </row>
    <row r="55" spans="1:93">
      <c r="A55" s="38">
        <v>49</v>
      </c>
      <c r="B55" s="68" t="s">
        <v>37</v>
      </c>
      <c r="C55" s="46" t="s">
        <v>36</v>
      </c>
      <c r="D55" s="101">
        <f t="shared" si="0"/>
        <v>2.7908271564924635E-4</v>
      </c>
      <c r="E55" s="92">
        <v>0.51270093827102836</v>
      </c>
      <c r="F55" s="57">
        <v>5.4433821906078753E-4</v>
      </c>
      <c r="G55" s="101">
        <f t="shared" si="1"/>
        <v>1.5244029137387925E-5</v>
      </c>
      <c r="H55" s="92">
        <v>0.51270093827102836</v>
      </c>
      <c r="I55" s="57">
        <v>2.9732789623508543E-5</v>
      </c>
      <c r="J55" s="101">
        <f t="shared" si="2"/>
        <v>5.2724539636558121E-5</v>
      </c>
      <c r="K55" s="92">
        <v>0.51270093827102836</v>
      </c>
      <c r="L55" s="57">
        <v>1.0283683079332776E-4</v>
      </c>
      <c r="M55" s="101">
        <f t="shared" si="3"/>
        <v>2.0673573032604296E-4</v>
      </c>
      <c r="N55" s="92">
        <v>0.51270093827102836</v>
      </c>
      <c r="O55" s="57">
        <v>4.0322869512042232E-4</v>
      </c>
      <c r="P55" s="101">
        <f t="shared" si="4"/>
        <v>3.5299460293632183E-4</v>
      </c>
      <c r="Q55" s="92">
        <v>0.51270093827102836</v>
      </c>
      <c r="R55" s="57">
        <v>6.885000135297564E-4</v>
      </c>
      <c r="S55" s="101">
        <f t="shared" si="5"/>
        <v>3.9100262223871682E-4</v>
      </c>
      <c r="T55" s="92">
        <v>0.51270093827102836</v>
      </c>
      <c r="U55" s="57">
        <v>7.6263293677067867E-4</v>
      </c>
      <c r="V55" s="101">
        <f t="shared" si="6"/>
        <v>1.9545150892977224E-4</v>
      </c>
      <c r="W55" s="92">
        <v>0.51270093827102836</v>
      </c>
      <c r="X55" s="57">
        <v>3.8121933146619479E-4</v>
      </c>
      <c r="Y55" s="101">
        <f t="shared" si="7"/>
        <v>2.0056774828241812E-4</v>
      </c>
      <c r="Z55" s="92">
        <v>0.51270093827102836</v>
      </c>
      <c r="AA55" s="57">
        <v>3.9119832500948589E-4</v>
      </c>
      <c r="AB55" s="101">
        <f t="shared" si="8"/>
        <v>7.2908218892548315E-4</v>
      </c>
      <c r="AC55" s="92">
        <v>0.51270093827102836</v>
      </c>
      <c r="AD55" s="57">
        <v>1.4220418464303054E-3</v>
      </c>
      <c r="AE55" s="101">
        <f t="shared" si="9"/>
        <v>2.7971758551316515E-4</v>
      </c>
      <c r="AF55" s="92">
        <v>0.51270093827102836</v>
      </c>
      <c r="AG55" s="57">
        <v>5.4557650402679478E-4</v>
      </c>
      <c r="AH55" s="101">
        <f t="shared" si="10"/>
        <v>1.8136926565382957E-4</v>
      </c>
      <c r="AI55" s="92">
        <v>0.51270093827102836</v>
      </c>
      <c r="AJ55" s="57">
        <v>3.5375255263908373E-4</v>
      </c>
      <c r="AK55" s="101">
        <f t="shared" si="11"/>
        <v>6.3153724189682021E-6</v>
      </c>
      <c r="AL55" s="92">
        <v>0.51270093827102836</v>
      </c>
      <c r="AM55" s="57">
        <v>1.2317848374269438E-5</v>
      </c>
      <c r="AN55" s="101">
        <f t="shared" si="12"/>
        <v>5.7722195721052911E-5</v>
      </c>
      <c r="AO55" s="92">
        <v>0.51270093827102836</v>
      </c>
      <c r="AP55" s="57">
        <v>1.1258453303344515E-4</v>
      </c>
      <c r="AQ55" s="101">
        <f t="shared" si="13"/>
        <v>2.0209861371558129E-4</v>
      </c>
      <c r="AR55" s="92">
        <v>0.51270093827102836</v>
      </c>
      <c r="AS55" s="57">
        <v>3.941842088237923E-4</v>
      </c>
      <c r="AT55" s="101">
        <f t="shared" si="14"/>
        <v>3.7011131439994206E-5</v>
      </c>
      <c r="AU55" s="92">
        <v>0.51270093827102836</v>
      </c>
      <c r="AV55" s="57">
        <v>7.2188538536336884E-5</v>
      </c>
      <c r="AW55" s="101">
        <f t="shared" si="15"/>
        <v>1.1897315993127944E-4</v>
      </c>
      <c r="AX55" s="92">
        <v>0.51270093827102836</v>
      </c>
      <c r="AY55" s="57">
        <v>2.3205176946328667E-4</v>
      </c>
      <c r="AZ55" s="101">
        <f t="shared" si="16"/>
        <v>3.4718711753290598E-4</v>
      </c>
      <c r="BA55" s="92">
        <v>0.51270093827102836</v>
      </c>
      <c r="BB55" s="57">
        <v>6.7717277581687003E-4</v>
      </c>
      <c r="BC55" s="101">
        <f t="shared" si="17"/>
        <v>8.4344426119012543E-5</v>
      </c>
      <c r="BD55" s="92">
        <v>0.51270093827102836</v>
      </c>
      <c r="BE55" s="57">
        <v>1.6450998978750781E-4</v>
      </c>
      <c r="BF55" s="101">
        <f t="shared" si="18"/>
        <v>8.8031485035283E-5</v>
      </c>
      <c r="BG55" s="92">
        <v>0.51270093827102836</v>
      </c>
      <c r="BH55" s="57">
        <v>1.7170143150537214E-4</v>
      </c>
      <c r="BI55" s="101">
        <f t="shared" si="19"/>
        <v>2.72347094777523E-4</v>
      </c>
      <c r="BJ55" s="92">
        <v>0.51270093827102836</v>
      </c>
      <c r="BK55" s="57">
        <v>5.3120069507957984E-4</v>
      </c>
      <c r="BL55" s="101">
        <f t="shared" si="20"/>
        <v>2.1167675494732186E-4</v>
      </c>
      <c r="BM55" s="92">
        <v>0.51270093827102836</v>
      </c>
      <c r="BN55" s="57">
        <v>4.1286594025194369E-4</v>
      </c>
      <c r="BO55" s="101">
        <f t="shared" si="21"/>
        <v>1.4689468694846345E-3</v>
      </c>
      <c r="BP55" s="92">
        <v>0.51270093827102836</v>
      </c>
      <c r="BQ55" s="57">
        <v>2.8651144552969536E-3</v>
      </c>
      <c r="BR55" s="101">
        <f t="shared" si="22"/>
        <v>4.5179663105005653E-4</v>
      </c>
      <c r="BS55" s="92">
        <v>0.51270093827102836</v>
      </c>
      <c r="BT55" s="57">
        <v>8.8120890235473669E-4</v>
      </c>
      <c r="BU55" s="101">
        <f t="shared" si="23"/>
        <v>1.0426485378740302E-3</v>
      </c>
      <c r="BV55" s="92">
        <v>0.51270093827102836</v>
      </c>
      <c r="BW55" s="57">
        <v>2.0336388331765767E-3</v>
      </c>
      <c r="BX55" s="101">
        <f t="shared" si="24"/>
        <v>2.471630258373345E-4</v>
      </c>
      <c r="BY55" s="92">
        <v>0.51270093827102836</v>
      </c>
      <c r="BZ55" s="57">
        <v>4.8208030722712874E-4</v>
      </c>
      <c r="CA55" s="101">
        <f t="shared" si="25"/>
        <v>9.3385957994632739E-4</v>
      </c>
      <c r="CB55" s="92">
        <v>0.51270093827102836</v>
      </c>
      <c r="CC55" s="57">
        <v>1.8214508892758503E-3</v>
      </c>
      <c r="CD55" s="101">
        <f t="shared" si="26"/>
        <v>2.2651137558324261E-4</v>
      </c>
      <c r="CE55" s="92">
        <v>0.51270093827102836</v>
      </c>
      <c r="CF55" s="57">
        <v>4.4180019710340809E-4</v>
      </c>
      <c r="CG55" s="101">
        <f t="shared" si="27"/>
        <v>1.1014502214559307E-2</v>
      </c>
      <c r="CH55" s="92">
        <v>0.51270093827102836</v>
      </c>
      <c r="CI55" s="57">
        <v>2.1483288584770888E-2</v>
      </c>
      <c r="CJ55" s="101">
        <f t="shared" si="28"/>
        <v>4.2613755627463409E-4</v>
      </c>
      <c r="CK55" s="92">
        <v>0.51270093827102836</v>
      </c>
      <c r="CL55" s="57">
        <v>8.311620370964986E-4</v>
      </c>
      <c r="CM55" s="101">
        <f t="shared" si="29"/>
        <v>0</v>
      </c>
      <c r="CN55" s="92">
        <v>0.51270093827102836</v>
      </c>
      <c r="CO55" s="57">
        <v>0</v>
      </c>
    </row>
    <row r="56" spans="1:93" ht="22.5">
      <c r="A56" s="38">
        <v>50</v>
      </c>
      <c r="B56" s="68" t="s">
        <v>35</v>
      </c>
      <c r="C56" s="46" t="s">
        <v>34</v>
      </c>
      <c r="D56" s="101">
        <f t="shared" si="0"/>
        <v>1.5659699866201159E-2</v>
      </c>
      <c r="E56" s="92">
        <v>0.74292325511988566</v>
      </c>
      <c r="F56" s="57">
        <v>2.1078489276357554E-2</v>
      </c>
      <c r="G56" s="101">
        <f t="shared" si="1"/>
        <v>2.698157851815429E-4</v>
      </c>
      <c r="H56" s="92">
        <v>0.74292325511988566</v>
      </c>
      <c r="I56" s="57">
        <v>3.6318123483427997E-4</v>
      </c>
      <c r="J56" s="101">
        <f t="shared" si="2"/>
        <v>2.2830610075488963E-3</v>
      </c>
      <c r="K56" s="92">
        <v>0.74292325511988566</v>
      </c>
      <c r="L56" s="57">
        <v>3.0730778607549148E-3</v>
      </c>
      <c r="M56" s="101">
        <f t="shared" si="3"/>
        <v>3.0587383226078945E-3</v>
      </c>
      <c r="N56" s="92">
        <v>0.74292325511988566</v>
      </c>
      <c r="O56" s="57">
        <v>4.1171659408000428E-3</v>
      </c>
      <c r="P56" s="101">
        <f t="shared" si="4"/>
        <v>2.4399685969543405E-2</v>
      </c>
      <c r="Q56" s="92">
        <v>0.74292325511988566</v>
      </c>
      <c r="R56" s="57">
        <v>3.2842808192356319E-2</v>
      </c>
      <c r="S56" s="101">
        <f t="shared" si="5"/>
        <v>1.9685533395203307E-3</v>
      </c>
      <c r="T56" s="92">
        <v>0.74292325511988566</v>
      </c>
      <c r="U56" s="57">
        <v>2.6497398297252988E-3</v>
      </c>
      <c r="V56" s="101">
        <f t="shared" si="6"/>
        <v>4.681049077260864E-3</v>
      </c>
      <c r="W56" s="92">
        <v>0.74292325511988566</v>
      </c>
      <c r="X56" s="57">
        <v>6.3008514607682895E-3</v>
      </c>
      <c r="Y56" s="101">
        <f t="shared" si="7"/>
        <v>4.52639435410211E-3</v>
      </c>
      <c r="Z56" s="92">
        <v>0.74292325511988566</v>
      </c>
      <c r="AA56" s="57">
        <v>6.0926809369719953E-3</v>
      </c>
      <c r="AB56" s="101">
        <f t="shared" si="8"/>
        <v>4.4135914638512037E-3</v>
      </c>
      <c r="AC56" s="92">
        <v>0.74292325511988566</v>
      </c>
      <c r="AD56" s="57">
        <v>5.940844405441288E-3</v>
      </c>
      <c r="AE56" s="101">
        <f t="shared" si="9"/>
        <v>5.5967805707345013E-3</v>
      </c>
      <c r="AF56" s="92">
        <v>0.74292325511988566</v>
      </c>
      <c r="AG56" s="57">
        <v>7.533457234194867E-3</v>
      </c>
      <c r="AH56" s="101">
        <f t="shared" si="10"/>
        <v>5.2165907006729477E-3</v>
      </c>
      <c r="AI56" s="92">
        <v>0.74292325511988566</v>
      </c>
      <c r="AJ56" s="57">
        <v>7.0217087225667016E-3</v>
      </c>
      <c r="AK56" s="101">
        <f t="shared" si="11"/>
        <v>1.3808296583729074E-4</v>
      </c>
      <c r="AL56" s="92">
        <v>0.74292325511988566</v>
      </c>
      <c r="AM56" s="57">
        <v>1.8586437412705336E-4</v>
      </c>
      <c r="AN56" s="101">
        <f t="shared" si="12"/>
        <v>1.2437950718174819E-3</v>
      </c>
      <c r="AO56" s="92">
        <v>0.74292325511988566</v>
      </c>
      <c r="AP56" s="57">
        <v>1.6741905213571091E-3</v>
      </c>
      <c r="AQ56" s="101">
        <f t="shared" si="13"/>
        <v>7.3170782268448357E-3</v>
      </c>
      <c r="AR56" s="92">
        <v>0.74292325511988566</v>
      </c>
      <c r="AS56" s="57">
        <v>9.8490364602519774E-3</v>
      </c>
      <c r="AT56" s="101">
        <f t="shared" si="14"/>
        <v>8.4234293315984057E-4</v>
      </c>
      <c r="AU56" s="92">
        <v>0.74292325511988566</v>
      </c>
      <c r="AV56" s="57">
        <v>1.1338222721590692E-3</v>
      </c>
      <c r="AW56" s="101">
        <f t="shared" si="15"/>
        <v>2.6955472599932999E-3</v>
      </c>
      <c r="AX56" s="92">
        <v>0.74292325511988566</v>
      </c>
      <c r="AY56" s="57">
        <v>3.6282984028522826E-3</v>
      </c>
      <c r="AZ56" s="101">
        <f t="shared" si="16"/>
        <v>7.6862068809001021E-3</v>
      </c>
      <c r="BA56" s="92">
        <v>0.74292325511988566</v>
      </c>
      <c r="BB56" s="57">
        <v>1.034589619847043E-2</v>
      </c>
      <c r="BC56" s="101">
        <f t="shared" si="17"/>
        <v>1.9035423865131867E-3</v>
      </c>
      <c r="BD56" s="92">
        <v>0.74292325511988566</v>
      </c>
      <c r="BE56" s="57">
        <v>2.5622328731734366E-3</v>
      </c>
      <c r="BF56" s="101">
        <f t="shared" si="18"/>
        <v>1.8881957987659983E-3</v>
      </c>
      <c r="BG56" s="92">
        <v>0.74292325511988566</v>
      </c>
      <c r="BH56" s="57">
        <v>2.541575843471611E-3</v>
      </c>
      <c r="BI56" s="101">
        <f t="shared" si="19"/>
        <v>5.7859939485730826E-3</v>
      </c>
      <c r="BJ56" s="92">
        <v>0.74292325511988566</v>
      </c>
      <c r="BK56" s="57">
        <v>7.7881448840087736E-3</v>
      </c>
      <c r="BL56" s="101">
        <f t="shared" si="20"/>
        <v>4.539676180846261E-3</v>
      </c>
      <c r="BM56" s="92">
        <v>0.74292325511988566</v>
      </c>
      <c r="BN56" s="57">
        <v>6.1105587280528631E-3</v>
      </c>
      <c r="BO56" s="101">
        <f t="shared" si="21"/>
        <v>2.0101265032764576E-2</v>
      </c>
      <c r="BP56" s="92">
        <v>0.74292325511988566</v>
      </c>
      <c r="BQ56" s="57">
        <v>2.7056987238232071E-2</v>
      </c>
      <c r="BR56" s="101">
        <f t="shared" si="22"/>
        <v>1.3911481214809455E-2</v>
      </c>
      <c r="BS56" s="92">
        <v>0.74292325511988566</v>
      </c>
      <c r="BT56" s="57">
        <v>1.8725327439863968E-2</v>
      </c>
      <c r="BU56" s="101">
        <f t="shared" si="23"/>
        <v>0.75156978489564641</v>
      </c>
      <c r="BV56" s="92">
        <v>0.74292325511988566</v>
      </c>
      <c r="BW56" s="57">
        <v>1.0116385235166254</v>
      </c>
      <c r="BX56" s="101">
        <f t="shared" si="24"/>
        <v>6.3977808501417734E-3</v>
      </c>
      <c r="BY56" s="92">
        <v>0.74292325511988566</v>
      </c>
      <c r="BZ56" s="57">
        <v>8.6116308865703262E-3</v>
      </c>
      <c r="CA56" s="101">
        <f t="shared" si="25"/>
        <v>1.3212035045777105E-3</v>
      </c>
      <c r="CB56" s="92">
        <v>0.74292325511988566</v>
      </c>
      <c r="CC56" s="57">
        <v>1.778384907825382E-3</v>
      </c>
      <c r="CD56" s="101">
        <f t="shared" si="26"/>
        <v>1.0318417042999958E-3</v>
      </c>
      <c r="CE56" s="92">
        <v>0.74292325511988566</v>
      </c>
      <c r="CF56" s="57">
        <v>1.3888940710753326E-3</v>
      </c>
      <c r="CG56" s="101">
        <f t="shared" si="27"/>
        <v>1.6107762175145767E-2</v>
      </c>
      <c r="CH56" s="92">
        <v>0.74292325511988566</v>
      </c>
      <c r="CI56" s="57">
        <v>2.1681596401968133E-2</v>
      </c>
      <c r="CJ56" s="101">
        <f t="shared" si="28"/>
        <v>7.3513447989357371E-3</v>
      </c>
      <c r="CK56" s="92">
        <v>0.74292325511988566</v>
      </c>
      <c r="CL56" s="57">
        <v>9.8951604331586705E-3</v>
      </c>
      <c r="CM56" s="101">
        <f t="shared" si="29"/>
        <v>0</v>
      </c>
      <c r="CN56" s="92">
        <v>0.74292325511988566</v>
      </c>
      <c r="CO56" s="57">
        <v>0</v>
      </c>
    </row>
    <row r="57" spans="1:93">
      <c r="A57" s="38">
        <v>51</v>
      </c>
      <c r="B57" s="68" t="s">
        <v>33</v>
      </c>
      <c r="C57" s="46" t="s">
        <v>32</v>
      </c>
      <c r="D57" s="101">
        <f t="shared" si="0"/>
        <v>2.4793119071102531E-5</v>
      </c>
      <c r="E57" s="92">
        <v>0.71486495722529209</v>
      </c>
      <c r="F57" s="57">
        <v>3.4682241478636218E-5</v>
      </c>
      <c r="G57" s="101">
        <f t="shared" si="1"/>
        <v>7.7047943082965907E-6</v>
      </c>
      <c r="H57" s="92">
        <v>0.71486495722529209</v>
      </c>
      <c r="I57" s="57">
        <v>1.0777971741966923E-5</v>
      </c>
      <c r="J57" s="101">
        <f t="shared" si="2"/>
        <v>4.2544825755170675E-6</v>
      </c>
      <c r="K57" s="92">
        <v>0.71486495722529209</v>
      </c>
      <c r="L57" s="57">
        <v>5.9514493367119309E-6</v>
      </c>
      <c r="M57" s="101">
        <f t="shared" si="3"/>
        <v>1.4573465060862144E-5</v>
      </c>
      <c r="N57" s="92">
        <v>0.71486495722529209</v>
      </c>
      <c r="O57" s="57">
        <v>2.0386319001323306E-5</v>
      </c>
      <c r="P57" s="101">
        <f t="shared" si="4"/>
        <v>1.8057500248579184E-5</v>
      </c>
      <c r="Q57" s="92">
        <v>0.71486495722529209</v>
      </c>
      <c r="R57" s="57">
        <v>2.5260015987730534E-5</v>
      </c>
      <c r="S57" s="101">
        <f t="shared" si="5"/>
        <v>1.0284425799839913E-5</v>
      </c>
      <c r="T57" s="92">
        <v>0.71486495722529209</v>
      </c>
      <c r="U57" s="57">
        <v>1.4386529505878049E-5</v>
      </c>
      <c r="V57" s="101">
        <f t="shared" si="6"/>
        <v>8.9256406286880713E-6</v>
      </c>
      <c r="W57" s="92">
        <v>0.71486495722529209</v>
      </c>
      <c r="X57" s="57">
        <v>1.2485771667046654E-5</v>
      </c>
      <c r="Y57" s="101">
        <f t="shared" si="7"/>
        <v>8.0368206617038922E-6</v>
      </c>
      <c r="Z57" s="92">
        <v>0.71486495722529209</v>
      </c>
      <c r="AA57" s="57">
        <v>1.1242431987292197E-5</v>
      </c>
      <c r="AB57" s="101">
        <f t="shared" si="8"/>
        <v>1.3550009640890019E-5</v>
      </c>
      <c r="AC57" s="92">
        <v>0.71486495722529209</v>
      </c>
      <c r="AD57" s="57">
        <v>1.8954642417336577E-5</v>
      </c>
      <c r="AE57" s="101">
        <f t="shared" si="9"/>
        <v>1.0485050108197346E-5</v>
      </c>
      <c r="AF57" s="92">
        <v>0.71486495722529209</v>
      </c>
      <c r="AG57" s="57">
        <v>1.4667175950118574E-5</v>
      </c>
      <c r="AH57" s="101">
        <f t="shared" si="10"/>
        <v>1.0530050191123197E-5</v>
      </c>
      <c r="AI57" s="92">
        <v>0.71486495722529209</v>
      </c>
      <c r="AJ57" s="57">
        <v>1.4730125018290155E-5</v>
      </c>
      <c r="AK57" s="101">
        <f t="shared" si="11"/>
        <v>2.9307185017498881E-7</v>
      </c>
      <c r="AL57" s="92">
        <v>0.71486495722529209</v>
      </c>
      <c r="AM57" s="57">
        <v>4.0996813064180767E-7</v>
      </c>
      <c r="AN57" s="101">
        <f t="shared" si="12"/>
        <v>2.726335107330636E-6</v>
      </c>
      <c r="AO57" s="92">
        <v>0.71486495722529209</v>
      </c>
      <c r="AP57" s="57">
        <v>3.8137764059840779E-6</v>
      </c>
      <c r="AQ57" s="101">
        <f t="shared" si="13"/>
        <v>1.3248680883658907E-5</v>
      </c>
      <c r="AR57" s="92">
        <v>0.71486495722529209</v>
      </c>
      <c r="AS57" s="57">
        <v>1.8533123983420468E-5</v>
      </c>
      <c r="AT57" s="101">
        <f t="shared" si="14"/>
        <v>1.5183219142081899E-6</v>
      </c>
      <c r="AU57" s="92">
        <v>0.71486495722529209</v>
      </c>
      <c r="AV57" s="57">
        <v>2.1239283012297464E-6</v>
      </c>
      <c r="AW57" s="101">
        <f t="shared" si="15"/>
        <v>4.8602640241317083E-6</v>
      </c>
      <c r="AX57" s="92">
        <v>0.71486495722529209</v>
      </c>
      <c r="AY57" s="57">
        <v>6.7988561685783961E-6</v>
      </c>
      <c r="AZ57" s="101">
        <f t="shared" si="16"/>
        <v>1.3193719120100231E-5</v>
      </c>
      <c r="BA57" s="92">
        <v>0.71486495722529209</v>
      </c>
      <c r="BB57" s="57">
        <v>1.8456239862855924E-5</v>
      </c>
      <c r="BC57" s="101">
        <f t="shared" si="17"/>
        <v>3.9034897203505937E-6</v>
      </c>
      <c r="BD57" s="92">
        <v>0.71486495722529209</v>
      </c>
      <c r="BE57" s="57">
        <v>5.4604575044519849E-6</v>
      </c>
      <c r="BF57" s="101">
        <f t="shared" si="18"/>
        <v>3.22534720534192E-6</v>
      </c>
      <c r="BG57" s="92">
        <v>0.71486495722529209</v>
      </c>
      <c r="BH57" s="57">
        <v>4.5118272657550916E-6</v>
      </c>
      <c r="BI57" s="101">
        <f t="shared" si="19"/>
        <v>1.0867232267010744E-5</v>
      </c>
      <c r="BJ57" s="92">
        <v>0.71486495722529209</v>
      </c>
      <c r="BK57" s="57">
        <v>1.5201797426455609E-5</v>
      </c>
      <c r="BL57" s="101">
        <f t="shared" si="20"/>
        <v>1.2252098347011735E-5</v>
      </c>
      <c r="BM57" s="92">
        <v>0.71486495722529209</v>
      </c>
      <c r="BN57" s="57">
        <v>1.7139038951591027E-5</v>
      </c>
      <c r="BO57" s="101">
        <f t="shared" si="21"/>
        <v>1.1208049397893604E-5</v>
      </c>
      <c r="BP57" s="92">
        <v>0.71486495722529209</v>
      </c>
      <c r="BQ57" s="57">
        <v>1.5678554788021802E-5</v>
      </c>
      <c r="BR57" s="101">
        <f t="shared" si="22"/>
        <v>2.7612275492520495E-5</v>
      </c>
      <c r="BS57" s="92">
        <v>0.71486495722529209</v>
      </c>
      <c r="BT57" s="57">
        <v>3.8625862428193405E-5</v>
      </c>
      <c r="BU57" s="101">
        <f t="shared" si="23"/>
        <v>1.9904982510290627E-4</v>
      </c>
      <c r="BV57" s="92">
        <v>0.71486495722529209</v>
      </c>
      <c r="BW57" s="57">
        <v>2.7844395377206194E-4</v>
      </c>
      <c r="BX57" s="101">
        <f t="shared" si="24"/>
        <v>2.3346970515535192E-5</v>
      </c>
      <c r="BY57" s="92">
        <v>0.71486495722529209</v>
      </c>
      <c r="BZ57" s="57">
        <v>3.2659274006317412E-5</v>
      </c>
      <c r="CA57" s="101">
        <f t="shared" si="25"/>
        <v>2.5093378839269082E-4</v>
      </c>
      <c r="CB57" s="92">
        <v>0.71486495722529209</v>
      </c>
      <c r="CC57" s="57">
        <v>3.5102264540519108E-4</v>
      </c>
      <c r="CD57" s="101">
        <f t="shared" si="26"/>
        <v>2.3354038203846171E-5</v>
      </c>
      <c r="CE57" s="92">
        <v>0.71486495722529209</v>
      </c>
      <c r="CF57" s="57">
        <v>3.2669160752393779E-5</v>
      </c>
      <c r="CG57" s="101">
        <f t="shared" si="27"/>
        <v>5.142611134673203E-4</v>
      </c>
      <c r="CH57" s="92">
        <v>0.71486495722529209</v>
      </c>
      <c r="CI57" s="57">
        <v>7.1938218298375647E-4</v>
      </c>
      <c r="CJ57" s="101">
        <f t="shared" si="28"/>
        <v>1.4762967547581103E-4</v>
      </c>
      <c r="CK57" s="92">
        <v>0.71486495722529209</v>
      </c>
      <c r="CL57" s="57">
        <v>2.065140751182255E-4</v>
      </c>
      <c r="CM57" s="101">
        <f t="shared" si="29"/>
        <v>0</v>
      </c>
      <c r="CN57" s="92">
        <v>0.71486495722529209</v>
      </c>
      <c r="CO57" s="57">
        <v>0</v>
      </c>
    </row>
    <row r="58" spans="1:93">
      <c r="A58" s="38">
        <v>52</v>
      </c>
      <c r="B58" s="68" t="s">
        <v>31</v>
      </c>
      <c r="C58" s="46" t="s">
        <v>30</v>
      </c>
      <c r="D58" s="101">
        <f t="shared" si="0"/>
        <v>4.4898796849540382E-5</v>
      </c>
      <c r="E58" s="92">
        <v>0.57473078623083074</v>
      </c>
      <c r="F58" s="57">
        <v>7.812144037731703E-5</v>
      </c>
      <c r="G58" s="101">
        <f t="shared" si="1"/>
        <v>3.9611591026652499E-6</v>
      </c>
      <c r="H58" s="92">
        <v>0.57473078623083074</v>
      </c>
      <c r="I58" s="57">
        <v>6.8921992654040949E-6</v>
      </c>
      <c r="J58" s="101">
        <f t="shared" si="2"/>
        <v>2.5480800226962036E-5</v>
      </c>
      <c r="K58" s="92">
        <v>0.57473078623083074</v>
      </c>
      <c r="L58" s="57">
        <v>4.4335192819700651E-5</v>
      </c>
      <c r="M58" s="101">
        <f t="shared" si="3"/>
        <v>1.9842792540330629E-5</v>
      </c>
      <c r="N58" s="92">
        <v>0.57473078623083074</v>
      </c>
      <c r="O58" s="57">
        <v>3.4525369121885027E-5</v>
      </c>
      <c r="P58" s="101">
        <f t="shared" si="4"/>
        <v>5.8895559650138106E-5</v>
      </c>
      <c r="Q58" s="92">
        <v>0.57473078623083074</v>
      </c>
      <c r="R58" s="57">
        <v>1.0247503885494611E-4</v>
      </c>
      <c r="S58" s="101">
        <f t="shared" si="5"/>
        <v>6.5903268973175759E-5</v>
      </c>
      <c r="T58" s="92">
        <v>0.57473078623083074</v>
      </c>
      <c r="U58" s="57">
        <v>1.1466806816697453E-4</v>
      </c>
      <c r="V58" s="101">
        <f t="shared" si="6"/>
        <v>1.5356856573703348E-5</v>
      </c>
      <c r="W58" s="92">
        <v>0.57473078623083074</v>
      </c>
      <c r="X58" s="57">
        <v>2.6720086937426616E-5</v>
      </c>
      <c r="Y58" s="101">
        <f t="shared" si="7"/>
        <v>1.6327820352797464E-5</v>
      </c>
      <c r="Z58" s="92">
        <v>0.57473078623083074</v>
      </c>
      <c r="AA58" s="57">
        <v>2.8409510581254432E-5</v>
      </c>
      <c r="AB58" s="101">
        <f t="shared" si="8"/>
        <v>8.6003293970295057E-5</v>
      </c>
      <c r="AC58" s="92">
        <v>0.57473078623083074</v>
      </c>
      <c r="AD58" s="57">
        <v>1.496410076347525E-4</v>
      </c>
      <c r="AE58" s="101">
        <f t="shared" si="9"/>
        <v>3.2744354121795564E-5</v>
      </c>
      <c r="AF58" s="92">
        <v>0.57473078623083074</v>
      </c>
      <c r="AG58" s="57">
        <v>5.6973377633966454E-5</v>
      </c>
      <c r="AH58" s="101">
        <f t="shared" si="10"/>
        <v>2.3502541965374647E-5</v>
      </c>
      <c r="AI58" s="92">
        <v>0.57473078623083074</v>
      </c>
      <c r="AJ58" s="57">
        <v>4.0893132103654624E-5</v>
      </c>
      <c r="AK58" s="101">
        <f t="shared" si="11"/>
        <v>5.8050753353472819E-7</v>
      </c>
      <c r="AL58" s="92">
        <v>0.57473078623083074</v>
      </c>
      <c r="AM58" s="57">
        <v>1.010051223011355E-6</v>
      </c>
      <c r="AN58" s="101">
        <f t="shared" si="12"/>
        <v>4.6611180035894972E-6</v>
      </c>
      <c r="AO58" s="92">
        <v>0.57473078623083074</v>
      </c>
      <c r="AP58" s="57">
        <v>8.1100893066087461E-6</v>
      </c>
      <c r="AQ58" s="101">
        <f t="shared" si="13"/>
        <v>2.8005028184748189E-5</v>
      </c>
      <c r="AR58" s="92">
        <v>0.57473078623083074</v>
      </c>
      <c r="AS58" s="57">
        <v>4.8727210818841452E-5</v>
      </c>
      <c r="AT58" s="101">
        <f t="shared" si="14"/>
        <v>3.0074432645727408E-6</v>
      </c>
      <c r="AU58" s="92">
        <v>0.57473078623083074</v>
      </c>
      <c r="AV58" s="57">
        <v>5.2327860915473092E-6</v>
      </c>
      <c r="AW58" s="101">
        <f t="shared" si="15"/>
        <v>8.7127608263225389E-6</v>
      </c>
      <c r="AX58" s="92">
        <v>0.57473078623083074</v>
      </c>
      <c r="AY58" s="57">
        <v>1.5159725274962404E-5</v>
      </c>
      <c r="AZ58" s="101">
        <f t="shared" si="16"/>
        <v>2.561631767663451E-5</v>
      </c>
      <c r="BA58" s="92">
        <v>0.57473078623083074</v>
      </c>
      <c r="BB58" s="57">
        <v>4.457098573861007E-5</v>
      </c>
      <c r="BC58" s="101">
        <f t="shared" si="17"/>
        <v>6.4571534507290947E-6</v>
      </c>
      <c r="BD58" s="92">
        <v>0.57473078623083074</v>
      </c>
      <c r="BE58" s="57">
        <v>1.1235092334405921E-5</v>
      </c>
      <c r="BF58" s="101">
        <f t="shared" si="18"/>
        <v>6.2028440276208521E-6</v>
      </c>
      <c r="BG58" s="92">
        <v>0.57473078623083074</v>
      </c>
      <c r="BH58" s="57">
        <v>1.0792607906564425E-5</v>
      </c>
      <c r="BI58" s="101">
        <f t="shared" si="19"/>
        <v>3.3058442293909506E-5</v>
      </c>
      <c r="BJ58" s="92">
        <v>0.57473078623083074</v>
      </c>
      <c r="BK58" s="57">
        <v>5.7519873801630928E-5</v>
      </c>
      <c r="BL58" s="101">
        <f t="shared" si="20"/>
        <v>1.820999196209647E-5</v>
      </c>
      <c r="BM58" s="92">
        <v>0.57473078623083074</v>
      </c>
      <c r="BN58" s="57">
        <v>3.1684385800037408E-5</v>
      </c>
      <c r="BO58" s="101">
        <f t="shared" si="21"/>
        <v>2.7076164707569591E-5</v>
      </c>
      <c r="BP58" s="92">
        <v>0.57473078623083074</v>
      </c>
      <c r="BQ58" s="57">
        <v>4.7111039387917729E-5</v>
      </c>
      <c r="BR58" s="101">
        <f t="shared" si="22"/>
        <v>7.0996512244383449E-5</v>
      </c>
      <c r="BS58" s="92">
        <v>0.57473078623083074</v>
      </c>
      <c r="BT58" s="57">
        <v>1.235300317040419E-4</v>
      </c>
      <c r="BU58" s="101">
        <f t="shared" si="23"/>
        <v>2.2715865401208809E-5</v>
      </c>
      <c r="BV58" s="92">
        <v>0.57473078623083074</v>
      </c>
      <c r="BW58" s="57">
        <v>3.9524358091521086E-5</v>
      </c>
      <c r="BX58" s="101">
        <f t="shared" si="24"/>
        <v>3.1799599385560782E-5</v>
      </c>
      <c r="BY58" s="92">
        <v>0.57473078623083074</v>
      </c>
      <c r="BZ58" s="57">
        <v>5.532955628513872E-5</v>
      </c>
      <c r="CA58" s="101">
        <f t="shared" si="25"/>
        <v>6.1820233898411529E-4</v>
      </c>
      <c r="CB58" s="92">
        <v>0.57473078623083074</v>
      </c>
      <c r="CC58" s="57">
        <v>1.0756381140435811E-3</v>
      </c>
      <c r="CD58" s="101">
        <f t="shared" si="26"/>
        <v>7.2835420055830956E-5</v>
      </c>
      <c r="CE58" s="92">
        <v>0.57473078623083074</v>
      </c>
      <c r="CF58" s="57">
        <v>1.2672963029089913E-4</v>
      </c>
      <c r="CG58" s="101">
        <f t="shared" si="27"/>
        <v>1.53989934101921E-3</v>
      </c>
      <c r="CH58" s="92">
        <v>0.57473078623083074</v>
      </c>
      <c r="CI58" s="57">
        <v>2.6793402718481413E-3</v>
      </c>
      <c r="CJ58" s="101">
        <f t="shared" si="28"/>
        <v>1.3046188302061966E-4</v>
      </c>
      <c r="CK58" s="92">
        <v>0.57473078623083074</v>
      </c>
      <c r="CL58" s="57">
        <v>2.2699651062057754E-4</v>
      </c>
      <c r="CM58" s="101">
        <f t="shared" si="29"/>
        <v>0</v>
      </c>
      <c r="CN58" s="92">
        <v>0.57473078623083074</v>
      </c>
      <c r="CO58" s="57">
        <v>0</v>
      </c>
    </row>
    <row r="59" spans="1:93" ht="22.5">
      <c r="A59" s="38">
        <v>53</v>
      </c>
      <c r="B59" s="68" t="s">
        <v>29</v>
      </c>
      <c r="C59" s="46" t="s">
        <v>28</v>
      </c>
      <c r="D59" s="101">
        <f t="shared" si="0"/>
        <v>3.7238309499151823E-5</v>
      </c>
      <c r="E59" s="92">
        <v>0.48736236942205685</v>
      </c>
      <c r="F59" s="57">
        <v>7.6407847292993134E-5</v>
      </c>
      <c r="G59" s="101">
        <f t="shared" si="1"/>
        <v>1.8939761712305639E-6</v>
      </c>
      <c r="H59" s="92">
        <v>0.48736236942205685</v>
      </c>
      <c r="I59" s="57">
        <v>3.8861764675769959E-6</v>
      </c>
      <c r="J59" s="101">
        <f t="shared" si="2"/>
        <v>1.4313551006843212E-4</v>
      </c>
      <c r="K59" s="92">
        <v>0.48736236942205685</v>
      </c>
      <c r="L59" s="57">
        <v>2.9369421820189085E-4</v>
      </c>
      <c r="M59" s="101">
        <f t="shared" si="3"/>
        <v>6.9258810597673748E-5</v>
      </c>
      <c r="N59" s="92">
        <v>0.48736236942205685</v>
      </c>
      <c r="O59" s="57">
        <v>1.4210947529618454E-4</v>
      </c>
      <c r="P59" s="101">
        <f t="shared" si="4"/>
        <v>1.8016268623696953E-4</v>
      </c>
      <c r="Q59" s="92">
        <v>0.48736236942205685</v>
      </c>
      <c r="R59" s="57">
        <v>3.6966884917811175E-4</v>
      </c>
      <c r="S59" s="101">
        <f t="shared" si="5"/>
        <v>1.6095869656779262E-4</v>
      </c>
      <c r="T59" s="92">
        <v>0.48736236942205685</v>
      </c>
      <c r="U59" s="57">
        <v>3.3026492537506941E-4</v>
      </c>
      <c r="V59" s="101">
        <f t="shared" si="6"/>
        <v>2.7813250341243913E-5</v>
      </c>
      <c r="W59" s="92">
        <v>0.48736236942205685</v>
      </c>
      <c r="X59" s="57">
        <v>5.7068932864526474E-5</v>
      </c>
      <c r="Y59" s="101">
        <f t="shared" si="7"/>
        <v>3.2344720649448082E-5</v>
      </c>
      <c r="Z59" s="92">
        <v>0.48736236942205685</v>
      </c>
      <c r="AA59" s="57">
        <v>6.6366881562489872E-5</v>
      </c>
      <c r="AB59" s="101">
        <f t="shared" si="8"/>
        <v>2.8313699710691371E-4</v>
      </c>
      <c r="AC59" s="92">
        <v>0.48736236942205685</v>
      </c>
      <c r="AD59" s="57">
        <v>5.8095785573817347E-4</v>
      </c>
      <c r="AE59" s="101">
        <f t="shared" si="9"/>
        <v>1.4718101110335372E-4</v>
      </c>
      <c r="AF59" s="92">
        <v>0.48736236942205685</v>
      </c>
      <c r="AG59" s="57">
        <v>3.0199502533995328E-4</v>
      </c>
      <c r="AH59" s="101">
        <f t="shared" si="10"/>
        <v>2.8119282636119037E-5</v>
      </c>
      <c r="AI59" s="92">
        <v>0.48736236942205685</v>
      </c>
      <c r="AJ59" s="57">
        <v>5.7696868696416895E-5</v>
      </c>
      <c r="AK59" s="101">
        <f t="shared" si="11"/>
        <v>6.9931435063163563E-7</v>
      </c>
      <c r="AL59" s="92">
        <v>0.48736236942205685</v>
      </c>
      <c r="AM59" s="57">
        <v>1.4348960742720534E-6</v>
      </c>
      <c r="AN59" s="101">
        <f t="shared" si="12"/>
        <v>7.1273233934413219E-6</v>
      </c>
      <c r="AO59" s="92">
        <v>0.48736236942205685</v>
      </c>
      <c r="AP59" s="57">
        <v>1.462427926450974E-5</v>
      </c>
      <c r="AQ59" s="101">
        <f t="shared" si="13"/>
        <v>4.2963775957302476E-5</v>
      </c>
      <c r="AR59" s="92">
        <v>0.48736236942205685</v>
      </c>
      <c r="AS59" s="57">
        <v>8.8155710520390542E-5</v>
      </c>
      <c r="AT59" s="101">
        <f t="shared" si="14"/>
        <v>4.673895347700035E-6</v>
      </c>
      <c r="AU59" s="92">
        <v>0.48736236942205685</v>
      </c>
      <c r="AV59" s="57">
        <v>9.5901851290706271E-6</v>
      </c>
      <c r="AW59" s="101">
        <f t="shared" si="15"/>
        <v>1.4615635865662329E-5</v>
      </c>
      <c r="AX59" s="92">
        <v>0.48736236942205685</v>
      </c>
      <c r="AY59" s="57">
        <v>2.9989258060679603E-5</v>
      </c>
      <c r="AZ59" s="101">
        <f t="shared" si="16"/>
        <v>3.992596664207338E-5</v>
      </c>
      <c r="BA59" s="92">
        <v>0.48736236942205685</v>
      </c>
      <c r="BB59" s="57">
        <v>8.1922547055530683E-5</v>
      </c>
      <c r="BC59" s="101">
        <f t="shared" si="17"/>
        <v>9.8282765715888796E-6</v>
      </c>
      <c r="BD59" s="92">
        <v>0.48736236942205685</v>
      </c>
      <c r="BE59" s="57">
        <v>2.0166260647583096E-5</v>
      </c>
      <c r="BF59" s="101">
        <f t="shared" si="18"/>
        <v>9.3911884319838974E-6</v>
      </c>
      <c r="BG59" s="92">
        <v>0.48736236942205685</v>
      </c>
      <c r="BH59" s="57">
        <v>1.9269416395690387E-5</v>
      </c>
      <c r="BI59" s="101">
        <f t="shared" si="19"/>
        <v>6.675403239784224E-5</v>
      </c>
      <c r="BJ59" s="92">
        <v>0.48736236942205685</v>
      </c>
      <c r="BK59" s="57">
        <v>1.3697001776522696E-4</v>
      </c>
      <c r="BL59" s="101">
        <f t="shared" si="20"/>
        <v>3.8554821981945424E-5</v>
      </c>
      <c r="BM59" s="92">
        <v>0.48736236942205685</v>
      </c>
      <c r="BN59" s="57">
        <v>7.9109148348211649E-5</v>
      </c>
      <c r="BO59" s="101">
        <f t="shared" si="21"/>
        <v>2.3065847577468202E-5</v>
      </c>
      <c r="BP59" s="92">
        <v>0.48736236942205685</v>
      </c>
      <c r="BQ59" s="57">
        <v>4.7327920710868687E-5</v>
      </c>
      <c r="BR59" s="101">
        <f t="shared" si="22"/>
        <v>8.2725869015291901E-5</v>
      </c>
      <c r="BS59" s="92">
        <v>0.48736236942205685</v>
      </c>
      <c r="BT59" s="57">
        <v>1.6974201170556752E-4</v>
      </c>
      <c r="BU59" s="101">
        <f t="shared" si="23"/>
        <v>3.3839799476461648E-5</v>
      </c>
      <c r="BV59" s="92">
        <v>0.48736236942205685</v>
      </c>
      <c r="BW59" s="57">
        <v>6.9434575994430767E-5</v>
      </c>
      <c r="BX59" s="101">
        <f t="shared" si="24"/>
        <v>0.48739443647174246</v>
      </c>
      <c r="BY59" s="92">
        <v>0.48736236942205685</v>
      </c>
      <c r="BZ59" s="57">
        <v>1.000065797139249</v>
      </c>
      <c r="CA59" s="101">
        <f t="shared" si="25"/>
        <v>2.166607986748635E-4</v>
      </c>
      <c r="CB59" s="92">
        <v>0.48736236942205685</v>
      </c>
      <c r="CC59" s="57">
        <v>4.4455791474379259E-4</v>
      </c>
      <c r="CD59" s="101">
        <f t="shared" si="26"/>
        <v>7.4702337149724565E-5</v>
      </c>
      <c r="CE59" s="92">
        <v>0.48736236942205685</v>
      </c>
      <c r="CF59" s="57">
        <v>1.5327883693259088E-4</v>
      </c>
      <c r="CG59" s="101">
        <f t="shared" si="27"/>
        <v>2.8071353933210932E-3</v>
      </c>
      <c r="CH59" s="92">
        <v>0.48736236942205685</v>
      </c>
      <c r="CI59" s="57">
        <v>5.7598525644274928E-3</v>
      </c>
      <c r="CJ59" s="101">
        <f t="shared" si="28"/>
        <v>2.0914433123672142E-3</v>
      </c>
      <c r="CK59" s="92">
        <v>0.48736236942205685</v>
      </c>
      <c r="CL59" s="57">
        <v>4.2913516586177373E-3</v>
      </c>
      <c r="CM59" s="101">
        <f t="shared" si="29"/>
        <v>0</v>
      </c>
      <c r="CN59" s="92">
        <v>0.48736236942205685</v>
      </c>
      <c r="CO59" s="57">
        <v>0</v>
      </c>
    </row>
    <row r="60" spans="1:93" ht="24.75" customHeight="1">
      <c r="A60" s="38">
        <v>54</v>
      </c>
      <c r="B60" s="67" t="s">
        <v>198</v>
      </c>
      <c r="C60" s="46" t="s">
        <v>161</v>
      </c>
      <c r="D60" s="101">
        <f t="shared" si="0"/>
        <v>8.9254848818985004E-4</v>
      </c>
      <c r="E60" s="92">
        <v>0.6473871194758779</v>
      </c>
      <c r="F60" s="57">
        <v>1.3786936152088626E-3</v>
      </c>
      <c r="G60" s="101">
        <f t="shared" si="1"/>
        <v>1.7266202509240742E-4</v>
      </c>
      <c r="H60" s="92">
        <v>0.6473871194758779</v>
      </c>
      <c r="I60" s="57">
        <v>2.6670599382977211E-4</v>
      </c>
      <c r="J60" s="101">
        <f t="shared" si="2"/>
        <v>1.7808587080442087E-4</v>
      </c>
      <c r="K60" s="92">
        <v>0.6473871194758779</v>
      </c>
      <c r="L60" s="57">
        <v>2.7508405009447591E-4</v>
      </c>
      <c r="M60" s="101">
        <f t="shared" si="3"/>
        <v>2.3515805896350919E-4</v>
      </c>
      <c r="N60" s="92">
        <v>0.6473871194758779</v>
      </c>
      <c r="O60" s="57">
        <v>3.6324179442107568E-4</v>
      </c>
      <c r="P60" s="101">
        <f t="shared" si="4"/>
        <v>7.7743637633119608E-4</v>
      </c>
      <c r="Q60" s="92">
        <v>0.6473871194758779</v>
      </c>
      <c r="R60" s="57">
        <v>1.2008832936938961E-3</v>
      </c>
      <c r="S60" s="101">
        <f t="shared" si="5"/>
        <v>6.5693856485330956E-4</v>
      </c>
      <c r="T60" s="92">
        <v>0.6473871194758779</v>
      </c>
      <c r="U60" s="57">
        <v>1.0147538390710715E-3</v>
      </c>
      <c r="V60" s="101">
        <f t="shared" si="6"/>
        <v>3.0246427226230212E-4</v>
      </c>
      <c r="W60" s="92">
        <v>0.6473871194758779</v>
      </c>
      <c r="X60" s="57">
        <v>4.6720773886755121E-4</v>
      </c>
      <c r="Y60" s="101">
        <f t="shared" si="7"/>
        <v>2.9115426902638847E-4</v>
      </c>
      <c r="Z60" s="92">
        <v>0.6473871194758779</v>
      </c>
      <c r="AA60" s="57">
        <v>4.4973750676736637E-4</v>
      </c>
      <c r="AB60" s="101">
        <f t="shared" si="8"/>
        <v>3.0242181975478102E-4</v>
      </c>
      <c r="AC60" s="92">
        <v>0.6473871194758779</v>
      </c>
      <c r="AD60" s="57">
        <v>4.6714216371746865E-4</v>
      </c>
      <c r="AE60" s="101">
        <f t="shared" si="9"/>
        <v>3.5794115023762623E-4</v>
      </c>
      <c r="AF60" s="92">
        <v>0.6473871194758779</v>
      </c>
      <c r="AG60" s="57">
        <v>5.5290125408644834E-4</v>
      </c>
      <c r="AH60" s="101">
        <f t="shared" si="10"/>
        <v>3.7345674648171345E-4</v>
      </c>
      <c r="AI60" s="92">
        <v>0.6473871194758779</v>
      </c>
      <c r="AJ60" s="57">
        <v>5.7686774303458894E-4</v>
      </c>
      <c r="AK60" s="101">
        <f t="shared" si="11"/>
        <v>1.1415581624551686E-5</v>
      </c>
      <c r="AL60" s="92">
        <v>0.6473871194758779</v>
      </c>
      <c r="AM60" s="57">
        <v>1.7633315957527386E-5</v>
      </c>
      <c r="AN60" s="101">
        <f t="shared" si="12"/>
        <v>9.0228686203217001E-5</v>
      </c>
      <c r="AO60" s="92">
        <v>0.6473871194758779</v>
      </c>
      <c r="AP60" s="57">
        <v>1.393736197227183E-4</v>
      </c>
      <c r="AQ60" s="101">
        <f t="shared" si="13"/>
        <v>9.8899028711021053E-4</v>
      </c>
      <c r="AR60" s="92">
        <v>0.6473871194758779</v>
      </c>
      <c r="AS60" s="57">
        <v>1.5276644489171998E-3</v>
      </c>
      <c r="AT60" s="101">
        <f t="shared" si="14"/>
        <v>5.7641308458614099E-5</v>
      </c>
      <c r="AU60" s="92">
        <v>0.6473871194758779</v>
      </c>
      <c r="AV60" s="57">
        <v>8.9036847852765866E-5</v>
      </c>
      <c r="AW60" s="101">
        <f t="shared" si="15"/>
        <v>1.7546065001682908E-4</v>
      </c>
      <c r="AX60" s="92">
        <v>0.6473871194758779</v>
      </c>
      <c r="AY60" s="57">
        <v>2.7102894811821608E-4</v>
      </c>
      <c r="AZ60" s="101">
        <f t="shared" si="16"/>
        <v>5.0038892430859174E-4</v>
      </c>
      <c r="BA60" s="92">
        <v>0.6473871194758779</v>
      </c>
      <c r="BB60" s="57">
        <v>7.7293617567446304E-4</v>
      </c>
      <c r="BC60" s="101">
        <f t="shared" si="17"/>
        <v>1.2386250874425736E-4</v>
      </c>
      <c r="BD60" s="92">
        <v>0.6473871194758779</v>
      </c>
      <c r="BE60" s="57">
        <v>1.9132680434627117E-4</v>
      </c>
      <c r="BF60" s="101">
        <f t="shared" si="18"/>
        <v>1.222434215790545E-4</v>
      </c>
      <c r="BG60" s="92">
        <v>0.6473871194758779</v>
      </c>
      <c r="BH60" s="57">
        <v>1.8882584762888439E-4</v>
      </c>
      <c r="BI60" s="101">
        <f t="shared" si="19"/>
        <v>3.9377431954864964E-4</v>
      </c>
      <c r="BJ60" s="92">
        <v>0.6473871194758779</v>
      </c>
      <c r="BK60" s="57">
        <v>6.0825170551346121E-4</v>
      </c>
      <c r="BL60" s="101">
        <f t="shared" si="20"/>
        <v>3.2961218971866012E-4</v>
      </c>
      <c r="BM60" s="92">
        <v>0.6473871194758779</v>
      </c>
      <c r="BN60" s="57">
        <v>5.0914233509235227E-4</v>
      </c>
      <c r="BO60" s="101">
        <f t="shared" si="21"/>
        <v>3.2269299104125147E-4</v>
      </c>
      <c r="BP60" s="92">
        <v>0.6473871194758779</v>
      </c>
      <c r="BQ60" s="57">
        <v>4.9845445071953619E-4</v>
      </c>
      <c r="BR60" s="101">
        <f t="shared" si="22"/>
        <v>7.2237121774287004E-4</v>
      </c>
      <c r="BS60" s="92">
        <v>0.6473871194758779</v>
      </c>
      <c r="BT60" s="57">
        <v>1.1158257494027668E-3</v>
      </c>
      <c r="BU60" s="101">
        <f t="shared" si="23"/>
        <v>4.1083574679915807E-4</v>
      </c>
      <c r="BV60" s="92">
        <v>0.6473871194758779</v>
      </c>
      <c r="BW60" s="57">
        <v>6.3460599452730708E-4</v>
      </c>
      <c r="BX60" s="101">
        <f t="shared" si="24"/>
        <v>3.9049501982137457E-3</v>
      </c>
      <c r="BY60" s="92">
        <v>0.6473871194758779</v>
      </c>
      <c r="BZ60" s="57">
        <v>6.0318626687771888E-3</v>
      </c>
      <c r="CA60" s="101">
        <f t="shared" si="25"/>
        <v>1.4629209329167109E-2</v>
      </c>
      <c r="CB60" s="92">
        <v>0.6473871194758779</v>
      </c>
      <c r="CC60" s="57">
        <v>2.2597312935436313E-2</v>
      </c>
      <c r="CD60" s="101">
        <f t="shared" si="26"/>
        <v>1.4355217783999156E-3</v>
      </c>
      <c r="CE60" s="92">
        <v>0.6473871194758779</v>
      </c>
      <c r="CF60" s="57">
        <v>2.2174086187598365E-3</v>
      </c>
      <c r="CG60" s="101">
        <f t="shared" si="27"/>
        <v>5.9136087276347955E-2</v>
      </c>
      <c r="CH60" s="92">
        <v>0.6473871194758779</v>
      </c>
      <c r="CI60" s="57">
        <v>9.1345789091732785E-2</v>
      </c>
      <c r="CJ60" s="101">
        <f t="shared" si="28"/>
        <v>3.9197206529162773E-3</v>
      </c>
      <c r="CK60" s="92">
        <v>0.6473871194758779</v>
      </c>
      <c r="CL60" s="57">
        <v>6.0546781593209149E-3</v>
      </c>
      <c r="CM60" s="101">
        <f t="shared" si="29"/>
        <v>0</v>
      </c>
      <c r="CN60" s="92">
        <v>0.6473871194758779</v>
      </c>
      <c r="CO60" s="57">
        <v>0</v>
      </c>
    </row>
    <row r="61" spans="1:93">
      <c r="A61" s="38">
        <v>55</v>
      </c>
      <c r="B61" s="68" t="s">
        <v>27</v>
      </c>
      <c r="C61" s="46" t="s">
        <v>26</v>
      </c>
      <c r="D61" s="101">
        <f t="shared" si="0"/>
        <v>2.4640838593245997E-4</v>
      </c>
      <c r="E61" s="92">
        <v>0.72333163629521169</v>
      </c>
      <c r="F61" s="57">
        <v>3.4065755397416891E-4</v>
      </c>
      <c r="G61" s="101">
        <f t="shared" si="1"/>
        <v>4.2921239840889056E-5</v>
      </c>
      <c r="H61" s="92">
        <v>0.72333163629521169</v>
      </c>
      <c r="I61" s="57">
        <v>5.933825881130368E-5</v>
      </c>
      <c r="J61" s="101">
        <f t="shared" si="2"/>
        <v>9.5473727896388575E-5</v>
      </c>
      <c r="K61" s="92">
        <v>0.72333163629521169</v>
      </c>
      <c r="L61" s="57">
        <v>1.3199163855930545E-4</v>
      </c>
      <c r="M61" s="101">
        <f t="shared" si="3"/>
        <v>4.4792181083851677E-5</v>
      </c>
      <c r="N61" s="92">
        <v>0.72333163629521169</v>
      </c>
      <c r="O61" s="57">
        <v>6.1924819593499363E-5</v>
      </c>
      <c r="P61" s="101">
        <f t="shared" si="4"/>
        <v>1.8917708318131715E-4</v>
      </c>
      <c r="Q61" s="92">
        <v>0.72333163629521169</v>
      </c>
      <c r="R61" s="57">
        <v>2.6153575163703849E-4</v>
      </c>
      <c r="S61" s="101">
        <f t="shared" si="5"/>
        <v>1.5502050979713866E-4</v>
      </c>
      <c r="T61" s="92">
        <v>0.72333163629521169</v>
      </c>
      <c r="U61" s="57">
        <v>2.1431457165502779E-4</v>
      </c>
      <c r="V61" s="101">
        <f t="shared" si="6"/>
        <v>5.4136900009929815E-5</v>
      </c>
      <c r="W61" s="92">
        <v>0.72333163629521169</v>
      </c>
      <c r="X61" s="57">
        <v>7.4843816160468678E-5</v>
      </c>
      <c r="Y61" s="101">
        <f t="shared" si="7"/>
        <v>5.0406792127065376E-5</v>
      </c>
      <c r="Z61" s="92">
        <v>0.72333163629521169</v>
      </c>
      <c r="AA61" s="57">
        <v>6.9686972887347855E-5</v>
      </c>
      <c r="AB61" s="101">
        <f t="shared" si="8"/>
        <v>5.9170000671417719E-5</v>
      </c>
      <c r="AC61" s="92">
        <v>0.72333163629521169</v>
      </c>
      <c r="AD61" s="57">
        <v>8.1802036164873072E-5</v>
      </c>
      <c r="AE61" s="101">
        <f t="shared" si="9"/>
        <v>6.2448849903372962E-5</v>
      </c>
      <c r="AF61" s="92">
        <v>0.72333163629521169</v>
      </c>
      <c r="AG61" s="57">
        <v>8.633501808828096E-5</v>
      </c>
      <c r="AH61" s="101">
        <f t="shared" si="10"/>
        <v>9.273489855180807E-5</v>
      </c>
      <c r="AI61" s="92">
        <v>0.72333163629521169</v>
      </c>
      <c r="AJ61" s="57">
        <v>1.2820522966032745E-4</v>
      </c>
      <c r="AK61" s="101">
        <f t="shared" si="11"/>
        <v>2.4874292966876227E-6</v>
      </c>
      <c r="AL61" s="92">
        <v>0.72333163629521169</v>
      </c>
      <c r="AM61" s="57">
        <v>3.4388504136606491E-6</v>
      </c>
      <c r="AN61" s="101">
        <f t="shared" si="12"/>
        <v>2.028716076194377E-5</v>
      </c>
      <c r="AO61" s="92">
        <v>0.72333163629521169</v>
      </c>
      <c r="AP61" s="57">
        <v>2.8046831832009095E-5</v>
      </c>
      <c r="AQ61" s="101">
        <f t="shared" si="13"/>
        <v>1.2203759682425816E-4</v>
      </c>
      <c r="AR61" s="92">
        <v>0.72333163629521169</v>
      </c>
      <c r="AS61" s="57">
        <v>1.6871596747698622E-4</v>
      </c>
      <c r="AT61" s="101">
        <f t="shared" si="14"/>
        <v>1.0904299119781882E-5</v>
      </c>
      <c r="AU61" s="92">
        <v>0.72333163629521169</v>
      </c>
      <c r="AV61" s="57">
        <v>1.507510327576981E-5</v>
      </c>
      <c r="AW61" s="101">
        <f t="shared" si="15"/>
        <v>2.9058471710412557E-5</v>
      </c>
      <c r="AX61" s="92">
        <v>0.72333163629521169</v>
      </c>
      <c r="AY61" s="57">
        <v>4.017309661615988E-5</v>
      </c>
      <c r="AZ61" s="101">
        <f t="shared" si="16"/>
        <v>8.3203939040533167E-5</v>
      </c>
      <c r="BA61" s="92">
        <v>0.72333163629521169</v>
      </c>
      <c r="BB61" s="57">
        <v>1.1502875702587871E-4</v>
      </c>
      <c r="BC61" s="101">
        <f t="shared" si="17"/>
        <v>2.0499169035170784E-5</v>
      </c>
      <c r="BD61" s="92">
        <v>0.72333163629521169</v>
      </c>
      <c r="BE61" s="57">
        <v>2.8339931514905431E-5</v>
      </c>
      <c r="BF61" s="101">
        <f t="shared" si="18"/>
        <v>2.2223021966735618E-5</v>
      </c>
      <c r="BG61" s="92">
        <v>0.72333163629521169</v>
      </c>
      <c r="BH61" s="57">
        <v>3.0723143924076599E-5</v>
      </c>
      <c r="BI61" s="101">
        <f t="shared" si="19"/>
        <v>3.4985606982031279E-4</v>
      </c>
      <c r="BJ61" s="92">
        <v>0.72333163629521169</v>
      </c>
      <c r="BK61" s="57">
        <v>4.8367312068945209E-4</v>
      </c>
      <c r="BL61" s="101">
        <f t="shared" si="20"/>
        <v>7.4210327462462199E-5</v>
      </c>
      <c r="BM61" s="92">
        <v>0.72333163629521169</v>
      </c>
      <c r="BN61" s="57">
        <v>1.0259516346133505E-4</v>
      </c>
      <c r="BO61" s="101">
        <f t="shared" si="21"/>
        <v>9.5922400169161243E-5</v>
      </c>
      <c r="BP61" s="92">
        <v>0.72333163629521169</v>
      </c>
      <c r="BQ61" s="57">
        <v>1.3261192426265267E-4</v>
      </c>
      <c r="BR61" s="101">
        <f t="shared" si="22"/>
        <v>2.6347409498346866E-4</v>
      </c>
      <c r="BS61" s="92">
        <v>0.72333163629521169</v>
      </c>
      <c r="BT61" s="57">
        <v>3.6425075548048833E-4</v>
      </c>
      <c r="BU61" s="101">
        <f t="shared" si="23"/>
        <v>1.0775611663135264E-4</v>
      </c>
      <c r="BV61" s="92">
        <v>0.72333163629521169</v>
      </c>
      <c r="BW61" s="57">
        <v>1.489719393213079E-4</v>
      </c>
      <c r="BX61" s="101">
        <f t="shared" si="24"/>
        <v>1.9040610495004367E-4</v>
      </c>
      <c r="BY61" s="92">
        <v>0.72333163629521169</v>
      </c>
      <c r="BZ61" s="57">
        <v>2.6323486405941418E-4</v>
      </c>
      <c r="CA61" s="101">
        <f t="shared" si="25"/>
        <v>5.6646176957737895E-3</v>
      </c>
      <c r="CB61" s="92">
        <v>0.72333163629521169</v>
      </c>
      <c r="CC61" s="57">
        <v>7.8312870770965454E-3</v>
      </c>
      <c r="CD61" s="101">
        <f t="shared" si="26"/>
        <v>4.8619626408653253E-4</v>
      </c>
      <c r="CE61" s="92">
        <v>0.72333163629521169</v>
      </c>
      <c r="CF61" s="57">
        <v>6.7216231074414441E-4</v>
      </c>
      <c r="CG61" s="101">
        <f t="shared" si="27"/>
        <v>2.2795343888689215E-2</v>
      </c>
      <c r="CH61" s="92">
        <v>0.72333163629521169</v>
      </c>
      <c r="CI61" s="57">
        <v>3.1514374243940581E-2</v>
      </c>
      <c r="CJ61" s="101">
        <f t="shared" si="28"/>
        <v>2.1958969798940037E-3</v>
      </c>
      <c r="CK61" s="92">
        <v>0.72333163629521169</v>
      </c>
      <c r="CL61" s="57">
        <v>3.0358093987718202E-3</v>
      </c>
      <c r="CM61" s="101">
        <f t="shared" si="29"/>
        <v>0</v>
      </c>
      <c r="CN61" s="92">
        <v>0.72333163629521169</v>
      </c>
      <c r="CO61" s="57">
        <v>0</v>
      </c>
    </row>
    <row r="62" spans="1:93" ht="22.5">
      <c r="A62" s="38">
        <v>56</v>
      </c>
      <c r="B62" s="68" t="s">
        <v>25</v>
      </c>
      <c r="C62" s="46" t="s">
        <v>24</v>
      </c>
      <c r="D62" s="101">
        <f t="shared" si="0"/>
        <v>1.3631911370313884E-2</v>
      </c>
      <c r="E62" s="92">
        <v>0.67387570982474054</v>
      </c>
      <c r="F62" s="57">
        <v>2.0229118176494636E-2</v>
      </c>
      <c r="G62" s="101">
        <f t="shared" si="1"/>
        <v>8.1462730313448405E-4</v>
      </c>
      <c r="H62" s="92">
        <v>0.67387570982474054</v>
      </c>
      <c r="I62" s="57">
        <v>1.2088687739558823E-3</v>
      </c>
      <c r="J62" s="101">
        <f t="shared" si="2"/>
        <v>4.2954909098259358E-3</v>
      </c>
      <c r="K62" s="92">
        <v>0.67387570982474054</v>
      </c>
      <c r="L62" s="57">
        <v>6.3743073792392564E-3</v>
      </c>
      <c r="M62" s="101">
        <f t="shared" si="3"/>
        <v>1.6406371091950997E-3</v>
      </c>
      <c r="N62" s="92">
        <v>0.67387570982474054</v>
      </c>
      <c r="O62" s="57">
        <v>2.4346286492828054E-3</v>
      </c>
      <c r="P62" s="101">
        <f t="shared" si="4"/>
        <v>2.6336258013459966E-3</v>
      </c>
      <c r="Q62" s="92">
        <v>0.67387570982474054</v>
      </c>
      <c r="R62" s="57">
        <v>3.9081773729920336E-3</v>
      </c>
      <c r="S62" s="101">
        <f t="shared" si="5"/>
        <v>2.091272522218982E-3</v>
      </c>
      <c r="T62" s="92">
        <v>0.67387570982474054</v>
      </c>
      <c r="U62" s="57">
        <v>3.1033505017755772E-3</v>
      </c>
      <c r="V62" s="101">
        <f t="shared" si="6"/>
        <v>1.7520110761138983E-3</v>
      </c>
      <c r="W62" s="92">
        <v>0.67387570982474054</v>
      </c>
      <c r="X62" s="57">
        <v>2.5999024012448167E-3</v>
      </c>
      <c r="Y62" s="101">
        <f t="shared" si="7"/>
        <v>1.6800849162563337E-3</v>
      </c>
      <c r="Z62" s="92">
        <v>0.67387570982474054</v>
      </c>
      <c r="AA62" s="57">
        <v>2.4931673478678805E-3</v>
      </c>
      <c r="AB62" s="101">
        <f t="shared" si="8"/>
        <v>1.9387896908689439E-3</v>
      </c>
      <c r="AC62" s="92">
        <v>0.67387570982474054</v>
      </c>
      <c r="AD62" s="57">
        <v>2.8770731198683184E-3</v>
      </c>
      <c r="AE62" s="101">
        <f t="shared" si="9"/>
        <v>2.0231633900467433E-3</v>
      </c>
      <c r="AF62" s="92">
        <v>0.67387570982474054</v>
      </c>
      <c r="AG62" s="57">
        <v>3.0022797387561592E-3</v>
      </c>
      <c r="AH62" s="101">
        <f t="shared" si="10"/>
        <v>5.4238108663683228E-3</v>
      </c>
      <c r="AI62" s="92">
        <v>0.67387570982474054</v>
      </c>
      <c r="AJ62" s="57">
        <v>8.0486813625897432E-3</v>
      </c>
      <c r="AK62" s="101">
        <f t="shared" si="11"/>
        <v>1.1569896303249896E-4</v>
      </c>
      <c r="AL62" s="92">
        <v>0.67387570982474054</v>
      </c>
      <c r="AM62" s="57">
        <v>1.7169184368225646E-4</v>
      </c>
      <c r="AN62" s="101">
        <f t="shared" si="12"/>
        <v>8.7417307730372951E-4</v>
      </c>
      <c r="AO62" s="92">
        <v>0.67387570982474054</v>
      </c>
      <c r="AP62" s="57">
        <v>1.2972319146672933E-3</v>
      </c>
      <c r="AQ62" s="101">
        <f t="shared" si="13"/>
        <v>8.817445672591618E-3</v>
      </c>
      <c r="AR62" s="92">
        <v>0.67387570982474054</v>
      </c>
      <c r="AS62" s="57">
        <v>1.3084676512356902E-2</v>
      </c>
      <c r="AT62" s="101">
        <f t="shared" si="14"/>
        <v>4.6846333022424944E-4</v>
      </c>
      <c r="AU62" s="92">
        <v>0.67387570982474054</v>
      </c>
      <c r="AV62" s="57">
        <v>6.9517764684838676E-4</v>
      </c>
      <c r="AW62" s="101">
        <f t="shared" si="15"/>
        <v>9.708541647018374E-4</v>
      </c>
      <c r="AX62" s="92">
        <v>0.67387570982474054</v>
      </c>
      <c r="AY62" s="57">
        <v>1.440702121396146E-3</v>
      </c>
      <c r="AZ62" s="101">
        <f t="shared" si="16"/>
        <v>2.7249133158853845E-3</v>
      </c>
      <c r="BA62" s="92">
        <v>0.67387570982474054</v>
      </c>
      <c r="BB62" s="57">
        <v>4.0436437701457904E-3</v>
      </c>
      <c r="BC62" s="101">
        <f t="shared" si="17"/>
        <v>6.7431250851118546E-4</v>
      </c>
      <c r="BD62" s="92">
        <v>0.67387570982474054</v>
      </c>
      <c r="BE62" s="57">
        <v>1.0006481887981369E-3</v>
      </c>
      <c r="BF62" s="101">
        <f t="shared" si="18"/>
        <v>9.7359228570970374E-4</v>
      </c>
      <c r="BG62" s="92">
        <v>0.67387570982474054</v>
      </c>
      <c r="BH62" s="57">
        <v>1.444765364762758E-3</v>
      </c>
      <c r="BI62" s="101">
        <f t="shared" si="19"/>
        <v>2.507693929188242E-3</v>
      </c>
      <c r="BJ62" s="92">
        <v>0.67387570982474054</v>
      </c>
      <c r="BK62" s="57">
        <v>3.7213003713109575E-3</v>
      </c>
      <c r="BL62" s="101">
        <f t="shared" si="20"/>
        <v>2.9329118630411198E-3</v>
      </c>
      <c r="BM62" s="92">
        <v>0.67387570982474054</v>
      </c>
      <c r="BN62" s="57">
        <v>4.3523038748553532E-3</v>
      </c>
      <c r="BO62" s="101">
        <f t="shared" si="21"/>
        <v>7.8523656187987761E-3</v>
      </c>
      <c r="BP62" s="92">
        <v>0.67387570982474054</v>
      </c>
      <c r="BQ62" s="57">
        <v>1.1652542901184247E-2</v>
      </c>
      <c r="BR62" s="101">
        <f t="shared" si="22"/>
        <v>8.1922720150592494E-3</v>
      </c>
      <c r="BS62" s="92">
        <v>0.67387570982474054</v>
      </c>
      <c r="BT62" s="57">
        <v>1.215694807754663E-2</v>
      </c>
      <c r="BU62" s="101">
        <f t="shared" si="23"/>
        <v>5.0205673220198406E-3</v>
      </c>
      <c r="BV62" s="92">
        <v>0.67387570982474054</v>
      </c>
      <c r="BW62" s="57">
        <v>7.4502868241468059E-3</v>
      </c>
      <c r="BX62" s="101">
        <f t="shared" si="24"/>
        <v>1.1821291223243973E-2</v>
      </c>
      <c r="BY62" s="92">
        <v>0.67387570982474054</v>
      </c>
      <c r="BZ62" s="57">
        <v>1.7542242658246901E-2</v>
      </c>
      <c r="CA62" s="101">
        <f t="shared" si="25"/>
        <v>0.68737659050907729</v>
      </c>
      <c r="CB62" s="92">
        <v>0.67387570982474054</v>
      </c>
      <c r="CC62" s="57">
        <v>1.0200346747738511</v>
      </c>
      <c r="CD62" s="101">
        <f t="shared" si="26"/>
        <v>5.4308913738919343E-2</v>
      </c>
      <c r="CE62" s="92">
        <v>0.67387570982474054</v>
      </c>
      <c r="CF62" s="57">
        <v>8.0591885042189504E-2</v>
      </c>
      <c r="CG62" s="101">
        <f t="shared" si="27"/>
        <v>2.5991210825406456E-2</v>
      </c>
      <c r="CH62" s="92">
        <v>0.67387570982474054</v>
      </c>
      <c r="CI62" s="57">
        <v>3.8569739859248178E-2</v>
      </c>
      <c r="CJ62" s="101">
        <f t="shared" si="28"/>
        <v>9.874687157380756E-3</v>
      </c>
      <c r="CK62" s="92">
        <v>0.67387570982474054</v>
      </c>
      <c r="CL62" s="57">
        <v>1.465357337178533E-2</v>
      </c>
      <c r="CM62" s="101">
        <f t="shared" si="29"/>
        <v>0</v>
      </c>
      <c r="CN62" s="92">
        <v>0.67387570982474054</v>
      </c>
      <c r="CO62" s="57">
        <v>0</v>
      </c>
    </row>
    <row r="63" spans="1:93" ht="33.75">
      <c r="A63" s="38">
        <v>57</v>
      </c>
      <c r="B63" s="68" t="s">
        <v>23</v>
      </c>
      <c r="C63" s="46" t="s">
        <v>138</v>
      </c>
      <c r="D63" s="101">
        <f t="shared" si="0"/>
        <v>8.9154583301276381E-3</v>
      </c>
      <c r="E63" s="92">
        <v>0.69332535810560281</v>
      </c>
      <c r="F63" s="57">
        <v>1.2858982043419929E-2</v>
      </c>
      <c r="G63" s="101">
        <f t="shared" si="1"/>
        <v>2.422722169053431E-3</v>
      </c>
      <c r="H63" s="92">
        <v>0.69332535810560281</v>
      </c>
      <c r="I63" s="57">
        <v>3.4943510153344452E-3</v>
      </c>
      <c r="J63" s="101">
        <f t="shared" si="2"/>
        <v>1.0492118076449802E-3</v>
      </c>
      <c r="K63" s="92">
        <v>0.69332535810560281</v>
      </c>
      <c r="L63" s="57">
        <v>1.5133036681534027E-3</v>
      </c>
      <c r="M63" s="101">
        <f t="shared" si="3"/>
        <v>1.1054593613648938E-3</v>
      </c>
      <c r="N63" s="92">
        <v>0.69332535810560281</v>
      </c>
      <c r="O63" s="57">
        <v>1.594430880741733E-3</v>
      </c>
      <c r="P63" s="101">
        <f t="shared" si="4"/>
        <v>8.1699430515231528E-3</v>
      </c>
      <c r="Q63" s="92">
        <v>0.69332535810560281</v>
      </c>
      <c r="R63" s="57">
        <v>1.1783707253757708E-2</v>
      </c>
      <c r="S63" s="101">
        <f t="shared" si="5"/>
        <v>7.2935210519822526E-3</v>
      </c>
      <c r="T63" s="92">
        <v>0.69332535810560281</v>
      </c>
      <c r="U63" s="57">
        <v>1.0519622521683897E-2</v>
      </c>
      <c r="V63" s="101">
        <f t="shared" si="6"/>
        <v>1.5294568393491479E-3</v>
      </c>
      <c r="W63" s="92">
        <v>0.69332535810560281</v>
      </c>
      <c r="X63" s="57">
        <v>2.2059727391597742E-3</v>
      </c>
      <c r="Y63" s="101">
        <f t="shared" si="7"/>
        <v>1.2226590843648364E-3</v>
      </c>
      <c r="Z63" s="92">
        <v>0.69332535810560281</v>
      </c>
      <c r="AA63" s="57">
        <v>1.7634708871828238E-3</v>
      </c>
      <c r="AB63" s="101">
        <f t="shared" si="8"/>
        <v>1.7149089518147403E-3</v>
      </c>
      <c r="AC63" s="92">
        <v>0.69332535810560281</v>
      </c>
      <c r="AD63" s="57">
        <v>2.4734548242984307E-3</v>
      </c>
      <c r="AE63" s="101">
        <f t="shared" si="9"/>
        <v>1.423003718841065E-3</v>
      </c>
      <c r="AF63" s="92">
        <v>0.69332535810560281</v>
      </c>
      <c r="AG63" s="57">
        <v>2.0524328184522026E-3</v>
      </c>
      <c r="AH63" s="101">
        <f t="shared" si="10"/>
        <v>2.3191407524097867E-3</v>
      </c>
      <c r="AI63" s="92">
        <v>0.69332535810560281</v>
      </c>
      <c r="AJ63" s="57">
        <v>3.3449530228440751E-3</v>
      </c>
      <c r="AK63" s="101">
        <f t="shared" si="11"/>
        <v>3.8901271605179678E-5</v>
      </c>
      <c r="AL63" s="92">
        <v>0.69332535810560281</v>
      </c>
      <c r="AM63" s="57">
        <v>5.610824867486599E-5</v>
      </c>
      <c r="AN63" s="101">
        <f t="shared" si="12"/>
        <v>3.4335691406515507E-4</v>
      </c>
      <c r="AO63" s="92">
        <v>0.69332535810560281</v>
      </c>
      <c r="AP63" s="57">
        <v>4.9523201488449985E-4</v>
      </c>
      <c r="AQ63" s="101">
        <f t="shared" si="13"/>
        <v>2.3002855326622372E-3</v>
      </c>
      <c r="AR63" s="92">
        <v>0.69332535810560281</v>
      </c>
      <c r="AS63" s="57">
        <v>3.317757681541301E-3</v>
      </c>
      <c r="AT63" s="101">
        <f t="shared" si="14"/>
        <v>2.4624638984226571E-4</v>
      </c>
      <c r="AU63" s="92">
        <v>0.69332535810560281</v>
      </c>
      <c r="AV63" s="57">
        <v>3.5516714766512127E-4</v>
      </c>
      <c r="AW63" s="101">
        <f t="shared" si="15"/>
        <v>7.015516852138811E-4</v>
      </c>
      <c r="AX63" s="92">
        <v>0.69332535810560281</v>
      </c>
      <c r="AY63" s="57">
        <v>1.0118650313479885E-3</v>
      </c>
      <c r="AZ63" s="101">
        <f t="shared" si="16"/>
        <v>2.0035079392081369E-3</v>
      </c>
      <c r="BA63" s="92">
        <v>0.69332535810560281</v>
      </c>
      <c r="BB63" s="57">
        <v>2.8897081518587347E-3</v>
      </c>
      <c r="BC63" s="101">
        <f t="shared" si="17"/>
        <v>4.9248208214534622E-4</v>
      </c>
      <c r="BD63" s="92">
        <v>0.69332535810560281</v>
      </c>
      <c r="BE63" s="57">
        <v>7.1031886600970756E-4</v>
      </c>
      <c r="BF63" s="101">
        <f t="shared" si="18"/>
        <v>4.9222633008053768E-4</v>
      </c>
      <c r="BG63" s="92">
        <v>0.69332535810560281</v>
      </c>
      <c r="BH63" s="57">
        <v>7.0994998859621257E-4</v>
      </c>
      <c r="BI63" s="101">
        <f t="shared" si="19"/>
        <v>1.5981393793531242E-3</v>
      </c>
      <c r="BJ63" s="92">
        <v>0.69332535810560281</v>
      </c>
      <c r="BK63" s="57">
        <v>2.3050352344241042E-3</v>
      </c>
      <c r="BL63" s="101">
        <f t="shared" si="20"/>
        <v>1.3696370856722787E-3</v>
      </c>
      <c r="BM63" s="92">
        <v>0.69332535810560281</v>
      </c>
      <c r="BN63" s="57">
        <v>1.9754608275320928E-3</v>
      </c>
      <c r="BO63" s="101">
        <f t="shared" si="21"/>
        <v>1.2814493646247534E-3</v>
      </c>
      <c r="BP63" s="92">
        <v>0.69332535810560281</v>
      </c>
      <c r="BQ63" s="57">
        <v>1.8482655360047733E-3</v>
      </c>
      <c r="BR63" s="101">
        <f t="shared" si="22"/>
        <v>8.0228789814026542E-3</v>
      </c>
      <c r="BS63" s="92">
        <v>0.69332535810560281</v>
      </c>
      <c r="BT63" s="57">
        <v>1.1571593174269361E-2</v>
      </c>
      <c r="BU63" s="101">
        <f t="shared" si="23"/>
        <v>2.1147485837946607E-3</v>
      </c>
      <c r="BV63" s="92">
        <v>0.69332535810560281</v>
      </c>
      <c r="BW63" s="57">
        <v>3.0501532347999827E-3</v>
      </c>
      <c r="BX63" s="101">
        <f t="shared" si="24"/>
        <v>2.9800279140820792E-3</v>
      </c>
      <c r="BY63" s="92">
        <v>0.69332535810560281</v>
      </c>
      <c r="BZ63" s="57">
        <v>4.298166624432307E-3</v>
      </c>
      <c r="CA63" s="101">
        <f t="shared" si="25"/>
        <v>3.3107198767245487E-2</v>
      </c>
      <c r="CB63" s="92">
        <v>0.69332535810560281</v>
      </c>
      <c r="CC63" s="57">
        <v>4.775131672337133E-2</v>
      </c>
      <c r="CD63" s="101">
        <f t="shared" si="26"/>
        <v>3.7777015277460045E-3</v>
      </c>
      <c r="CE63" s="92">
        <v>0.69332535810560281</v>
      </c>
      <c r="CF63" s="57">
        <v>5.4486706473104501E-3</v>
      </c>
      <c r="CG63" s="101">
        <f t="shared" si="27"/>
        <v>8.2098414629471796E-3</v>
      </c>
      <c r="CH63" s="92">
        <v>0.69332535810560281</v>
      </c>
      <c r="CI63" s="57">
        <v>1.1841253701406823E-2</v>
      </c>
      <c r="CJ63" s="101">
        <f t="shared" si="28"/>
        <v>1.990613400016614E-3</v>
      </c>
      <c r="CK63" s="92">
        <v>0.69332535810560281</v>
      </c>
      <c r="CL63" s="57">
        <v>2.8711100448649924E-3</v>
      </c>
      <c r="CM63" s="101">
        <f t="shared" si="29"/>
        <v>0</v>
      </c>
      <c r="CN63" s="92">
        <v>0.69332535810560281</v>
      </c>
      <c r="CO63" s="57">
        <v>0</v>
      </c>
    </row>
    <row r="64" spans="1:93" ht="33.75">
      <c r="A64" s="38">
        <v>58</v>
      </c>
      <c r="B64" s="68" t="s">
        <v>22</v>
      </c>
      <c r="C64" s="46" t="s">
        <v>139</v>
      </c>
      <c r="D64" s="101">
        <f t="shared" si="0"/>
        <v>1.0068081074736184E-3</v>
      </c>
      <c r="E64" s="92">
        <v>0.46452422468389737</v>
      </c>
      <c r="F64" s="57">
        <v>2.1673963465710278E-3</v>
      </c>
      <c r="G64" s="101">
        <f t="shared" si="1"/>
        <v>1.1227219826994904E-4</v>
      </c>
      <c r="H64" s="92">
        <v>0.46452422468389737</v>
      </c>
      <c r="I64" s="57">
        <v>2.416928812406905E-4</v>
      </c>
      <c r="J64" s="101">
        <f t="shared" si="2"/>
        <v>2.2504932242327865E-4</v>
      </c>
      <c r="K64" s="92">
        <v>0.46452422468389737</v>
      </c>
      <c r="L64" s="57">
        <v>4.8447273675860877E-4</v>
      </c>
      <c r="M64" s="101">
        <f>N64*O64</f>
        <v>4.0850519401660826E-4</v>
      </c>
      <c r="N64" s="92">
        <v>0.46452422468389737</v>
      </c>
      <c r="O64" s="57">
        <v>8.7940557738316167E-4</v>
      </c>
      <c r="P64" s="101">
        <f t="shared" si="4"/>
        <v>1.6103310348888529E-3</v>
      </c>
      <c r="Q64" s="92">
        <v>0.46452422468389737</v>
      </c>
      <c r="R64" s="57">
        <v>3.466624449962027E-3</v>
      </c>
      <c r="S64" s="101">
        <f t="shared" si="5"/>
        <v>1.3762302831961132E-3</v>
      </c>
      <c r="T64" s="92">
        <v>0.46452422468389737</v>
      </c>
      <c r="U64" s="57">
        <v>2.9626663370088393E-3</v>
      </c>
      <c r="V64" s="101">
        <f t="shared" si="6"/>
        <v>5.4986566942970868E-4</v>
      </c>
      <c r="W64" s="92">
        <v>0.46452422468389737</v>
      </c>
      <c r="X64" s="57">
        <v>1.1837179639100309E-3</v>
      </c>
      <c r="Y64" s="101">
        <f t="shared" si="7"/>
        <v>5.5362375173053887E-4</v>
      </c>
      <c r="Z64" s="92">
        <v>0.46452422468389737</v>
      </c>
      <c r="AA64" s="57">
        <v>1.191808138977623E-3</v>
      </c>
      <c r="AB64" s="101">
        <f t="shared" si="8"/>
        <v>4.37718069478015E-4</v>
      </c>
      <c r="AC64" s="92">
        <v>0.46452422468389737</v>
      </c>
      <c r="AD64" s="57">
        <v>9.4229331048531733E-4</v>
      </c>
      <c r="AE64" s="101">
        <f t="shared" si="9"/>
        <v>6.7823255249851013E-4</v>
      </c>
      <c r="AF64" s="92">
        <v>0.46452422468389737</v>
      </c>
      <c r="AG64" s="57">
        <v>1.4600585210815184E-3</v>
      </c>
      <c r="AH64" s="101">
        <f t="shared" si="10"/>
        <v>5.5262018670065925E-4</v>
      </c>
      <c r="AI64" s="92">
        <v>0.46452422468389737</v>
      </c>
      <c r="AJ64" s="57">
        <v>1.1896477241347533E-3</v>
      </c>
      <c r="AK64" s="101">
        <f t="shared" si="11"/>
        <v>1.8840917100157951E-5</v>
      </c>
      <c r="AL64" s="92">
        <v>0.46452422468389737</v>
      </c>
      <c r="AM64" s="57">
        <v>4.0559600767815604E-5</v>
      </c>
      <c r="AN64" s="101">
        <f t="shared" si="12"/>
        <v>1.6795050425129582E-4</v>
      </c>
      <c r="AO64" s="92">
        <v>0.46452422468389737</v>
      </c>
      <c r="AP64" s="57">
        <v>3.6155381210868805E-4</v>
      </c>
      <c r="AQ64" s="101">
        <f t="shared" si="13"/>
        <v>6.9851234124040202E-4</v>
      </c>
      <c r="AR64" s="92">
        <v>0.46452422468389737</v>
      </c>
      <c r="AS64" s="57">
        <v>1.5037156387607783E-3</v>
      </c>
      <c r="AT64" s="101">
        <f t="shared" si="14"/>
        <v>1.0558025588256321E-4</v>
      </c>
      <c r="AU64" s="92">
        <v>0.46452422468389737</v>
      </c>
      <c r="AV64" s="57">
        <v>2.2728686744896714E-4</v>
      </c>
      <c r="AW64" s="101">
        <f t="shared" si="15"/>
        <v>3.3742136468918463E-4</v>
      </c>
      <c r="AX64" s="92">
        <v>0.46452422468389737</v>
      </c>
      <c r="AY64" s="57">
        <v>7.2638055618906734E-4</v>
      </c>
      <c r="AZ64" s="101">
        <f t="shared" si="16"/>
        <v>9.7055015426024036E-4</v>
      </c>
      <c r="BA64" s="92">
        <v>0.46452422468389737</v>
      </c>
      <c r="BB64" s="57">
        <v>2.0893423909607448E-3</v>
      </c>
      <c r="BC64" s="101">
        <f t="shared" si="17"/>
        <v>2.4010154917262748E-4</v>
      </c>
      <c r="BD64" s="92">
        <v>0.46452422468389737</v>
      </c>
      <c r="BE64" s="57">
        <v>5.1687627127737729E-4</v>
      </c>
      <c r="BF64" s="101">
        <f t="shared" si="18"/>
        <v>2.2801324258426206E-4</v>
      </c>
      <c r="BG64" s="92">
        <v>0.46452422468389737</v>
      </c>
      <c r="BH64" s="57">
        <v>4.9085328701516497E-4</v>
      </c>
      <c r="BI64" s="101">
        <f t="shared" si="19"/>
        <v>7.3362114256078149E-4</v>
      </c>
      <c r="BJ64" s="92">
        <v>0.46452422468389737</v>
      </c>
      <c r="BK64" s="57">
        <v>1.5792957688266979E-3</v>
      </c>
      <c r="BL64" s="101">
        <f t="shared" si="20"/>
        <v>5.9073556904473321E-4</v>
      </c>
      <c r="BM64" s="92">
        <v>0.46452422468389737</v>
      </c>
      <c r="BN64" s="57">
        <v>1.2717002422138932E-3</v>
      </c>
      <c r="BO64" s="101">
        <f t="shared" si="21"/>
        <v>4.61815841396588E-4</v>
      </c>
      <c r="BP64" s="92">
        <v>0.46452422468389737</v>
      </c>
      <c r="BQ64" s="57">
        <v>9.9416955425919414E-4</v>
      </c>
      <c r="BR64" s="101">
        <f t="shared" si="22"/>
        <v>7.2451218042928693E-4</v>
      </c>
      <c r="BS64" s="92">
        <v>0.46452422468389737</v>
      </c>
      <c r="BT64" s="57">
        <v>1.5596865393237736E-3</v>
      </c>
      <c r="BU64" s="101">
        <f t="shared" si="23"/>
        <v>4.9774026136190043E-4</v>
      </c>
      <c r="BV64" s="92">
        <v>0.46452422468389737</v>
      </c>
      <c r="BW64" s="57">
        <v>1.0715054994184774E-3</v>
      </c>
      <c r="BX64" s="101">
        <f t="shared" si="24"/>
        <v>8.9108573991197523E-4</v>
      </c>
      <c r="BY64" s="92">
        <v>0.46452422468389737</v>
      </c>
      <c r="BZ64" s="57">
        <v>1.9182761469939429E-3</v>
      </c>
      <c r="CA64" s="101">
        <f t="shared" si="25"/>
        <v>1.8923899222243398E-2</v>
      </c>
      <c r="CB64" s="92">
        <v>0.46452422468389737</v>
      </c>
      <c r="CC64" s="57">
        <v>4.0738239722849463E-2</v>
      </c>
      <c r="CD64" s="101">
        <f t="shared" si="26"/>
        <v>1.6007717338921413E-3</v>
      </c>
      <c r="CE64" s="92">
        <v>0.46452422468389737</v>
      </c>
      <c r="CF64" s="57">
        <v>3.446045757853523E-3</v>
      </c>
      <c r="CG64" s="101">
        <f t="shared" si="27"/>
        <v>1.3970160799067375E-3</v>
      </c>
      <c r="CH64" s="92">
        <v>0.46452422468389737</v>
      </c>
      <c r="CI64" s="57">
        <v>3.0074127584140279E-3</v>
      </c>
      <c r="CJ64" s="101">
        <f t="shared" si="28"/>
        <v>7.8448421029761548E-4</v>
      </c>
      <c r="CK64" s="92">
        <v>0.46452422468389737</v>
      </c>
      <c r="CL64" s="57">
        <v>1.6887907424665456E-3</v>
      </c>
      <c r="CM64" s="101">
        <f t="shared" si="29"/>
        <v>0</v>
      </c>
      <c r="CN64" s="92">
        <v>0.46452422468389737</v>
      </c>
      <c r="CO64" s="57">
        <v>0</v>
      </c>
    </row>
    <row r="65" spans="1:94" ht="22.5">
      <c r="A65" s="38">
        <v>59</v>
      </c>
      <c r="B65" s="68" t="s">
        <v>21</v>
      </c>
      <c r="C65" s="46" t="s">
        <v>20</v>
      </c>
      <c r="D65" s="101">
        <f t="shared" si="0"/>
        <v>3.3267646248159913E-3</v>
      </c>
      <c r="E65" s="92">
        <v>0.81121342552549858</v>
      </c>
      <c r="F65" s="57">
        <v>4.1009733322164088E-3</v>
      </c>
      <c r="G65" s="101">
        <f t="shared" si="1"/>
        <v>4.4542823449357554E-4</v>
      </c>
      <c r="H65" s="92">
        <v>0.81121342552549858</v>
      </c>
      <c r="I65" s="57">
        <v>5.4908883467384695E-4</v>
      </c>
      <c r="J65" s="101">
        <f t="shared" si="2"/>
        <v>5.7232846215158175E-4</v>
      </c>
      <c r="K65" s="92">
        <v>0.81121342552549858</v>
      </c>
      <c r="L65" s="57">
        <v>7.0552143756845648E-4</v>
      </c>
      <c r="M65" s="101">
        <f t="shared" si="3"/>
        <v>1.2284583293708294E-3</v>
      </c>
      <c r="N65" s="92">
        <v>0.81121342552549858</v>
      </c>
      <c r="O65" s="57">
        <v>1.5143466450583487E-3</v>
      </c>
      <c r="P65" s="101">
        <f t="shared" si="4"/>
        <v>2.4643836273627096E-3</v>
      </c>
      <c r="Q65" s="92">
        <v>0.81121342552549858</v>
      </c>
      <c r="R65" s="57">
        <v>3.0378979807518577E-3</v>
      </c>
      <c r="S65" s="101">
        <f t="shared" si="5"/>
        <v>2.0737742258744867E-3</v>
      </c>
      <c r="T65" s="92">
        <v>0.81121342552549858</v>
      </c>
      <c r="U65" s="57">
        <v>2.5563854845364643E-3</v>
      </c>
      <c r="V65" s="101">
        <f t="shared" si="6"/>
        <v>1.2370921469031177E-3</v>
      </c>
      <c r="W65" s="92">
        <v>0.81121342552549858</v>
      </c>
      <c r="X65" s="57">
        <v>1.5249897351017555E-3</v>
      </c>
      <c r="Y65" s="101">
        <f t="shared" si="7"/>
        <v>1.1854372220067519E-3</v>
      </c>
      <c r="Z65" s="92">
        <v>0.81121342552549858</v>
      </c>
      <c r="AA65" s="57">
        <v>1.461313613293362E-3</v>
      </c>
      <c r="AB65" s="101">
        <f t="shared" si="8"/>
        <v>1.9316340800934609E-3</v>
      </c>
      <c r="AC65" s="92">
        <v>0.81121342552549858</v>
      </c>
      <c r="AD65" s="57">
        <v>2.3811663112480682E-3</v>
      </c>
      <c r="AE65" s="101">
        <f t="shared" si="9"/>
        <v>1.5896791492105479E-3</v>
      </c>
      <c r="AF65" s="92">
        <v>0.81121342552549858</v>
      </c>
      <c r="AG65" s="57">
        <v>1.9596312131801375E-3</v>
      </c>
      <c r="AH65" s="101">
        <f t="shared" si="10"/>
        <v>1.5272368796135885E-3</v>
      </c>
      <c r="AI65" s="92">
        <v>0.81121342552549858</v>
      </c>
      <c r="AJ65" s="57">
        <v>1.8826573026996622E-3</v>
      </c>
      <c r="AK65" s="101">
        <f t="shared" si="11"/>
        <v>4.7023408959737196E-5</v>
      </c>
      <c r="AL65" s="92">
        <v>0.81121342552549858</v>
      </c>
      <c r="AM65" s="57">
        <v>5.79667538530637E-5</v>
      </c>
      <c r="AN65" s="101">
        <f t="shared" si="12"/>
        <v>9.3789712345980622E-4</v>
      </c>
      <c r="AO65" s="92">
        <v>0.81121342552549858</v>
      </c>
      <c r="AP65" s="57">
        <v>1.1561656821104048E-3</v>
      </c>
      <c r="AQ65" s="101">
        <f t="shared" si="13"/>
        <v>1.6082221595678213E-3</v>
      </c>
      <c r="AR65" s="92">
        <v>0.81121342552549858</v>
      </c>
      <c r="AS65" s="57">
        <v>1.9824895754480712E-3</v>
      </c>
      <c r="AT65" s="101">
        <f t="shared" si="14"/>
        <v>2.4467075469953041E-4</v>
      </c>
      <c r="AU65" s="92">
        <v>0.81121342552549858</v>
      </c>
      <c r="AV65" s="57">
        <v>3.0161083014748472E-4</v>
      </c>
      <c r="AW65" s="101">
        <f t="shared" si="15"/>
        <v>7.06769997515804E-4</v>
      </c>
      <c r="AX65" s="92">
        <v>0.81121342552549858</v>
      </c>
      <c r="AY65" s="57">
        <v>8.7125037046565539E-4</v>
      </c>
      <c r="AZ65" s="101">
        <f t="shared" si="16"/>
        <v>2.0099758172213043E-3</v>
      </c>
      <c r="BA65" s="92">
        <v>0.81121342552549858</v>
      </c>
      <c r="BB65" s="57">
        <v>2.4777398326701209E-3</v>
      </c>
      <c r="BC65" s="101">
        <f t="shared" si="17"/>
        <v>4.9757529239461882E-4</v>
      </c>
      <c r="BD65" s="92">
        <v>0.81121342552549858</v>
      </c>
      <c r="BE65" s="57">
        <v>6.133716192779883E-4</v>
      </c>
      <c r="BF65" s="101">
        <f t="shared" si="18"/>
        <v>5.1394006293708778E-4</v>
      </c>
      <c r="BG65" s="92">
        <v>0.81121342552549858</v>
      </c>
      <c r="BH65" s="57">
        <v>6.3354481911361471E-4</v>
      </c>
      <c r="BI65" s="101">
        <f t="shared" si="19"/>
        <v>1.8059947333634006E-3</v>
      </c>
      <c r="BJ65" s="92">
        <v>0.81121342552549858</v>
      </c>
      <c r="BK65" s="57">
        <v>2.2262880230236445E-3</v>
      </c>
      <c r="BL65" s="101">
        <f t="shared" si="20"/>
        <v>1.452575292975534E-3</v>
      </c>
      <c r="BM65" s="92">
        <v>0.81121342552549858</v>
      </c>
      <c r="BN65" s="57">
        <v>1.7906203808628605E-3</v>
      </c>
      <c r="BO65" s="101">
        <f t="shared" si="21"/>
        <v>5.5602069765369137E-3</v>
      </c>
      <c r="BP65" s="92">
        <v>0.81121342552549858</v>
      </c>
      <c r="BQ65" s="57">
        <v>6.8541851029339769E-3</v>
      </c>
      <c r="BR65" s="101">
        <f t="shared" si="22"/>
        <v>3.7046072654655861E-3</v>
      </c>
      <c r="BS65" s="92">
        <v>0.81121342552549858</v>
      </c>
      <c r="BT65" s="57">
        <v>4.5667479714919246E-3</v>
      </c>
      <c r="BU65" s="101">
        <f t="shared" si="23"/>
        <v>3.5795039184138484E-3</v>
      </c>
      <c r="BV65" s="92">
        <v>0.81121342552549858</v>
      </c>
      <c r="BW65" s="57">
        <v>4.4125304214425072E-3</v>
      </c>
      <c r="BX65" s="101">
        <f t="shared" si="24"/>
        <v>5.3273605608435033E-3</v>
      </c>
      <c r="BY65" s="92">
        <v>0.81121342552549858</v>
      </c>
      <c r="BZ65" s="57">
        <v>6.5671503863394213E-3</v>
      </c>
      <c r="CA65" s="101">
        <f t="shared" si="25"/>
        <v>4.0480729830046497E-2</v>
      </c>
      <c r="CB65" s="92">
        <v>0.81121342552549858</v>
      </c>
      <c r="CC65" s="57">
        <v>4.9901454483230911E-2</v>
      </c>
      <c r="CD65" s="101">
        <f t="shared" si="26"/>
        <v>0.82054150654769853</v>
      </c>
      <c r="CE65" s="92">
        <v>0.81121342552549858</v>
      </c>
      <c r="CF65" s="57">
        <v>1.0114989233766161</v>
      </c>
      <c r="CG65" s="101">
        <f t="shared" si="27"/>
        <v>2.3197011467755838E-2</v>
      </c>
      <c r="CH65" s="92">
        <v>0.81121342552549858</v>
      </c>
      <c r="CI65" s="57">
        <v>2.8595448174109014E-2</v>
      </c>
      <c r="CJ65" s="101">
        <f t="shared" si="28"/>
        <v>9.5900390956531772E-2</v>
      </c>
      <c r="CK65" s="92">
        <v>0.81121342552549858</v>
      </c>
      <c r="CL65" s="57">
        <v>0.11821844651351542</v>
      </c>
      <c r="CM65" s="101">
        <f t="shared" si="29"/>
        <v>0</v>
      </c>
      <c r="CN65" s="92">
        <v>0.81121342552549858</v>
      </c>
      <c r="CO65" s="57">
        <v>0</v>
      </c>
    </row>
    <row r="66" spans="1:94" ht="22.5">
      <c r="A66" s="38">
        <v>60</v>
      </c>
      <c r="B66" s="68" t="s">
        <v>160</v>
      </c>
      <c r="C66" s="46" t="s">
        <v>159</v>
      </c>
      <c r="D66" s="101">
        <f t="shared" si="0"/>
        <v>1.5618309609879786E-2</v>
      </c>
      <c r="E66" s="92">
        <v>0.64114087925086671</v>
      </c>
      <c r="F66" s="57">
        <v>2.4360183721444825E-2</v>
      </c>
      <c r="G66" s="101">
        <f t="shared" si="1"/>
        <v>4.4619354233960807E-4</v>
      </c>
      <c r="H66" s="92">
        <v>0.64114087925086671</v>
      </c>
      <c r="I66" s="57">
        <v>6.9593681635299483E-4</v>
      </c>
      <c r="J66" s="101">
        <f t="shared" si="2"/>
        <v>1.4489462468673822E-3</v>
      </c>
      <c r="K66" s="92">
        <v>0.64114087925086671</v>
      </c>
      <c r="L66" s="57">
        <v>2.2599498702381695E-3</v>
      </c>
      <c r="M66" s="101">
        <f t="shared" si="3"/>
        <v>4.9164453770753078E-3</v>
      </c>
      <c r="N66" s="92">
        <v>0.64114087925086671</v>
      </c>
      <c r="O66" s="57">
        <v>7.6682762497064117E-3</v>
      </c>
      <c r="P66" s="101">
        <f t="shared" si="4"/>
        <v>1.1782167274178143E-2</v>
      </c>
      <c r="Q66" s="92">
        <v>0.64114087925086671</v>
      </c>
      <c r="R66" s="57">
        <v>1.8376877306505356E-2</v>
      </c>
      <c r="S66" s="101">
        <f t="shared" si="5"/>
        <v>9.8692302462272917E-3</v>
      </c>
      <c r="T66" s="92">
        <v>0.64114087925086671</v>
      </c>
      <c r="U66" s="57">
        <v>1.539323191770095E-2</v>
      </c>
      <c r="V66" s="101">
        <f t="shared" si="6"/>
        <v>6.4098372818538812E-3</v>
      </c>
      <c r="W66" s="92">
        <v>0.64114087925086671</v>
      </c>
      <c r="X66" s="57">
        <v>9.9975488840196528E-3</v>
      </c>
      <c r="Y66" s="101">
        <f t="shared" si="7"/>
        <v>6.5880749998948008E-3</v>
      </c>
      <c r="Z66" s="92">
        <v>0.64114087925086671</v>
      </c>
      <c r="AA66" s="57">
        <v>1.0275549747494743E-2</v>
      </c>
      <c r="AB66" s="101">
        <f t="shared" si="8"/>
        <v>6.2209950445604838E-3</v>
      </c>
      <c r="AC66" s="92">
        <v>0.64114087925086671</v>
      </c>
      <c r="AD66" s="57">
        <v>9.7030079439472498E-3</v>
      </c>
      <c r="AE66" s="101">
        <f t="shared" si="9"/>
        <v>8.2624857669573205E-3</v>
      </c>
      <c r="AF66" s="92">
        <v>0.64114087925086671</v>
      </c>
      <c r="AG66" s="57">
        <v>1.2887161050487877E-2</v>
      </c>
      <c r="AH66" s="101">
        <f t="shared" si="10"/>
        <v>6.7695742069331915E-3</v>
      </c>
      <c r="AI66" s="92">
        <v>0.64114087925086671</v>
      </c>
      <c r="AJ66" s="57">
        <v>1.05586376193061E-2</v>
      </c>
      <c r="AK66" s="101">
        <f t="shared" si="11"/>
        <v>2.0238593412019414E-4</v>
      </c>
      <c r="AL66" s="92">
        <v>0.64114087925086671</v>
      </c>
      <c r="AM66" s="57">
        <v>3.1566530955984203E-4</v>
      </c>
      <c r="AN66" s="101">
        <f t="shared" si="12"/>
        <v>1.8359144921040887E-3</v>
      </c>
      <c r="AO66" s="92">
        <v>0.64114087925086671</v>
      </c>
      <c r="AP66" s="57">
        <v>2.8635118294893951E-3</v>
      </c>
      <c r="AQ66" s="101">
        <f t="shared" si="13"/>
        <v>5.340222426270233E-3</v>
      </c>
      <c r="AR66" s="92">
        <v>0.64114087925086671</v>
      </c>
      <c r="AS66" s="57">
        <v>8.3292496221890437E-3</v>
      </c>
      <c r="AT66" s="101">
        <f t="shared" si="14"/>
        <v>1.2057199328145635E-3</v>
      </c>
      <c r="AU66" s="92">
        <v>0.64114087925086671</v>
      </c>
      <c r="AV66" s="57">
        <v>1.8805850193538934E-3</v>
      </c>
      <c r="AW66" s="101">
        <f t="shared" si="15"/>
        <v>3.9449201260351981E-3</v>
      </c>
      <c r="AX66" s="92">
        <v>0.64114087925086671</v>
      </c>
      <c r="AY66" s="57">
        <v>6.1529692672920681E-3</v>
      </c>
      <c r="AZ66" s="101">
        <f t="shared" si="16"/>
        <v>1.1347600645296043E-2</v>
      </c>
      <c r="BA66" s="92">
        <v>0.64114087925086671</v>
      </c>
      <c r="BB66" s="57">
        <v>1.7699075215036997E-2</v>
      </c>
      <c r="BC66" s="101">
        <f t="shared" si="17"/>
        <v>2.80593245263121E-3</v>
      </c>
      <c r="BD66" s="92">
        <v>0.64114087925086671</v>
      </c>
      <c r="BE66" s="57">
        <v>4.3764678613376949E-3</v>
      </c>
      <c r="BF66" s="101">
        <f t="shared" si="18"/>
        <v>2.6598704286919738E-3</v>
      </c>
      <c r="BG66" s="92">
        <v>0.64114087925086671</v>
      </c>
      <c r="BH66" s="57">
        <v>4.1486520588109544E-3</v>
      </c>
      <c r="BI66" s="101">
        <f t="shared" si="19"/>
        <v>8.7759201148897587E-3</v>
      </c>
      <c r="BJ66" s="92">
        <v>0.64114087925086671</v>
      </c>
      <c r="BK66" s="57">
        <v>1.3687974669691747E-2</v>
      </c>
      <c r="BL66" s="101">
        <f t="shared" si="20"/>
        <v>7.0387870117604636E-3</v>
      </c>
      <c r="BM66" s="92">
        <v>0.64114087925086671</v>
      </c>
      <c r="BN66" s="57">
        <v>1.0978534109359629E-2</v>
      </c>
      <c r="BO66" s="101">
        <f t="shared" si="21"/>
        <v>1.4166240069332947E-2</v>
      </c>
      <c r="BP66" s="92">
        <v>0.64114087925086671</v>
      </c>
      <c r="BQ66" s="57">
        <v>2.2095362388817444E-2</v>
      </c>
      <c r="BR66" s="101">
        <f t="shared" si="22"/>
        <v>1.0796172079309652E-2</v>
      </c>
      <c r="BS66" s="92">
        <v>0.64114087925086671</v>
      </c>
      <c r="BT66" s="57">
        <v>1.683900126899459E-2</v>
      </c>
      <c r="BU66" s="101">
        <f t="shared" si="23"/>
        <v>4.5536283408234733E-3</v>
      </c>
      <c r="BV66" s="92">
        <v>0.64114087925086671</v>
      </c>
      <c r="BW66" s="57">
        <v>7.1023834046334789E-3</v>
      </c>
      <c r="BX66" s="101">
        <f t="shared" si="24"/>
        <v>1.0871138596220326E-2</v>
      </c>
      <c r="BY66" s="92">
        <v>0.64114087925086671</v>
      </c>
      <c r="BZ66" s="57">
        <v>1.6955928015263317E-2</v>
      </c>
      <c r="CA66" s="101">
        <f t="shared" si="25"/>
        <v>1.1499963380315552E-2</v>
      </c>
      <c r="CB66" s="92">
        <v>0.64114087925086671</v>
      </c>
      <c r="CC66" s="57">
        <v>1.793671836017155E-2</v>
      </c>
      <c r="CD66" s="101">
        <f t="shared" si="26"/>
        <v>8.1505101020672883E-3</v>
      </c>
      <c r="CE66" s="92">
        <v>0.64114087925086671</v>
      </c>
      <c r="CF66" s="57">
        <v>1.2712510410489895E-2</v>
      </c>
      <c r="CG66" s="101">
        <f t="shared" si="27"/>
        <v>0.10206350375581638</v>
      </c>
      <c r="CH66" s="92">
        <v>0.64114087925086671</v>
      </c>
      <c r="CI66" s="57">
        <v>0.15919044793255305</v>
      </c>
      <c r="CJ66" s="101">
        <f t="shared" si="28"/>
        <v>3.2640833381147039E-2</v>
      </c>
      <c r="CK66" s="92">
        <v>0.64114087925086671</v>
      </c>
      <c r="CL66" s="57">
        <v>5.0910547802357924E-2</v>
      </c>
      <c r="CM66" s="101">
        <f t="shared" si="29"/>
        <v>0</v>
      </c>
      <c r="CN66" s="92">
        <v>0.64114087925086671</v>
      </c>
      <c r="CO66" s="57">
        <v>0</v>
      </c>
    </row>
    <row r="67" spans="1:94" ht="22.5">
      <c r="A67" s="38">
        <v>61</v>
      </c>
      <c r="B67" s="68" t="s">
        <v>158</v>
      </c>
      <c r="C67" s="46" t="s">
        <v>157</v>
      </c>
      <c r="D67" s="101">
        <f t="shared" si="0"/>
        <v>7.3124567386176065E-3</v>
      </c>
      <c r="E67" s="92">
        <v>0.68373587835568483</v>
      </c>
      <c r="F67" s="57">
        <v>1.0694855967194994E-2</v>
      </c>
      <c r="G67" s="101">
        <f t="shared" si="1"/>
        <v>3.7187504478902218E-4</v>
      </c>
      <c r="H67" s="92">
        <v>0.68373587835568483</v>
      </c>
      <c r="I67" s="57">
        <v>5.4388698408418148E-4</v>
      </c>
      <c r="J67" s="101">
        <f t="shared" si="2"/>
        <v>1.362764996750301E-3</v>
      </c>
      <c r="K67" s="92">
        <v>0.68373587835568483</v>
      </c>
      <c r="L67" s="57">
        <v>1.9931161138239699E-3</v>
      </c>
      <c r="M67" s="101">
        <f t="shared" si="3"/>
        <v>5.7786293570908113E-3</v>
      </c>
      <c r="N67" s="92">
        <v>0.68373587835568483</v>
      </c>
      <c r="O67" s="57">
        <v>8.4515520393456996E-3</v>
      </c>
      <c r="P67" s="101">
        <f t="shared" si="4"/>
        <v>1.1909179131111098E-2</v>
      </c>
      <c r="Q67" s="92">
        <v>0.68373587835568483</v>
      </c>
      <c r="R67" s="57">
        <v>1.7417806360771153E-2</v>
      </c>
      <c r="S67" s="101">
        <f t="shared" si="5"/>
        <v>1.8508310904938187E-2</v>
      </c>
      <c r="T67" s="92">
        <v>0.68373587835568483</v>
      </c>
      <c r="U67" s="57">
        <v>2.7069386719106782E-2</v>
      </c>
      <c r="V67" s="101">
        <f t="shared" si="6"/>
        <v>3.2494602652622558E-3</v>
      </c>
      <c r="W67" s="92">
        <v>0.68373587835568483</v>
      </c>
      <c r="X67" s="57">
        <v>4.7525080489806632E-3</v>
      </c>
      <c r="Y67" s="101">
        <f t="shared" si="7"/>
        <v>3.4030250463936706E-3</v>
      </c>
      <c r="Z67" s="92">
        <v>0.68373587835568483</v>
      </c>
      <c r="AA67" s="57">
        <v>4.9771046892808949E-3</v>
      </c>
      <c r="AB67" s="101">
        <f t="shared" si="8"/>
        <v>3.9268288319904775E-2</v>
      </c>
      <c r="AC67" s="92">
        <v>0.68373587835568483</v>
      </c>
      <c r="AD67" s="57">
        <v>5.7431955178863819E-2</v>
      </c>
      <c r="AE67" s="101">
        <f t="shared" si="9"/>
        <v>4.7384009010461078E-3</v>
      </c>
      <c r="AF67" s="92">
        <v>0.68373587835568483</v>
      </c>
      <c r="AG67" s="57">
        <v>6.9301627295637594E-3</v>
      </c>
      <c r="AH67" s="101">
        <f t="shared" si="10"/>
        <v>3.9823840588521387E-3</v>
      </c>
      <c r="AI67" s="92">
        <v>0.68373587835568483</v>
      </c>
      <c r="AJ67" s="57">
        <v>5.8244479848408226E-3</v>
      </c>
      <c r="AK67" s="101">
        <f t="shared" si="11"/>
        <v>1.0919690236709903E-4</v>
      </c>
      <c r="AL67" s="92">
        <v>0.68373587835568483</v>
      </c>
      <c r="AM67" s="57">
        <v>1.5970626352050803E-4</v>
      </c>
      <c r="AN67" s="101">
        <f t="shared" si="12"/>
        <v>1.0366983030748876E-3</v>
      </c>
      <c r="AO67" s="92">
        <v>0.68373587835568483</v>
      </c>
      <c r="AP67" s="57">
        <v>1.5162262737594544E-3</v>
      </c>
      <c r="AQ67" s="101">
        <f t="shared" si="13"/>
        <v>6.1395372266527595E-3</v>
      </c>
      <c r="AR67" s="92">
        <v>0.68373587835568483</v>
      </c>
      <c r="AS67" s="57">
        <v>8.9793989477599465E-3</v>
      </c>
      <c r="AT67" s="101">
        <f t="shared" si="14"/>
        <v>6.6598136418696721E-4</v>
      </c>
      <c r="AU67" s="92">
        <v>0.68373587835568483</v>
      </c>
      <c r="AV67" s="57">
        <v>9.7403308100283488E-4</v>
      </c>
      <c r="AW67" s="101">
        <f t="shared" si="15"/>
        <v>1.9248304774122514E-3</v>
      </c>
      <c r="AX67" s="92">
        <v>0.68373587835568483</v>
      </c>
      <c r="AY67" s="57">
        <v>2.8151667015650439E-3</v>
      </c>
      <c r="AZ67" s="101">
        <f t="shared" si="16"/>
        <v>5.8689850221927218E-3</v>
      </c>
      <c r="BA67" s="92">
        <v>0.68373587835568483</v>
      </c>
      <c r="BB67" s="57">
        <v>8.583701993680708E-3</v>
      </c>
      <c r="BC67" s="101">
        <f t="shared" si="17"/>
        <v>1.3452174902323481E-3</v>
      </c>
      <c r="BD67" s="92">
        <v>0.68373587835568483</v>
      </c>
      <c r="BE67" s="57">
        <v>1.9674519544995344E-3</v>
      </c>
      <c r="BF67" s="101">
        <f t="shared" si="18"/>
        <v>1.3249815642093639E-3</v>
      </c>
      <c r="BG67" s="92">
        <v>0.68373587835568483</v>
      </c>
      <c r="BH67" s="57">
        <v>1.9378558390058594E-3</v>
      </c>
      <c r="BI67" s="101">
        <f t="shared" si="19"/>
        <v>4.9247121837059501E-3</v>
      </c>
      <c r="BJ67" s="92">
        <v>0.68373587835568483</v>
      </c>
      <c r="BK67" s="57">
        <v>7.2026528658250049E-3</v>
      </c>
      <c r="BL67" s="101">
        <f t="shared" si="20"/>
        <v>3.9492300510382064E-3</v>
      </c>
      <c r="BM67" s="92">
        <v>0.68373587835568483</v>
      </c>
      <c r="BN67" s="57">
        <v>5.7759584893156439E-3</v>
      </c>
      <c r="BO67" s="101">
        <f t="shared" si="21"/>
        <v>4.5521868853850558E-3</v>
      </c>
      <c r="BP67" s="92">
        <v>0.68373587835568483</v>
      </c>
      <c r="BQ67" s="57">
        <v>6.6578148514490742E-3</v>
      </c>
      <c r="BR67" s="101">
        <f t="shared" si="22"/>
        <v>2.0338185209179006E-2</v>
      </c>
      <c r="BS67" s="92">
        <v>0.68373587835568483</v>
      </c>
      <c r="BT67" s="57">
        <v>2.9745674979189726E-2</v>
      </c>
      <c r="BU67" s="101">
        <f t="shared" si="23"/>
        <v>3.5331298496981342E-3</v>
      </c>
      <c r="BV67" s="92">
        <v>0.68373587835568483</v>
      </c>
      <c r="BW67" s="57">
        <v>5.1673898672612469E-3</v>
      </c>
      <c r="BX67" s="101">
        <f t="shared" si="24"/>
        <v>4.9806326386780233E-3</v>
      </c>
      <c r="BY67" s="92">
        <v>0.68373587835568483</v>
      </c>
      <c r="BZ67" s="57">
        <v>7.2844394982693279E-3</v>
      </c>
      <c r="CA67" s="101">
        <f t="shared" si="25"/>
        <v>2.5205620539086898E-2</v>
      </c>
      <c r="CB67" s="92">
        <v>0.68373587835568483</v>
      </c>
      <c r="CC67" s="57">
        <v>3.6864557407319108E-2</v>
      </c>
      <c r="CD67" s="101">
        <f t="shared" si="26"/>
        <v>9.7794863527708425E-3</v>
      </c>
      <c r="CE67" s="92">
        <v>0.68373587835568483</v>
      </c>
      <c r="CF67" s="57">
        <v>1.430301767444106E-2</v>
      </c>
      <c r="CG67" s="101">
        <f t="shared" si="27"/>
        <v>0.10390415874217671</v>
      </c>
      <c r="CH67" s="92">
        <v>0.68373587835568483</v>
      </c>
      <c r="CI67" s="57">
        <v>0.15196534514475915</v>
      </c>
      <c r="CJ67" s="101">
        <f t="shared" si="28"/>
        <v>1.4149223564805968E-2</v>
      </c>
      <c r="CK67" s="92">
        <v>0.68373587835568483</v>
      </c>
      <c r="CL67" s="57">
        <v>2.0693990198135295E-2</v>
      </c>
      <c r="CM67" s="101">
        <f t="shared" si="29"/>
        <v>0</v>
      </c>
      <c r="CN67" s="92">
        <v>0.68373587835568483</v>
      </c>
      <c r="CO67" s="57">
        <v>0</v>
      </c>
    </row>
    <row r="68" spans="1:94" ht="33.75">
      <c r="A68" s="38">
        <v>62</v>
      </c>
      <c r="B68" s="68" t="s">
        <v>19</v>
      </c>
      <c r="C68" s="46" t="s">
        <v>18</v>
      </c>
      <c r="D68" s="101">
        <f t="shared" si="0"/>
        <v>0</v>
      </c>
      <c r="E68" s="92">
        <v>0.36619326922349915</v>
      </c>
      <c r="F68" s="57">
        <v>0</v>
      </c>
      <c r="G68" s="101">
        <f t="shared" si="1"/>
        <v>0</v>
      </c>
      <c r="H68" s="92">
        <v>0.36619326922349915</v>
      </c>
      <c r="I68" s="57">
        <v>0</v>
      </c>
      <c r="J68" s="101">
        <f t="shared" si="2"/>
        <v>0</v>
      </c>
      <c r="K68" s="92">
        <v>0.36619326922349915</v>
      </c>
      <c r="L68" s="57">
        <v>0</v>
      </c>
      <c r="M68" s="101">
        <f t="shared" si="3"/>
        <v>0</v>
      </c>
      <c r="N68" s="92">
        <v>0.36619326922349915</v>
      </c>
      <c r="O68" s="57">
        <v>0</v>
      </c>
      <c r="P68" s="101">
        <f t="shared" si="4"/>
        <v>0</v>
      </c>
      <c r="Q68" s="92">
        <v>0.36619326922349915</v>
      </c>
      <c r="R68" s="57">
        <v>0</v>
      </c>
      <c r="S68" s="101">
        <f t="shared" si="5"/>
        <v>0</v>
      </c>
      <c r="T68" s="92">
        <v>0.36619326922349915</v>
      </c>
      <c r="U68" s="57">
        <v>0</v>
      </c>
      <c r="V68" s="101">
        <f t="shared" si="6"/>
        <v>0</v>
      </c>
      <c r="W68" s="92">
        <v>0.36619326922349915</v>
      </c>
      <c r="X68" s="57">
        <v>0</v>
      </c>
      <c r="Y68" s="101">
        <f t="shared" si="7"/>
        <v>0</v>
      </c>
      <c r="Z68" s="92">
        <v>0.36619326922349915</v>
      </c>
      <c r="AA68" s="57">
        <v>0</v>
      </c>
      <c r="AB68" s="101">
        <f t="shared" si="8"/>
        <v>0</v>
      </c>
      <c r="AC68" s="92">
        <v>0.36619326922349915</v>
      </c>
      <c r="AD68" s="57">
        <v>0</v>
      </c>
      <c r="AE68" s="101">
        <f t="shared" si="9"/>
        <v>0</v>
      </c>
      <c r="AF68" s="92">
        <v>0.36619326922349915</v>
      </c>
      <c r="AG68" s="57">
        <v>0</v>
      </c>
      <c r="AH68" s="101">
        <f t="shared" si="10"/>
        <v>0</v>
      </c>
      <c r="AI68" s="92">
        <v>0.36619326922349915</v>
      </c>
      <c r="AJ68" s="57">
        <v>0</v>
      </c>
      <c r="AK68" s="101">
        <f t="shared" si="11"/>
        <v>0</v>
      </c>
      <c r="AL68" s="92">
        <v>0.36619326922349915</v>
      </c>
      <c r="AM68" s="57">
        <v>0</v>
      </c>
      <c r="AN68" s="101">
        <f t="shared" si="12"/>
        <v>0</v>
      </c>
      <c r="AO68" s="92">
        <v>0.36619326922349915</v>
      </c>
      <c r="AP68" s="57">
        <v>0</v>
      </c>
      <c r="AQ68" s="101">
        <f t="shared" si="13"/>
        <v>0</v>
      </c>
      <c r="AR68" s="92">
        <v>0.36619326922349915</v>
      </c>
      <c r="AS68" s="57">
        <v>0</v>
      </c>
      <c r="AT68" s="101">
        <f t="shared" si="14"/>
        <v>0</v>
      </c>
      <c r="AU68" s="92">
        <v>0.36619326922349915</v>
      </c>
      <c r="AV68" s="57">
        <v>0</v>
      </c>
      <c r="AW68" s="101">
        <f t="shared" si="15"/>
        <v>0</v>
      </c>
      <c r="AX68" s="92">
        <v>0.36619326922349915</v>
      </c>
      <c r="AY68" s="57">
        <v>0</v>
      </c>
      <c r="AZ68" s="101">
        <f t="shared" si="16"/>
        <v>0</v>
      </c>
      <c r="BA68" s="92">
        <v>0.36619326922349915</v>
      </c>
      <c r="BB68" s="57">
        <v>0</v>
      </c>
      <c r="BC68" s="101">
        <f t="shared" si="17"/>
        <v>0</v>
      </c>
      <c r="BD68" s="92">
        <v>0.36619326922349915</v>
      </c>
      <c r="BE68" s="57">
        <v>0</v>
      </c>
      <c r="BF68" s="101">
        <f t="shared" si="18"/>
        <v>0</v>
      </c>
      <c r="BG68" s="92">
        <v>0.36619326922349915</v>
      </c>
      <c r="BH68" s="57">
        <v>0</v>
      </c>
      <c r="BI68" s="101">
        <f t="shared" si="19"/>
        <v>0</v>
      </c>
      <c r="BJ68" s="92">
        <v>0.36619326922349915</v>
      </c>
      <c r="BK68" s="57">
        <v>0</v>
      </c>
      <c r="BL68" s="101">
        <f t="shared" si="20"/>
        <v>0</v>
      </c>
      <c r="BM68" s="92">
        <v>0.36619326922349915</v>
      </c>
      <c r="BN68" s="57">
        <v>0</v>
      </c>
      <c r="BO68" s="101">
        <f t="shared" si="21"/>
        <v>0</v>
      </c>
      <c r="BP68" s="92">
        <v>0.36619326922349915</v>
      </c>
      <c r="BQ68" s="57">
        <v>0</v>
      </c>
      <c r="BR68" s="101">
        <f t="shared" si="22"/>
        <v>0</v>
      </c>
      <c r="BS68" s="92">
        <v>0.36619326922349915</v>
      </c>
      <c r="BT68" s="57">
        <v>0</v>
      </c>
      <c r="BU68" s="101">
        <f t="shared" si="23"/>
        <v>0</v>
      </c>
      <c r="BV68" s="92">
        <v>0.36619326922349915</v>
      </c>
      <c r="BW68" s="57">
        <v>0</v>
      </c>
      <c r="BX68" s="101">
        <f t="shared" si="24"/>
        <v>0</v>
      </c>
      <c r="BY68" s="92">
        <v>0.36619326922349915</v>
      </c>
      <c r="BZ68" s="57">
        <v>0</v>
      </c>
      <c r="CA68" s="101">
        <f t="shared" si="25"/>
        <v>0</v>
      </c>
      <c r="CB68" s="92">
        <v>0.36619326922349915</v>
      </c>
      <c r="CC68" s="57">
        <v>0</v>
      </c>
      <c r="CD68" s="101">
        <f t="shared" si="26"/>
        <v>0</v>
      </c>
      <c r="CE68" s="92">
        <v>0.36619326922349915</v>
      </c>
      <c r="CF68" s="57">
        <v>0</v>
      </c>
      <c r="CG68" s="101">
        <f t="shared" si="27"/>
        <v>0.36619326922349915</v>
      </c>
      <c r="CH68" s="92">
        <v>0.36619326922349915</v>
      </c>
      <c r="CI68" s="57">
        <v>1</v>
      </c>
      <c r="CJ68" s="101">
        <f t="shared" si="28"/>
        <v>0</v>
      </c>
      <c r="CK68" s="92">
        <v>0.36619326922349915</v>
      </c>
      <c r="CL68" s="57">
        <v>0</v>
      </c>
      <c r="CM68" s="101">
        <f t="shared" si="29"/>
        <v>0</v>
      </c>
      <c r="CN68" s="92">
        <v>0.36619326922349915</v>
      </c>
      <c r="CO68" s="57">
        <v>0</v>
      </c>
    </row>
    <row r="69" spans="1:94">
      <c r="A69" s="38">
        <v>63</v>
      </c>
      <c r="B69" s="68" t="s">
        <v>17</v>
      </c>
      <c r="C69" s="46" t="s">
        <v>16</v>
      </c>
      <c r="D69" s="101">
        <f t="shared" si="0"/>
        <v>2.9977890598039541E-5</v>
      </c>
      <c r="E69" s="92">
        <v>0.66295525410686973</v>
      </c>
      <c r="F69" s="57">
        <v>4.5218573067085227E-5</v>
      </c>
      <c r="G69" s="101">
        <f t="shared" si="1"/>
        <v>4.1939167817275568E-6</v>
      </c>
      <c r="H69" s="92">
        <v>0.66295525410686973</v>
      </c>
      <c r="I69" s="57">
        <v>6.3260932857038484E-6</v>
      </c>
      <c r="J69" s="101">
        <f t="shared" si="2"/>
        <v>7.1115023384560961E-6</v>
      </c>
      <c r="K69" s="92">
        <v>0.66295525410686973</v>
      </c>
      <c r="L69" s="57">
        <v>1.0726971834677862E-5</v>
      </c>
      <c r="M69" s="101">
        <f t="shared" si="3"/>
        <v>9.2022474365171012E-6</v>
      </c>
      <c r="N69" s="92">
        <v>0.66295525410686973</v>
      </c>
      <c r="O69" s="57">
        <v>1.38806463626483E-5</v>
      </c>
      <c r="P69" s="101">
        <f t="shared" si="4"/>
        <v>3.8027349193262095E-5</v>
      </c>
      <c r="Q69" s="92">
        <v>0.66295525410686973</v>
      </c>
      <c r="R69" s="57">
        <v>5.7360355706800101E-5</v>
      </c>
      <c r="S69" s="101">
        <f t="shared" si="5"/>
        <v>3.6335032891449686E-5</v>
      </c>
      <c r="T69" s="92">
        <v>0.66295525410686973</v>
      </c>
      <c r="U69" s="57">
        <v>5.4807670150227668E-5</v>
      </c>
      <c r="V69" s="101">
        <f t="shared" si="6"/>
        <v>7.0218230676897078E-6</v>
      </c>
      <c r="W69" s="92">
        <v>0.66295525410686973</v>
      </c>
      <c r="X69" s="57">
        <v>1.0591699853332448E-5</v>
      </c>
      <c r="Y69" s="101">
        <f t="shared" si="7"/>
        <v>6.9135064289877869E-6</v>
      </c>
      <c r="Z69" s="92">
        <v>0.66295525410686973</v>
      </c>
      <c r="AA69" s="57">
        <v>1.0428315314133276E-5</v>
      </c>
      <c r="AB69" s="101">
        <f t="shared" si="8"/>
        <v>2.2688372794640152E-5</v>
      </c>
      <c r="AC69" s="92">
        <v>0.66295525410686973</v>
      </c>
      <c r="AD69" s="57">
        <v>3.4223083162989367E-5</v>
      </c>
      <c r="AE69" s="101">
        <f t="shared" si="9"/>
        <v>1.9261643999297361E-5</v>
      </c>
      <c r="AF69" s="92">
        <v>0.66295525410686973</v>
      </c>
      <c r="AG69" s="57">
        <v>2.9054214262539575E-5</v>
      </c>
      <c r="AH69" s="101">
        <f t="shared" si="10"/>
        <v>1.4990826675311225E-5</v>
      </c>
      <c r="AI69" s="92">
        <v>0.66295525410686973</v>
      </c>
      <c r="AJ69" s="57">
        <v>2.2612124396701249E-5</v>
      </c>
      <c r="AK69" s="101">
        <f t="shared" si="11"/>
        <v>4.2483416905772673E-7</v>
      </c>
      <c r="AL69" s="92">
        <v>0.66295525410686973</v>
      </c>
      <c r="AM69" s="57">
        <v>6.4081876782176105E-7</v>
      </c>
      <c r="AN69" s="101">
        <f t="shared" si="12"/>
        <v>2.315498384933361E-6</v>
      </c>
      <c r="AO69" s="92">
        <v>0.66295525410686973</v>
      </c>
      <c r="AP69" s="57">
        <v>3.4926918077642961E-6</v>
      </c>
      <c r="AQ69" s="101">
        <f t="shared" si="13"/>
        <v>1.9890673391055137E-5</v>
      </c>
      <c r="AR69" s="92">
        <v>0.66295525410686973</v>
      </c>
      <c r="AS69" s="57">
        <v>3.0003040579038418E-5</v>
      </c>
      <c r="AT69" s="101">
        <f t="shared" si="14"/>
        <v>1.5238052406205809E-6</v>
      </c>
      <c r="AU69" s="92">
        <v>0.66295525410686973</v>
      </c>
      <c r="AV69" s="57">
        <v>2.2985039053253214E-6</v>
      </c>
      <c r="AW69" s="101">
        <f t="shared" si="15"/>
        <v>3.8471196617344377E-6</v>
      </c>
      <c r="AX69" s="92">
        <v>0.66295525410686973</v>
      </c>
      <c r="AY69" s="57">
        <v>5.8029854019593818E-6</v>
      </c>
      <c r="AZ69" s="101">
        <f t="shared" si="16"/>
        <v>1.0489584539525339E-5</v>
      </c>
      <c r="BA69" s="92">
        <v>0.66295525410686973</v>
      </c>
      <c r="BB69" s="57">
        <v>1.5822462337457237E-5</v>
      </c>
      <c r="BC69" s="101">
        <f t="shared" si="17"/>
        <v>2.5538658000288684E-6</v>
      </c>
      <c r="BD69" s="92">
        <v>0.66295525410686973</v>
      </c>
      <c r="BE69" s="57">
        <v>3.8522446035508453E-6</v>
      </c>
      <c r="BF69" s="101">
        <f t="shared" si="18"/>
        <v>2.949126629384327E-6</v>
      </c>
      <c r="BG69" s="92">
        <v>0.66295525410686973</v>
      </c>
      <c r="BH69" s="57">
        <v>4.4484550218360919E-6</v>
      </c>
      <c r="BI69" s="101">
        <f t="shared" si="19"/>
        <v>9.3864772377225997E-6</v>
      </c>
      <c r="BJ69" s="92">
        <v>0.66295525410686973</v>
      </c>
      <c r="BK69" s="57">
        <v>1.4158538120899304E-5</v>
      </c>
      <c r="BL69" s="101">
        <f t="shared" si="20"/>
        <v>9.0998712198833357E-6</v>
      </c>
      <c r="BM69" s="92">
        <v>0.66295525410686973</v>
      </c>
      <c r="BN69" s="57">
        <v>1.3726222340816411E-5</v>
      </c>
      <c r="BO69" s="101">
        <f t="shared" si="21"/>
        <v>1.6081226030704923E-5</v>
      </c>
      <c r="BP69" s="92">
        <v>0.66295525410686973</v>
      </c>
      <c r="BQ69" s="57">
        <v>2.4256879979583955E-5</v>
      </c>
      <c r="BR69" s="101">
        <f t="shared" si="22"/>
        <v>3.7374172790706105E-5</v>
      </c>
      <c r="BS69" s="92">
        <v>0.66295525410686973</v>
      </c>
      <c r="BT69" s="57">
        <v>5.6375106101325677E-5</v>
      </c>
      <c r="BU69" s="101">
        <f t="shared" si="23"/>
        <v>1.3376201643812811E-5</v>
      </c>
      <c r="BV69" s="92">
        <v>0.66295525410686973</v>
      </c>
      <c r="BW69" s="57">
        <v>2.0176628152428128E-5</v>
      </c>
      <c r="BX69" s="101">
        <f t="shared" si="24"/>
        <v>2.1941695217730337E-5</v>
      </c>
      <c r="BY69" s="92">
        <v>0.66295525410686973</v>
      </c>
      <c r="BZ69" s="57">
        <v>3.3096796626629181E-5</v>
      </c>
      <c r="CA69" s="101">
        <f t="shared" si="25"/>
        <v>9.0442588847450278E-4</v>
      </c>
      <c r="CB69" s="92">
        <v>0.66295525410686973</v>
      </c>
      <c r="CC69" s="57">
        <v>1.3642336837543299E-3</v>
      </c>
      <c r="CD69" s="101">
        <f t="shared" si="26"/>
        <v>7.6707775655549511E-5</v>
      </c>
      <c r="CE69" s="92">
        <v>0.66295525410686973</v>
      </c>
      <c r="CF69" s="57">
        <v>1.1570581148631196E-4</v>
      </c>
      <c r="CG69" s="101">
        <f t="shared" si="27"/>
        <v>1.6015464986607394E-3</v>
      </c>
      <c r="CH69" s="92">
        <v>0.66295525410686973</v>
      </c>
      <c r="CI69" s="57">
        <v>2.4157686189821897E-3</v>
      </c>
      <c r="CJ69" s="101">
        <f t="shared" si="28"/>
        <v>3.0871863922503902E-3</v>
      </c>
      <c r="CK69" s="92">
        <v>0.66295525410686973</v>
      </c>
      <c r="CL69" s="57">
        <v>4.6567040130173392E-3</v>
      </c>
      <c r="CM69" s="101">
        <f t="shared" si="29"/>
        <v>0</v>
      </c>
      <c r="CN69" s="92">
        <v>0.66295525410686973</v>
      </c>
      <c r="CO69" s="57">
        <v>0</v>
      </c>
    </row>
    <row r="70" spans="1:94">
      <c r="A70" s="38">
        <v>64</v>
      </c>
      <c r="B70" s="68" t="s">
        <v>15</v>
      </c>
      <c r="C70" s="46" t="s">
        <v>14</v>
      </c>
      <c r="D70" s="101">
        <f t="shared" si="0"/>
        <v>6.1984787295987458E-6</v>
      </c>
      <c r="E70" s="92">
        <v>0.50169447861857663</v>
      </c>
      <c r="F70" s="57">
        <v>1.235508659905198E-5</v>
      </c>
      <c r="G70" s="101">
        <f t="shared" si="1"/>
        <v>6.1448447311837943E-7</v>
      </c>
      <c r="H70" s="92">
        <v>0.50169447861857663</v>
      </c>
      <c r="I70" s="57">
        <v>1.2248180901060975E-6</v>
      </c>
      <c r="J70" s="101">
        <f t="shared" si="2"/>
        <v>1.2365384460002929E-6</v>
      </c>
      <c r="K70" s="92">
        <v>0.50169447861857663</v>
      </c>
      <c r="L70" s="57">
        <v>2.4647240476018796E-6</v>
      </c>
      <c r="M70" s="101">
        <f t="shared" si="3"/>
        <v>6.0364990657142555E-5</v>
      </c>
      <c r="N70" s="92">
        <v>0.50169447861857663</v>
      </c>
      <c r="O70" s="57">
        <v>1.203222144747506E-4</v>
      </c>
      <c r="P70" s="101">
        <f t="shared" si="4"/>
        <v>3.1002940989133306E-5</v>
      </c>
      <c r="Q70" s="92">
        <v>0.50169447861857663</v>
      </c>
      <c r="R70" s="57">
        <v>6.1796456430017672E-5</v>
      </c>
      <c r="S70" s="101">
        <f t="shared" si="5"/>
        <v>2.538457068666761E-5</v>
      </c>
      <c r="T70" s="92">
        <v>0.50169447861857663</v>
      </c>
      <c r="U70" s="57">
        <v>5.0597668040047824E-5</v>
      </c>
      <c r="V70" s="101">
        <f t="shared" si="6"/>
        <v>4.9425654181615551E-6</v>
      </c>
      <c r="W70" s="92">
        <v>0.50169447861857663</v>
      </c>
      <c r="X70" s="57">
        <v>9.851743698218454E-6</v>
      </c>
      <c r="Y70" s="101">
        <f t="shared" si="7"/>
        <v>5.6678737820988305E-6</v>
      </c>
      <c r="Z70" s="92">
        <v>0.50169447861857663</v>
      </c>
      <c r="AA70" s="57">
        <v>1.1297460952142442E-5</v>
      </c>
      <c r="AB70" s="101">
        <f t="shared" si="8"/>
        <v>1.3842373795731278E-5</v>
      </c>
      <c r="AC70" s="92">
        <v>0.50169447861857663</v>
      </c>
      <c r="AD70" s="57">
        <v>2.7591242052028287E-5</v>
      </c>
      <c r="AE70" s="101">
        <f t="shared" si="9"/>
        <v>2.4667857916666869E-5</v>
      </c>
      <c r="AF70" s="92">
        <v>0.50169447861857663</v>
      </c>
      <c r="AG70" s="57">
        <v>4.916908391057081E-5</v>
      </c>
      <c r="AH70" s="101">
        <f t="shared" si="10"/>
        <v>3.0481275123167225E-6</v>
      </c>
      <c r="AI70" s="92">
        <v>0.50169447861857663</v>
      </c>
      <c r="AJ70" s="57">
        <v>6.0756648562483447E-6</v>
      </c>
      <c r="AK70" s="101">
        <f t="shared" si="11"/>
        <v>9.0197228070960625E-8</v>
      </c>
      <c r="AL70" s="92">
        <v>0.50169447861857663</v>
      </c>
      <c r="AM70" s="57">
        <v>1.7978517188253708E-7</v>
      </c>
      <c r="AN70" s="101">
        <f t="shared" si="12"/>
        <v>7.8585313495907201E-7</v>
      </c>
      <c r="AO70" s="92">
        <v>0.50169447861857663</v>
      </c>
      <c r="AP70" s="57">
        <v>1.5663978147077291E-6</v>
      </c>
      <c r="AQ70" s="101">
        <f t="shared" si="13"/>
        <v>1.0641111956711686E-4</v>
      </c>
      <c r="AR70" s="92">
        <v>0.50169447861857663</v>
      </c>
      <c r="AS70" s="57">
        <v>2.1210342968119064E-4</v>
      </c>
      <c r="AT70" s="101">
        <f t="shared" si="14"/>
        <v>7.501109833146279E-7</v>
      </c>
      <c r="AU70" s="92">
        <v>0.50169447861857663</v>
      </c>
      <c r="AV70" s="57">
        <v>1.495154950439299E-6</v>
      </c>
      <c r="AW70" s="101">
        <f t="shared" si="15"/>
        <v>2.6040838975518179E-6</v>
      </c>
      <c r="AX70" s="92">
        <v>0.50169447861857663</v>
      </c>
      <c r="AY70" s="57">
        <v>5.1905771511024051E-6</v>
      </c>
      <c r="AZ70" s="101">
        <f t="shared" si="16"/>
        <v>4.8851196300978851E-6</v>
      </c>
      <c r="BA70" s="92">
        <v>0.50169447861857663</v>
      </c>
      <c r="BB70" s="57">
        <v>9.7372401696529252E-6</v>
      </c>
      <c r="BC70" s="101">
        <f t="shared" si="17"/>
        <v>1.142085936224475E-6</v>
      </c>
      <c r="BD70" s="92">
        <v>0.50169447861857663</v>
      </c>
      <c r="BE70" s="57">
        <v>2.2764570568311335E-6</v>
      </c>
      <c r="BF70" s="101">
        <f t="shared" si="18"/>
        <v>1.7417499980213709E-6</v>
      </c>
      <c r="BG70" s="92">
        <v>0.50169447861857663</v>
      </c>
      <c r="BH70" s="57">
        <v>3.4717344364986954E-6</v>
      </c>
      <c r="BI70" s="101">
        <f t="shared" si="19"/>
        <v>9.5633776966773208E-6</v>
      </c>
      <c r="BJ70" s="92">
        <v>0.50169447861857663</v>
      </c>
      <c r="BK70" s="57">
        <v>1.9062154566680156E-5</v>
      </c>
      <c r="BL70" s="101">
        <f t="shared" si="20"/>
        <v>1.2990242518745887E-5</v>
      </c>
      <c r="BM70" s="92">
        <v>0.50169447861857663</v>
      </c>
      <c r="BN70" s="57">
        <v>2.5892735663575006E-5</v>
      </c>
      <c r="BO70" s="101">
        <f t="shared" si="21"/>
        <v>6.5718258050684553E-6</v>
      </c>
      <c r="BP70" s="92">
        <v>0.50169447861857663</v>
      </c>
      <c r="BQ70" s="57">
        <v>1.3099258782285341E-5</v>
      </c>
      <c r="BR70" s="101">
        <f t="shared" si="22"/>
        <v>4.0922984423541679E-5</v>
      </c>
      <c r="BS70" s="92">
        <v>0.50169447861857663</v>
      </c>
      <c r="BT70" s="57">
        <v>8.1569533187257195E-5</v>
      </c>
      <c r="BU70" s="101">
        <f t="shared" si="23"/>
        <v>1.2800588023762993E-4</v>
      </c>
      <c r="BV70" s="92">
        <v>0.50169447861857663</v>
      </c>
      <c r="BW70" s="57">
        <v>2.5514707793894019E-4</v>
      </c>
      <c r="BX70" s="101">
        <f t="shared" si="24"/>
        <v>4.0550886260002902E-5</v>
      </c>
      <c r="BY70" s="92">
        <v>0.50169447861857663</v>
      </c>
      <c r="BZ70" s="57">
        <v>8.0827850391458129E-5</v>
      </c>
      <c r="CA70" s="101">
        <f t="shared" si="25"/>
        <v>7.06896639075664E-6</v>
      </c>
      <c r="CB70" s="92">
        <v>0.50169447861857663</v>
      </c>
      <c r="CC70" s="57">
        <v>1.4090181758071459E-5</v>
      </c>
      <c r="CD70" s="101">
        <f t="shared" si="26"/>
        <v>1.884448733119161E-5</v>
      </c>
      <c r="CE70" s="92">
        <v>0.50169447861857663</v>
      </c>
      <c r="CF70" s="57">
        <v>3.7561679736002262E-5</v>
      </c>
      <c r="CG70" s="101">
        <f t="shared" si="27"/>
        <v>2.9543461347624032E-5</v>
      </c>
      <c r="CH70" s="92">
        <v>0.50169447861857663</v>
      </c>
      <c r="CI70" s="57">
        <v>5.8887355964076785E-5</v>
      </c>
      <c r="CJ70" s="101">
        <f t="shared" si="28"/>
        <v>9.9618798343727265E-6</v>
      </c>
      <c r="CK70" s="92">
        <v>0.50169447861857663</v>
      </c>
      <c r="CL70" s="57">
        <v>1.9856466951366324E-5</v>
      </c>
      <c r="CM70" s="101">
        <f t="shared" si="29"/>
        <v>0</v>
      </c>
      <c r="CN70" s="92">
        <v>0.50169447861857663</v>
      </c>
      <c r="CO70" s="57">
        <v>0</v>
      </c>
    </row>
    <row r="71" spans="1:94">
      <c r="A71" s="38">
        <v>65</v>
      </c>
      <c r="B71" s="68" t="s">
        <v>13</v>
      </c>
      <c r="C71" s="46" t="s">
        <v>12</v>
      </c>
      <c r="D71" s="101">
        <f t="shared" si="0"/>
        <v>0</v>
      </c>
      <c r="E71" s="92">
        <v>0.3711721613127959</v>
      </c>
      <c r="F71" s="57">
        <v>0</v>
      </c>
      <c r="G71" s="101">
        <f t="shared" si="1"/>
        <v>0</v>
      </c>
      <c r="H71" s="92">
        <v>0.3711721613127959</v>
      </c>
      <c r="I71" s="57">
        <v>0</v>
      </c>
      <c r="J71" s="101">
        <f t="shared" si="2"/>
        <v>0</v>
      </c>
      <c r="K71" s="92">
        <v>0.3711721613127959</v>
      </c>
      <c r="L71" s="57">
        <v>0</v>
      </c>
      <c r="M71" s="101">
        <f t="shared" si="3"/>
        <v>0</v>
      </c>
      <c r="N71" s="92">
        <v>0.3711721613127959</v>
      </c>
      <c r="O71" s="57">
        <v>0</v>
      </c>
      <c r="P71" s="101">
        <f t="shared" si="4"/>
        <v>0</v>
      </c>
      <c r="Q71" s="92">
        <v>0.3711721613127959</v>
      </c>
      <c r="R71" s="57">
        <v>0</v>
      </c>
      <c r="S71" s="101">
        <f t="shared" si="5"/>
        <v>0</v>
      </c>
      <c r="T71" s="92">
        <v>0.3711721613127959</v>
      </c>
      <c r="U71" s="57">
        <v>0</v>
      </c>
      <c r="V71" s="101">
        <f t="shared" si="6"/>
        <v>0</v>
      </c>
      <c r="W71" s="92">
        <v>0.3711721613127959</v>
      </c>
      <c r="X71" s="57">
        <v>0</v>
      </c>
      <c r="Y71" s="101">
        <f t="shared" si="7"/>
        <v>0</v>
      </c>
      <c r="Z71" s="92">
        <v>0.3711721613127959</v>
      </c>
      <c r="AA71" s="57">
        <v>0</v>
      </c>
      <c r="AB71" s="101">
        <f t="shared" si="8"/>
        <v>0</v>
      </c>
      <c r="AC71" s="92">
        <v>0.3711721613127959</v>
      </c>
      <c r="AD71" s="57">
        <v>0</v>
      </c>
      <c r="AE71" s="101">
        <f t="shared" si="9"/>
        <v>0</v>
      </c>
      <c r="AF71" s="92">
        <v>0.3711721613127959</v>
      </c>
      <c r="AG71" s="57">
        <v>0</v>
      </c>
      <c r="AH71" s="101">
        <f t="shared" si="10"/>
        <v>0</v>
      </c>
      <c r="AI71" s="92">
        <v>0.3711721613127959</v>
      </c>
      <c r="AJ71" s="57">
        <v>0</v>
      </c>
      <c r="AK71" s="101">
        <f t="shared" si="11"/>
        <v>0</v>
      </c>
      <c r="AL71" s="92">
        <v>0.3711721613127959</v>
      </c>
      <c r="AM71" s="57">
        <v>0</v>
      </c>
      <c r="AN71" s="101">
        <f t="shared" si="12"/>
        <v>0</v>
      </c>
      <c r="AO71" s="92">
        <v>0.3711721613127959</v>
      </c>
      <c r="AP71" s="57">
        <v>0</v>
      </c>
      <c r="AQ71" s="101">
        <f t="shared" si="13"/>
        <v>0</v>
      </c>
      <c r="AR71" s="92">
        <v>0.3711721613127959</v>
      </c>
      <c r="AS71" s="57">
        <v>0</v>
      </c>
      <c r="AT71" s="101">
        <f t="shared" si="14"/>
        <v>0</v>
      </c>
      <c r="AU71" s="92">
        <v>0.3711721613127959</v>
      </c>
      <c r="AV71" s="57">
        <v>0</v>
      </c>
      <c r="AW71" s="101">
        <f t="shared" si="15"/>
        <v>0</v>
      </c>
      <c r="AX71" s="92">
        <v>0.3711721613127959</v>
      </c>
      <c r="AY71" s="57">
        <v>0</v>
      </c>
      <c r="AZ71" s="101">
        <f t="shared" si="16"/>
        <v>0</v>
      </c>
      <c r="BA71" s="92">
        <v>0.3711721613127959</v>
      </c>
      <c r="BB71" s="57">
        <v>0</v>
      </c>
      <c r="BC71" s="101">
        <f t="shared" si="17"/>
        <v>0</v>
      </c>
      <c r="BD71" s="92">
        <v>0.3711721613127959</v>
      </c>
      <c r="BE71" s="57">
        <v>0</v>
      </c>
      <c r="BF71" s="101">
        <f t="shared" si="18"/>
        <v>0</v>
      </c>
      <c r="BG71" s="92">
        <v>0.3711721613127959</v>
      </c>
      <c r="BH71" s="57">
        <v>0</v>
      </c>
      <c r="BI71" s="101">
        <f t="shared" si="19"/>
        <v>0</v>
      </c>
      <c r="BJ71" s="92">
        <v>0.3711721613127959</v>
      </c>
      <c r="BK71" s="57">
        <v>0</v>
      </c>
      <c r="BL71" s="101">
        <f t="shared" si="20"/>
        <v>0</v>
      </c>
      <c r="BM71" s="92">
        <v>0.3711721613127959</v>
      </c>
      <c r="BN71" s="57">
        <v>0</v>
      </c>
      <c r="BO71" s="101">
        <f t="shared" si="21"/>
        <v>0</v>
      </c>
      <c r="BP71" s="92">
        <v>0.3711721613127959</v>
      </c>
      <c r="BQ71" s="57">
        <v>0</v>
      </c>
      <c r="BR71" s="101">
        <f t="shared" si="22"/>
        <v>0</v>
      </c>
      <c r="BS71" s="92">
        <v>0.3711721613127959</v>
      </c>
      <c r="BT71" s="57">
        <v>0</v>
      </c>
      <c r="BU71" s="101">
        <f t="shared" si="23"/>
        <v>0</v>
      </c>
      <c r="BV71" s="92">
        <v>0.3711721613127959</v>
      </c>
      <c r="BW71" s="57">
        <v>0</v>
      </c>
      <c r="BX71" s="101">
        <f t="shared" si="24"/>
        <v>0</v>
      </c>
      <c r="BY71" s="92">
        <v>0.3711721613127959</v>
      </c>
      <c r="BZ71" s="57">
        <v>0</v>
      </c>
      <c r="CA71" s="101">
        <f t="shared" si="25"/>
        <v>0</v>
      </c>
      <c r="CB71" s="92">
        <v>0.3711721613127959</v>
      </c>
      <c r="CC71" s="57">
        <v>0</v>
      </c>
      <c r="CD71" s="101">
        <f t="shared" si="26"/>
        <v>0</v>
      </c>
      <c r="CE71" s="92">
        <v>0.3711721613127959</v>
      </c>
      <c r="CF71" s="57">
        <v>0</v>
      </c>
      <c r="CG71" s="101">
        <f t="shared" si="27"/>
        <v>0</v>
      </c>
      <c r="CH71" s="92">
        <v>0.3711721613127959</v>
      </c>
      <c r="CI71" s="57">
        <v>0</v>
      </c>
      <c r="CJ71" s="101">
        <f t="shared" si="28"/>
        <v>0.3711721613127959</v>
      </c>
      <c r="CK71" s="92">
        <v>0.3711721613127959</v>
      </c>
      <c r="CL71" s="57">
        <v>1</v>
      </c>
      <c r="CM71" s="101">
        <f t="shared" si="29"/>
        <v>0</v>
      </c>
      <c r="CN71" s="92">
        <v>0.3711721613127959</v>
      </c>
      <c r="CO71" s="57">
        <v>0</v>
      </c>
    </row>
    <row r="72" spans="1:94" ht="22.5">
      <c r="A72" s="38">
        <v>66</v>
      </c>
      <c r="B72" s="68" t="s">
        <v>93</v>
      </c>
      <c r="C72" s="46" t="s">
        <v>156</v>
      </c>
      <c r="D72" s="101">
        <f t="shared" ref="D72:D74" si="30">E72*F72</f>
        <v>1.9888880845799394E-6</v>
      </c>
      <c r="E72" s="92">
        <v>0.55235122666638714</v>
      </c>
      <c r="F72" s="57">
        <v>3.6007670275007856E-6</v>
      </c>
      <c r="G72" s="101">
        <f t="shared" ref="G72:G73" si="31">H72*I72</f>
        <v>1.4104114985086337E-7</v>
      </c>
      <c r="H72" s="92">
        <v>0.55235122666638714</v>
      </c>
      <c r="I72" s="57">
        <v>2.5534685729239879E-7</v>
      </c>
      <c r="J72" s="101">
        <f t="shared" ref="J72:J74" si="32">K72*L72</f>
        <v>6.0469828234500321E-7</v>
      </c>
      <c r="K72" s="92">
        <v>0.55235122666638714</v>
      </c>
      <c r="L72" s="57">
        <v>1.0947713214914847E-6</v>
      </c>
      <c r="M72" s="101">
        <f t="shared" ref="M72:M73" si="33">N72*O72</f>
        <v>3.5829277313960211E-7</v>
      </c>
      <c r="N72" s="92">
        <v>0.55235122666638714</v>
      </c>
      <c r="O72" s="57">
        <v>6.4866837592089971E-7</v>
      </c>
      <c r="P72" s="101">
        <f t="shared" ref="P72:P74" si="34">Q72*R72</f>
        <v>1.0563916743723682E-6</v>
      </c>
      <c r="Q72" s="92">
        <v>0.55235122666638714</v>
      </c>
      <c r="R72" s="57">
        <v>1.9125361244294199E-6</v>
      </c>
      <c r="S72" s="101">
        <f t="shared" ref="S72:S74" si="35">T72*U72</f>
        <v>9.7589540274635873E-7</v>
      </c>
      <c r="T72" s="92">
        <v>0.55235122666638714</v>
      </c>
      <c r="U72" s="57">
        <v>1.7668022729598947E-6</v>
      </c>
      <c r="V72" s="101">
        <f t="shared" ref="V72:V74" si="36">W72*X72</f>
        <v>3.3764907785434289E-7</v>
      </c>
      <c r="W72" s="92">
        <v>0.55235122666638714</v>
      </c>
      <c r="X72" s="57">
        <v>6.1129415769049878E-7</v>
      </c>
      <c r="Y72" s="101">
        <f t="shared" ref="Y72:Y74" si="37">Z72*AA72</f>
        <v>3.3031414369630094E-7</v>
      </c>
      <c r="Z72" s="92">
        <v>0.55235122666638714</v>
      </c>
      <c r="AA72" s="57">
        <v>5.9801468295788958E-7</v>
      </c>
      <c r="AB72" s="101">
        <f t="shared" ref="AB72:AB74" si="38">AC72*AD72</f>
        <v>7.5300899182165683E-7</v>
      </c>
      <c r="AC72" s="92">
        <v>0.55235122666638714</v>
      </c>
      <c r="AD72" s="57">
        <v>1.3632792967009456E-6</v>
      </c>
      <c r="AE72" s="101">
        <f t="shared" ref="AE72:AE74" si="39">AF72*AG72</f>
        <v>4.2432999684451872E-7</v>
      </c>
      <c r="AF72" s="92">
        <v>0.55235122666638714</v>
      </c>
      <c r="AG72" s="57">
        <v>7.6822495607637792E-7</v>
      </c>
      <c r="AH72" s="101">
        <f t="shared" ref="AH72:AH74" si="40">AI72*AJ72</f>
        <v>8.1677437713220381E-7</v>
      </c>
      <c r="AI72" s="92">
        <v>0.55235122666638714</v>
      </c>
      <c r="AJ72" s="57">
        <v>1.4787228446321976E-6</v>
      </c>
      <c r="AK72" s="101">
        <f t="shared" ref="AK72:AK74" si="41">AL72*AM72</f>
        <v>1.8682422781535046E-8</v>
      </c>
      <c r="AL72" s="92">
        <v>0.55235122666638714</v>
      </c>
      <c r="AM72" s="57">
        <v>3.3823447617359929E-8</v>
      </c>
      <c r="AN72" s="101">
        <f t="shared" ref="AN72:AN74" si="42">AO72*AP72</f>
        <v>1.4983715888260313E-7</v>
      </c>
      <c r="AO72" s="92">
        <v>0.55235122666638714</v>
      </c>
      <c r="AP72" s="57">
        <v>2.7127152371312248E-7</v>
      </c>
      <c r="AQ72" s="101">
        <f t="shared" ref="AQ72:AQ74" si="43">AR72*AS72</f>
        <v>1.4066976745371009E-6</v>
      </c>
      <c r="AR72" s="92">
        <v>0.55235122666638714</v>
      </c>
      <c r="AS72" s="57">
        <v>2.5467449090806992E-6</v>
      </c>
      <c r="AT72" s="101">
        <f t="shared" ref="AT72:AT74" si="44">AU72*AV72</f>
        <v>8.2400207122070517E-8</v>
      </c>
      <c r="AU72" s="92">
        <v>0.55235122666638714</v>
      </c>
      <c r="AV72" s="57">
        <v>1.4918081674115508E-7</v>
      </c>
      <c r="AW72" s="101">
        <f t="shared" ref="AW72:AW74" si="45">AX72*AY72</f>
        <v>1.8978666293514242E-7</v>
      </c>
      <c r="AX72" s="92">
        <v>0.55235122666638714</v>
      </c>
      <c r="AY72" s="57">
        <v>3.4359779389024705E-7</v>
      </c>
      <c r="AZ72" s="101">
        <f t="shared" ref="AZ72:AZ74" si="46">BA72*BB72</f>
        <v>5.3770904358573454E-7</v>
      </c>
      <c r="BA72" s="92">
        <v>0.55235122666638714</v>
      </c>
      <c r="BB72" s="57">
        <v>9.7349117305482816E-7</v>
      </c>
      <c r="BC72" s="101">
        <f t="shared" ref="BC72:BC74" si="47">BD72*BE72</f>
        <v>1.3185831759374122E-7</v>
      </c>
      <c r="BD72" s="92">
        <v>0.55235122666638714</v>
      </c>
      <c r="BE72" s="57">
        <v>2.3872186975947808E-7</v>
      </c>
      <c r="BF72" s="101">
        <f t="shared" ref="BF72:BF74" si="48">BG72*BH72</f>
        <v>1.6948380874747489E-7</v>
      </c>
      <c r="BG72" s="92">
        <v>0.55235122666638714</v>
      </c>
      <c r="BH72" s="57">
        <v>3.0684064878494584E-7</v>
      </c>
      <c r="BI72" s="101">
        <f t="shared" ref="BI72:BI74" si="49">BJ72*BK72</f>
        <v>4.9090286307277574E-7</v>
      </c>
      <c r="BJ72" s="92">
        <v>0.55235122666638714</v>
      </c>
      <c r="BK72" s="57">
        <v>8.8875128608933939E-7</v>
      </c>
      <c r="BL72" s="101">
        <f t="shared" ref="BL72:BL74" si="50">BM72*BN72</f>
        <v>5.5848646818389029E-7</v>
      </c>
      <c r="BM72" s="92">
        <v>0.55235122666638714</v>
      </c>
      <c r="BN72" s="57">
        <v>1.0111075004839426E-6</v>
      </c>
      <c r="BO72" s="101">
        <f t="shared" ref="BO72:BO74" si="51">BP72*BQ72</f>
        <v>1.1701179538642089E-6</v>
      </c>
      <c r="BP72" s="92">
        <v>0.55235122666638714</v>
      </c>
      <c r="BQ72" s="57">
        <v>2.1184309862516966E-6</v>
      </c>
      <c r="BR72" s="101">
        <f t="shared" ref="BR72:BR74" si="52">BS72*BT72</f>
        <v>1.9199992267097575E-6</v>
      </c>
      <c r="BS72" s="92">
        <v>0.55235122666638714</v>
      </c>
      <c r="BT72" s="57">
        <v>3.4760477283585573E-6</v>
      </c>
      <c r="BU72" s="101">
        <f t="shared" ref="BU72:BU74" si="53">BV72*BW72</f>
        <v>8.1014107504938806E-7</v>
      </c>
      <c r="BV72" s="92">
        <v>0.55235122666638714</v>
      </c>
      <c r="BW72" s="57">
        <v>1.4667136342555869E-6</v>
      </c>
      <c r="BX72" s="101">
        <f t="shared" ref="BX72:BX74" si="54">BY72*BZ72</f>
        <v>2.1307033651384996E-6</v>
      </c>
      <c r="BY72" s="92">
        <v>0.55235122666638714</v>
      </c>
      <c r="BZ72" s="57">
        <v>3.8575154037367899E-6</v>
      </c>
      <c r="CA72" s="101">
        <f t="shared" ref="CA72:CA74" si="55">CB72*CC72</f>
        <v>8.8250588247140062E-5</v>
      </c>
      <c r="CB72" s="92">
        <v>0.55235122666638714</v>
      </c>
      <c r="CC72" s="57">
        <v>1.5977259393404453E-4</v>
      </c>
      <c r="CD72" s="101">
        <f t="shared" ref="CD72:CD74" si="56">CE72*CF72</f>
        <v>1.6018430535128871E-5</v>
      </c>
      <c r="CE72" s="92">
        <v>0.55235122666638714</v>
      </c>
      <c r="CF72" s="57">
        <v>2.9000443489200022E-5</v>
      </c>
      <c r="CG72" s="101">
        <f t="shared" ref="CG72:CG74" si="57">CH72*CI72</f>
        <v>1.5243328483848782E-3</v>
      </c>
      <c r="CH72" s="92">
        <v>0.55235122666638714</v>
      </c>
      <c r="CI72" s="57">
        <v>2.7597165984127618E-3</v>
      </c>
      <c r="CJ72" s="101">
        <f t="shared" ref="CJ72:CJ74" si="58">CK72*CL72</f>
        <v>1.0991513793820083E-3</v>
      </c>
      <c r="CK72" s="92">
        <v>0.55235122666638714</v>
      </c>
      <c r="CL72" s="57">
        <v>1.9899501011625006E-3</v>
      </c>
      <c r="CM72" s="101">
        <f t="shared" ref="CM72:CM73" si="59">CN72*CO72</f>
        <v>0</v>
      </c>
      <c r="CN72" s="92">
        <v>0.55235122666638714</v>
      </c>
      <c r="CO72" s="57">
        <v>0</v>
      </c>
    </row>
    <row r="73" spans="1:94">
      <c r="A73" s="38">
        <v>67</v>
      </c>
      <c r="B73" s="68" t="s">
        <v>92</v>
      </c>
      <c r="C73" s="46" t="s">
        <v>155</v>
      </c>
      <c r="D73" s="101">
        <f t="shared" si="30"/>
        <v>6.0952869884704371E-5</v>
      </c>
      <c r="E73" s="92">
        <v>0.65057854930133208</v>
      </c>
      <c r="F73" s="57">
        <v>9.3690254543686916E-5</v>
      </c>
      <c r="G73" s="101">
        <f t="shared" si="31"/>
        <v>1.0414663103638121E-5</v>
      </c>
      <c r="H73" s="92">
        <v>0.65057854930133208</v>
      </c>
      <c r="I73" s="57">
        <v>1.60083100108705E-5</v>
      </c>
      <c r="J73" s="101">
        <f t="shared" si="32"/>
        <v>1.2257633006313272E-5</v>
      </c>
      <c r="K73" s="92">
        <v>0.65057854930133208</v>
      </c>
      <c r="L73" s="57">
        <v>1.884112690078233E-5</v>
      </c>
      <c r="M73" s="101">
        <f t="shared" si="33"/>
        <v>1.3482158937737843E-5</v>
      </c>
      <c r="N73" s="92">
        <v>0.65057854930133208</v>
      </c>
      <c r="O73" s="57">
        <v>2.0723337638808677E-5</v>
      </c>
      <c r="P73" s="101">
        <f t="shared" si="34"/>
        <v>5.2147849482240641E-5</v>
      </c>
      <c r="Q73" s="92">
        <v>0.65057854930133208</v>
      </c>
      <c r="R73" s="57">
        <v>8.0156115719221216E-5</v>
      </c>
      <c r="S73" s="101">
        <f t="shared" si="35"/>
        <v>4.1959383858495882E-5</v>
      </c>
      <c r="T73" s="92">
        <v>0.65057854930133208</v>
      </c>
      <c r="U73" s="57">
        <v>6.4495492363768854E-5</v>
      </c>
      <c r="V73" s="101">
        <f t="shared" si="36"/>
        <v>1.5595001886301112E-5</v>
      </c>
      <c r="W73" s="92">
        <v>0.65057854930133208</v>
      </c>
      <c r="X73" s="57">
        <v>2.3970974608752259E-5</v>
      </c>
      <c r="Y73" s="101">
        <f t="shared" si="37"/>
        <v>1.5398619144984489E-5</v>
      </c>
      <c r="Z73" s="92">
        <v>0.65057854930133208</v>
      </c>
      <c r="AA73" s="57">
        <v>2.3669115991483799E-5</v>
      </c>
      <c r="AB73" s="101">
        <f t="shared" si="38"/>
        <v>1.6929632405302903E-5</v>
      </c>
      <c r="AC73" s="92">
        <v>0.65057854930133208</v>
      </c>
      <c r="AD73" s="57">
        <v>2.6022426382615808E-5</v>
      </c>
      <c r="AE73" s="101">
        <f t="shared" si="39"/>
        <v>1.7353797060011957E-5</v>
      </c>
      <c r="AF73" s="92">
        <v>0.65057854930133208</v>
      </c>
      <c r="AG73" s="57">
        <v>2.6674407077590416E-5</v>
      </c>
      <c r="AH73" s="101">
        <f t="shared" si="40"/>
        <v>2.2532743592805037E-5</v>
      </c>
      <c r="AI73" s="92">
        <v>0.65057854930133208</v>
      </c>
      <c r="AJ73" s="57">
        <v>3.4634931657373814E-5</v>
      </c>
      <c r="AK73" s="101">
        <f t="shared" si="41"/>
        <v>5.6314142005023929E-7</v>
      </c>
      <c r="AL73" s="92">
        <v>0.65057854930133208</v>
      </c>
      <c r="AM73" s="57">
        <v>8.656009649488242E-7</v>
      </c>
      <c r="AN73" s="101">
        <f t="shared" si="42"/>
        <v>4.6135178857910309E-6</v>
      </c>
      <c r="AO73" s="92">
        <v>0.65057854930133208</v>
      </c>
      <c r="AP73" s="57">
        <v>7.0914079333626507E-6</v>
      </c>
      <c r="AQ73" s="101">
        <f t="shared" si="43"/>
        <v>3.289939756277072E-5</v>
      </c>
      <c r="AR73" s="92">
        <v>0.65057854930133208</v>
      </c>
      <c r="AS73" s="57">
        <v>5.0569447145316992E-5</v>
      </c>
      <c r="AT73" s="101">
        <f t="shared" si="44"/>
        <v>3.2194348867845721E-6</v>
      </c>
      <c r="AU73" s="92">
        <v>0.65057854930133208</v>
      </c>
      <c r="AV73" s="57">
        <v>4.9485721443505642E-6</v>
      </c>
      <c r="AW73" s="101">
        <f t="shared" si="45"/>
        <v>8.4476799857529964E-6</v>
      </c>
      <c r="AX73" s="92">
        <v>0.65057854930133208</v>
      </c>
      <c r="AY73" s="57">
        <v>1.2984873225262515E-5</v>
      </c>
      <c r="AZ73" s="101">
        <f t="shared" si="46"/>
        <v>2.3928427107240351E-5</v>
      </c>
      <c r="BA73" s="92">
        <v>0.65057854930133208</v>
      </c>
      <c r="BB73" s="57">
        <v>3.6780227588102183E-5</v>
      </c>
      <c r="BC73" s="101">
        <f t="shared" si="47"/>
        <v>7.9818513769962162E-6</v>
      </c>
      <c r="BD73" s="92">
        <v>0.65057854930133208</v>
      </c>
      <c r="BE73" s="57">
        <v>1.2268851141139021E-5</v>
      </c>
      <c r="BF73" s="101">
        <f t="shared" si="48"/>
        <v>6.3693092457173384E-6</v>
      </c>
      <c r="BG73" s="92">
        <v>0.65057854930133208</v>
      </c>
      <c r="BH73" s="57">
        <v>9.7902232598315048E-6</v>
      </c>
      <c r="BI73" s="101">
        <f t="shared" si="49"/>
        <v>2.1811510093237965E-5</v>
      </c>
      <c r="BJ73" s="92">
        <v>0.65057854930133208</v>
      </c>
      <c r="BK73" s="57">
        <v>3.3526328399025351E-5</v>
      </c>
      <c r="BL73" s="101">
        <f t="shared" si="50"/>
        <v>1.7849556473032084E-5</v>
      </c>
      <c r="BM73" s="92">
        <v>0.65057854930133208</v>
      </c>
      <c r="BN73" s="57">
        <v>2.7436435603665446E-5</v>
      </c>
      <c r="BO73" s="101">
        <f t="shared" si="51"/>
        <v>2.3871240630718204E-5</v>
      </c>
      <c r="BP73" s="92">
        <v>0.65057854930133208</v>
      </c>
      <c r="BQ73" s="57">
        <v>3.6692326631970813E-5</v>
      </c>
      <c r="BR73" s="101">
        <f t="shared" si="52"/>
        <v>1.458476805363225E-4</v>
      </c>
      <c r="BS73" s="92">
        <v>0.65057854930133208</v>
      </c>
      <c r="BT73" s="57">
        <v>2.2418150843268801E-4</v>
      </c>
      <c r="BU73" s="101">
        <f t="shared" si="53"/>
        <v>2.6898367085367371E-5</v>
      </c>
      <c r="BV73" s="92">
        <v>0.65057854930133208</v>
      </c>
      <c r="BW73" s="57">
        <v>4.1345302752840543E-5</v>
      </c>
      <c r="BX73" s="101">
        <f t="shared" si="54"/>
        <v>3.9156673196559244E-5</v>
      </c>
      <c r="BY73" s="92">
        <v>0.65057854930133208</v>
      </c>
      <c r="BZ73" s="57">
        <v>6.0187464278695165E-5</v>
      </c>
      <c r="CA73" s="101">
        <f t="shared" si="55"/>
        <v>1.1990951625200257E-3</v>
      </c>
      <c r="CB73" s="92">
        <v>0.65057854930133208</v>
      </c>
      <c r="CC73" s="57">
        <v>1.8431212707639307E-3</v>
      </c>
      <c r="CD73" s="101">
        <f t="shared" si="56"/>
        <v>1.0608101338815815E-4</v>
      </c>
      <c r="CE73" s="92">
        <v>0.65057854930133208</v>
      </c>
      <c r="CF73" s="57">
        <v>1.6305642647160816E-4</v>
      </c>
      <c r="CG73" s="101">
        <f t="shared" si="57"/>
        <v>1.9228325827923445E-3</v>
      </c>
      <c r="CH73" s="92">
        <v>0.65057854930133208</v>
      </c>
      <c r="CI73" s="57">
        <v>2.9555732891244396E-3</v>
      </c>
      <c r="CJ73" s="101">
        <f t="shared" si="58"/>
        <v>2.3248697318933409E-3</v>
      </c>
      <c r="CK73" s="92">
        <v>0.65057854930133208</v>
      </c>
      <c r="CL73" s="57">
        <v>3.5735419410770001E-3</v>
      </c>
      <c r="CM73" s="101">
        <f t="shared" si="59"/>
        <v>0</v>
      </c>
      <c r="CN73" s="92">
        <v>0.65057854930133208</v>
      </c>
      <c r="CO73" s="57">
        <v>0</v>
      </c>
    </row>
    <row r="74" spans="1:94" ht="45">
      <c r="A74" s="43">
        <v>68</v>
      </c>
      <c r="B74" s="69" t="s">
        <v>11</v>
      </c>
      <c r="C74" s="56" t="s">
        <v>10</v>
      </c>
      <c r="D74" s="101">
        <f t="shared" si="30"/>
        <v>0</v>
      </c>
      <c r="E74" s="93">
        <v>1</v>
      </c>
      <c r="F74" s="58">
        <v>0</v>
      </c>
      <c r="G74" s="101">
        <f>H74*I74</f>
        <v>0</v>
      </c>
      <c r="H74" s="93">
        <v>1</v>
      </c>
      <c r="I74" s="58">
        <v>0</v>
      </c>
      <c r="J74" s="101">
        <f t="shared" si="32"/>
        <v>0</v>
      </c>
      <c r="K74" s="93">
        <v>1</v>
      </c>
      <c r="L74" s="58">
        <v>0</v>
      </c>
      <c r="M74" s="101">
        <f>N74*O74</f>
        <v>0</v>
      </c>
      <c r="N74" s="93">
        <v>1</v>
      </c>
      <c r="O74" s="58">
        <v>0</v>
      </c>
      <c r="P74" s="101">
        <f t="shared" si="34"/>
        <v>0</v>
      </c>
      <c r="Q74" s="93">
        <v>1</v>
      </c>
      <c r="R74" s="58">
        <v>0</v>
      </c>
      <c r="S74" s="101">
        <f t="shared" si="35"/>
        <v>0</v>
      </c>
      <c r="T74" s="93">
        <v>1</v>
      </c>
      <c r="U74" s="58">
        <v>0</v>
      </c>
      <c r="V74" s="101">
        <f t="shared" si="36"/>
        <v>0</v>
      </c>
      <c r="W74" s="93">
        <v>1</v>
      </c>
      <c r="X74" s="58">
        <v>0</v>
      </c>
      <c r="Y74" s="101">
        <f t="shared" si="37"/>
        <v>0</v>
      </c>
      <c r="Z74" s="93">
        <v>1</v>
      </c>
      <c r="AA74" s="58">
        <v>0</v>
      </c>
      <c r="AB74" s="101">
        <f t="shared" si="38"/>
        <v>0</v>
      </c>
      <c r="AC74" s="93">
        <v>1</v>
      </c>
      <c r="AD74" s="58">
        <v>0</v>
      </c>
      <c r="AE74" s="101">
        <f t="shared" si="39"/>
        <v>0</v>
      </c>
      <c r="AF74" s="93">
        <v>1</v>
      </c>
      <c r="AG74" s="58">
        <v>0</v>
      </c>
      <c r="AH74" s="101">
        <f t="shared" si="40"/>
        <v>0</v>
      </c>
      <c r="AI74" s="93">
        <v>1</v>
      </c>
      <c r="AJ74" s="58">
        <v>0</v>
      </c>
      <c r="AK74" s="101">
        <f t="shared" si="41"/>
        <v>0</v>
      </c>
      <c r="AL74" s="93">
        <v>1</v>
      </c>
      <c r="AM74" s="58">
        <v>0</v>
      </c>
      <c r="AN74" s="101">
        <f t="shared" si="42"/>
        <v>0</v>
      </c>
      <c r="AO74" s="93">
        <v>1</v>
      </c>
      <c r="AP74" s="58">
        <v>0</v>
      </c>
      <c r="AQ74" s="101">
        <f t="shared" si="43"/>
        <v>0</v>
      </c>
      <c r="AR74" s="93">
        <v>1</v>
      </c>
      <c r="AS74" s="58">
        <v>0</v>
      </c>
      <c r="AT74" s="101">
        <f t="shared" si="44"/>
        <v>0</v>
      </c>
      <c r="AU74" s="93">
        <v>1</v>
      </c>
      <c r="AV74" s="58">
        <v>0</v>
      </c>
      <c r="AW74" s="101">
        <f t="shared" si="45"/>
        <v>0</v>
      </c>
      <c r="AX74" s="93">
        <v>1</v>
      </c>
      <c r="AY74" s="58">
        <v>0</v>
      </c>
      <c r="AZ74" s="101">
        <f t="shared" si="46"/>
        <v>0</v>
      </c>
      <c r="BA74" s="93">
        <v>1</v>
      </c>
      <c r="BB74" s="58">
        <v>0</v>
      </c>
      <c r="BC74" s="101">
        <f t="shared" si="47"/>
        <v>0</v>
      </c>
      <c r="BD74" s="93">
        <v>1</v>
      </c>
      <c r="BE74" s="58">
        <v>0</v>
      </c>
      <c r="BF74" s="101">
        <f t="shared" si="48"/>
        <v>0</v>
      </c>
      <c r="BG74" s="93">
        <v>1</v>
      </c>
      <c r="BH74" s="58">
        <v>0</v>
      </c>
      <c r="BI74" s="101">
        <f t="shared" si="49"/>
        <v>0</v>
      </c>
      <c r="BJ74" s="93">
        <v>1</v>
      </c>
      <c r="BK74" s="58">
        <v>0</v>
      </c>
      <c r="BL74" s="101">
        <f t="shared" si="50"/>
        <v>0</v>
      </c>
      <c r="BM74" s="93">
        <v>1</v>
      </c>
      <c r="BN74" s="58">
        <v>0</v>
      </c>
      <c r="BO74" s="101">
        <f t="shared" si="51"/>
        <v>0</v>
      </c>
      <c r="BP74" s="93">
        <v>1</v>
      </c>
      <c r="BQ74" s="58">
        <v>0</v>
      </c>
      <c r="BR74" s="101">
        <f t="shared" si="52"/>
        <v>0</v>
      </c>
      <c r="BS74" s="93">
        <v>1</v>
      </c>
      <c r="BT74" s="58">
        <v>0</v>
      </c>
      <c r="BU74" s="101">
        <f t="shared" si="53"/>
        <v>0</v>
      </c>
      <c r="BV74" s="93">
        <v>1</v>
      </c>
      <c r="BW74" s="58">
        <v>0</v>
      </c>
      <c r="BX74" s="101">
        <f t="shared" si="54"/>
        <v>0</v>
      </c>
      <c r="BY74" s="93">
        <v>1</v>
      </c>
      <c r="BZ74" s="58">
        <v>0</v>
      </c>
      <c r="CA74" s="101">
        <f t="shared" si="55"/>
        <v>0</v>
      </c>
      <c r="CB74" s="93">
        <v>1</v>
      </c>
      <c r="CC74" s="58">
        <v>0</v>
      </c>
      <c r="CD74" s="101">
        <f t="shared" si="56"/>
        <v>0</v>
      </c>
      <c r="CE74" s="93">
        <v>1</v>
      </c>
      <c r="CF74" s="58">
        <v>0</v>
      </c>
      <c r="CG74" s="101">
        <f t="shared" si="57"/>
        <v>0</v>
      </c>
      <c r="CH74" s="93">
        <v>1</v>
      </c>
      <c r="CI74" s="58">
        <v>0</v>
      </c>
      <c r="CJ74" s="101">
        <f t="shared" si="58"/>
        <v>0</v>
      </c>
      <c r="CK74" s="93">
        <v>1</v>
      </c>
      <c r="CL74" s="58">
        <v>0</v>
      </c>
      <c r="CM74" s="101">
        <f>CN74*CO74</f>
        <v>1</v>
      </c>
      <c r="CN74" s="93">
        <v>1</v>
      </c>
      <c r="CO74" s="58">
        <v>1</v>
      </c>
    </row>
    <row r="75" spans="1:94" s="105" customFormat="1">
      <c r="A75" s="102"/>
      <c r="B75" s="102"/>
      <c r="C75" s="94"/>
      <c r="D75" s="107">
        <f>SUM(D7:D74)</f>
        <v>0.91400366056536808</v>
      </c>
      <c r="E75" s="103"/>
      <c r="F75" s="126">
        <f>SUM(F7:F74)</f>
        <v>1.5057846148567646</v>
      </c>
      <c r="G75" s="107">
        <f t="shared" ref="G75:BO75" si="60">SUM(G7:G74)</f>
        <v>0.93874927378646711</v>
      </c>
      <c r="H75" s="103"/>
      <c r="I75" s="126">
        <f>SUM(I7:I74)</f>
        <v>1.5093152775154128</v>
      </c>
      <c r="J75" s="107">
        <f t="shared" si="60"/>
        <v>0.96047002981207097</v>
      </c>
      <c r="K75" s="103"/>
      <c r="L75" s="126">
        <f>SUM(L7:L74)</f>
        <v>1.2223011307953946</v>
      </c>
      <c r="M75" s="107">
        <f t="shared" si="60"/>
        <v>0.91050568031342927</v>
      </c>
      <c r="N75" s="103"/>
      <c r="O75" s="126">
        <f>SUM(O7:O74)</f>
        <v>1.5426225281850807</v>
      </c>
      <c r="P75" s="107">
        <f t="shared" si="60"/>
        <v>0.95539994531803085</v>
      </c>
      <c r="Q75" s="103"/>
      <c r="R75" s="126">
        <f>SUM(R7:R74)</f>
        <v>1.4513557384690758</v>
      </c>
      <c r="S75" s="107">
        <f t="shared" si="60"/>
        <v>0.83815660964769656</v>
      </c>
      <c r="T75" s="103"/>
      <c r="U75" s="126">
        <f>SUM(U7:U74)</f>
        <v>1.2523370523732698</v>
      </c>
      <c r="V75" s="107">
        <f t="shared" si="60"/>
        <v>0.93516212249557917</v>
      </c>
      <c r="W75" s="103"/>
      <c r="X75" s="126">
        <f>SUM(X7:X74)</f>
        <v>1.6178280121667059</v>
      </c>
      <c r="Y75" s="107">
        <f t="shared" si="60"/>
        <v>0.94483042279274287</v>
      </c>
      <c r="Z75" s="103"/>
      <c r="AA75" s="126">
        <f>SUM(AA7:AA74)</f>
        <v>1.6520954057115833</v>
      </c>
      <c r="AB75" s="107">
        <f t="shared" si="60"/>
        <v>0.91487018348320293</v>
      </c>
      <c r="AC75" s="103"/>
      <c r="AD75" s="125">
        <f>SUM(AD7:AD74)</f>
        <v>1.6209137787918402</v>
      </c>
      <c r="AE75" s="107">
        <f t="shared" si="60"/>
        <v>0.94438410636512216</v>
      </c>
      <c r="AF75" s="103"/>
      <c r="AG75" s="125">
        <f>SUM(AG7:AG74)</f>
        <v>1.5527316491330292</v>
      </c>
      <c r="AH75" s="107">
        <f t="shared" si="60"/>
        <v>0.79489162753089526</v>
      </c>
      <c r="AI75" s="103"/>
      <c r="AJ75" s="125">
        <f>SUM(AJ7:AJ74)</f>
        <v>1.4717070145173117</v>
      </c>
      <c r="AK75" s="107">
        <f t="shared" si="60"/>
        <v>0.55786545022064737</v>
      </c>
      <c r="AL75" s="103"/>
      <c r="AM75" s="125">
        <f>SUM(AM7:AM74)</f>
        <v>1.02698884480274</v>
      </c>
      <c r="AN75" s="107">
        <f t="shared" si="60"/>
        <v>0.64478769455405771</v>
      </c>
      <c r="AO75" s="103"/>
      <c r="AP75" s="125">
        <f>SUM(AP7:AP74)</f>
        <v>1.1626222894052325</v>
      </c>
      <c r="AQ75" s="107">
        <f t="shared" si="60"/>
        <v>0.75814377891469908</v>
      </c>
      <c r="AR75" s="103"/>
      <c r="AS75" s="125">
        <f>SUM(AS7:AS74)</f>
        <v>1.5690423222506922</v>
      </c>
      <c r="AT75" s="107">
        <f t="shared" si="60"/>
        <v>0.57300514387120605</v>
      </c>
      <c r="AU75" s="103"/>
      <c r="AV75" s="125">
        <f>SUM(AV7:AV74)</f>
        <v>1.2032206859803245</v>
      </c>
      <c r="AW75" s="107">
        <f t="shared" si="60"/>
        <v>0.47486517258561706</v>
      </c>
      <c r="AX75" s="103"/>
      <c r="AY75" s="125">
        <f>SUM(AY7:AY74)</f>
        <v>1.2818388479639857</v>
      </c>
      <c r="AZ75" s="107">
        <f t="shared" si="60"/>
        <v>0.85778803075839516</v>
      </c>
      <c r="BA75" s="103"/>
      <c r="BB75" s="125">
        <f>SUM(BB7:BB74)</f>
        <v>1.8410392953603483</v>
      </c>
      <c r="BC75" s="107">
        <f t="shared" si="60"/>
        <v>0.53400200986634661</v>
      </c>
      <c r="BD75" s="103"/>
      <c r="BE75" s="125">
        <f>SUM(BE7:BE74)</f>
        <v>1.2081072367091799</v>
      </c>
      <c r="BF75" s="107">
        <f t="shared" si="60"/>
        <v>0.61254646841676841</v>
      </c>
      <c r="BG75" s="103"/>
      <c r="BH75" s="125">
        <f>SUM(BH7:BH74)</f>
        <v>1.2480889395742125</v>
      </c>
      <c r="BI75" s="107">
        <f t="shared" si="60"/>
        <v>0.90087779343025021</v>
      </c>
      <c r="BJ75" s="103"/>
      <c r="BK75" s="125">
        <f>SUM(BK7:BK74)</f>
        <v>1.6602577435092154</v>
      </c>
      <c r="BL75" s="107">
        <f t="shared" si="60"/>
        <v>0.93063814454532445</v>
      </c>
      <c r="BM75" s="103"/>
      <c r="BN75" s="125">
        <f>SUM(BN7:BN74)</f>
        <v>1.7704464172956811</v>
      </c>
      <c r="BO75" s="107">
        <f t="shared" si="60"/>
        <v>0.92686509816706519</v>
      </c>
      <c r="BP75" s="103"/>
      <c r="BQ75" s="125">
        <f>SUM(BQ7:BQ74)</f>
        <v>1.4403104046156636</v>
      </c>
      <c r="BR75" s="107">
        <f t="shared" ref="BR75:CM75" si="61">SUM(BR7:BR74)</f>
        <v>0.92564102959245542</v>
      </c>
      <c r="BS75" s="103"/>
      <c r="BT75" s="125">
        <f>SUM(BT7:BT74)</f>
        <v>1.5031495252634288</v>
      </c>
      <c r="BU75" s="107">
        <f t="shared" si="61"/>
        <v>0.93395436347151195</v>
      </c>
      <c r="BV75" s="103"/>
      <c r="BW75" s="125">
        <f>SUM(BW7:BW74)</f>
        <v>1.3385160311885018</v>
      </c>
      <c r="BX75" s="107">
        <f t="shared" si="61"/>
        <v>0.88784164161268886</v>
      </c>
      <c r="BY75" s="103"/>
      <c r="BZ75" s="125">
        <f>SUM(BZ7:BZ74)</f>
        <v>1.6478918033714329</v>
      </c>
      <c r="CA75" s="107">
        <f t="shared" si="61"/>
        <v>0.94616891678536497</v>
      </c>
      <c r="CB75" s="103"/>
      <c r="CC75" s="125">
        <f>SUM(CC7:CC74)</f>
        <v>1.4656452297592839</v>
      </c>
      <c r="CD75" s="107">
        <f t="shared" si="61"/>
        <v>0.97600533835492487</v>
      </c>
      <c r="CE75" s="103"/>
      <c r="CF75" s="125">
        <f>SUM(CF7:CF74)</f>
        <v>1.273123572413539</v>
      </c>
      <c r="CG75" s="107">
        <f t="shared" si="61"/>
        <v>0.93572998646778283</v>
      </c>
      <c r="CH75" s="103"/>
      <c r="CI75" s="125">
        <f>SUM(CI7:CI74)</f>
        <v>1.9232233706042177</v>
      </c>
      <c r="CJ75" s="107">
        <f t="shared" si="61"/>
        <v>0.87994361293620249</v>
      </c>
      <c r="CK75" s="103"/>
      <c r="CL75" s="125">
        <f>SUM(CL7:CL74)</f>
        <v>1.8599401306166035</v>
      </c>
      <c r="CM75" s="107">
        <f t="shared" si="61"/>
        <v>1</v>
      </c>
      <c r="CN75" s="104"/>
      <c r="CO75" s="104"/>
    </row>
    <row r="76" spans="1:94" s="105" customFormat="1">
      <c r="A76" s="102"/>
      <c r="B76" s="102"/>
      <c r="C76" s="94"/>
      <c r="D76" s="106"/>
      <c r="E76" s="103"/>
      <c r="F76" s="107">
        <f>D75</f>
        <v>0.91400366056536808</v>
      </c>
      <c r="G76" s="106"/>
      <c r="H76" s="103"/>
      <c r="I76" s="107">
        <f>G75</f>
        <v>0.93874927378646711</v>
      </c>
      <c r="J76" s="106"/>
      <c r="K76" s="103"/>
      <c r="L76" s="107">
        <f>J75</f>
        <v>0.96047002981207097</v>
      </c>
      <c r="M76" s="106"/>
      <c r="N76" s="103"/>
      <c r="O76" s="103"/>
      <c r="P76" s="106"/>
      <c r="Q76" s="103"/>
      <c r="R76" s="103"/>
      <c r="S76" s="106"/>
      <c r="T76" s="103"/>
      <c r="U76" s="103"/>
      <c r="V76" s="106"/>
      <c r="W76" s="103"/>
      <c r="X76" s="103"/>
      <c r="Y76" s="106"/>
      <c r="Z76" s="103"/>
      <c r="AA76" s="103"/>
      <c r="AB76" s="106"/>
      <c r="AC76" s="103"/>
      <c r="AD76" s="103"/>
      <c r="AE76" s="106"/>
      <c r="AF76" s="103"/>
      <c r="AG76" s="103"/>
      <c r="AH76" s="106"/>
      <c r="AI76" s="103"/>
      <c r="AJ76" s="107">
        <f>AH75</f>
        <v>0.79489162753089526</v>
      </c>
      <c r="AK76" s="106"/>
      <c r="AL76" s="103"/>
      <c r="AM76" s="103"/>
      <c r="AN76" s="106"/>
      <c r="AO76" s="103"/>
      <c r="AP76" s="107">
        <f>AN75</f>
        <v>0.64478769455405771</v>
      </c>
      <c r="AQ76" s="106"/>
      <c r="AR76" s="103"/>
      <c r="AS76" s="103"/>
      <c r="AT76" s="107"/>
      <c r="AU76" s="103"/>
      <c r="AV76" s="103"/>
      <c r="AW76" s="107"/>
      <c r="AX76" s="103"/>
      <c r="AY76" s="103"/>
      <c r="AZ76" s="107"/>
      <c r="BA76" s="103"/>
      <c r="BB76" s="103"/>
      <c r="BC76" s="107"/>
      <c r="BD76" s="103"/>
      <c r="BE76" s="103"/>
      <c r="BF76" s="107"/>
      <c r="BG76" s="103"/>
      <c r="BH76" s="103"/>
      <c r="BI76" s="107"/>
      <c r="BJ76" s="103"/>
      <c r="BK76" s="103"/>
      <c r="BL76" s="107"/>
      <c r="BM76" s="103"/>
      <c r="BN76" s="103"/>
      <c r="BO76" s="107"/>
      <c r="BP76" s="103"/>
      <c r="BQ76" s="103"/>
      <c r="BR76" s="107"/>
      <c r="BS76" s="103"/>
      <c r="BT76" s="103"/>
      <c r="BU76" s="107"/>
      <c r="BV76" s="103"/>
      <c r="BW76" s="103"/>
      <c r="BX76" s="107"/>
      <c r="BY76" s="103"/>
      <c r="BZ76" s="103"/>
      <c r="CA76" s="107"/>
      <c r="CB76" s="103"/>
      <c r="CC76" s="103"/>
      <c r="CD76" s="107"/>
      <c r="CE76" s="103"/>
      <c r="CF76" s="103"/>
      <c r="CG76" s="107"/>
      <c r="CH76" s="103"/>
      <c r="CI76" s="103"/>
      <c r="CJ76" s="107"/>
      <c r="CK76" s="103"/>
      <c r="CL76" s="103"/>
      <c r="CM76" s="107"/>
      <c r="CN76" s="104"/>
      <c r="CO76" s="104"/>
    </row>
    <row r="77" spans="1:94">
      <c r="A77" s="38"/>
      <c r="B77" s="68"/>
      <c r="C77" s="49" t="s">
        <v>222</v>
      </c>
      <c r="D77" s="49"/>
      <c r="E77" s="95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41"/>
      <c r="S77" s="41"/>
      <c r="T77" s="41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40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</row>
    <row r="78" spans="1:94">
      <c r="A78" s="38"/>
      <c r="B78" s="68"/>
      <c r="C78" s="85">
        <v>46010</v>
      </c>
      <c r="D78" s="85"/>
      <c r="E78" s="96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0"/>
      <c r="T78" s="5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</row>
    <row r="79" spans="1:94">
      <c r="A79" s="38"/>
      <c r="B79" s="68"/>
      <c r="C79" s="70" t="s">
        <v>149</v>
      </c>
      <c r="D79" s="70"/>
      <c r="E79" s="97"/>
      <c r="F79" s="70"/>
      <c r="G79" s="70"/>
      <c r="H79" s="70"/>
      <c r="I79" s="70" t="s">
        <v>203</v>
      </c>
      <c r="J79" s="70"/>
      <c r="K79" s="70"/>
      <c r="L79" s="71"/>
      <c r="M79" s="71"/>
      <c r="N79" s="71"/>
      <c r="O79" s="71"/>
      <c r="P79" s="71"/>
      <c r="Q79" s="71"/>
      <c r="R79" s="70" t="s">
        <v>204</v>
      </c>
      <c r="S79" s="70"/>
      <c r="T79" s="70"/>
      <c r="U79" s="71"/>
      <c r="V79" s="71"/>
      <c r="W79" s="71"/>
      <c r="X79" s="71"/>
      <c r="Y79" s="71"/>
      <c r="Z79" s="71"/>
      <c r="AA79" s="71" t="s">
        <v>205</v>
      </c>
      <c r="AB79" s="71"/>
      <c r="AC79" s="71"/>
      <c r="AD79" s="71"/>
      <c r="AE79" s="71"/>
      <c r="AF79" s="71"/>
      <c r="AG79" s="40"/>
      <c r="AH79" s="71"/>
      <c r="AI79" s="71"/>
      <c r="AJ79" s="40"/>
      <c r="AK79" s="71"/>
      <c r="AL79" s="71"/>
      <c r="AM79" s="40"/>
      <c r="AN79" s="71"/>
      <c r="AO79" s="71"/>
      <c r="AP79" s="40"/>
      <c r="AQ79" s="71"/>
      <c r="AR79" s="71"/>
      <c r="AS79" s="40"/>
      <c r="AT79" s="71"/>
      <c r="AU79" s="71"/>
      <c r="AV79" s="40"/>
      <c r="AW79" s="71"/>
      <c r="AX79" s="71"/>
      <c r="AY79" s="40"/>
      <c r="AZ79" s="71"/>
      <c r="BA79" s="71"/>
      <c r="BB79" s="40"/>
      <c r="BC79" s="71"/>
      <c r="BD79" s="71"/>
      <c r="BE79" s="40"/>
      <c r="BF79" s="71"/>
      <c r="BG79" s="71"/>
      <c r="BH79" s="40"/>
      <c r="BI79" s="71"/>
      <c r="BJ79" s="71"/>
      <c r="BK79" s="40"/>
      <c r="BL79" s="71"/>
      <c r="BM79" s="71"/>
      <c r="BN79" s="40"/>
      <c r="BO79" s="71"/>
      <c r="BP79" s="71"/>
      <c r="BQ79" s="40"/>
      <c r="BR79" s="71"/>
      <c r="BS79" s="71"/>
      <c r="BT79" s="40"/>
      <c r="BU79" s="71"/>
      <c r="BV79" s="71"/>
      <c r="BW79" s="40"/>
      <c r="BX79" s="71"/>
      <c r="BY79" s="71"/>
      <c r="BZ79" s="40"/>
      <c r="CA79" s="71"/>
      <c r="CB79" s="71"/>
      <c r="CC79" s="40"/>
      <c r="CD79" s="71"/>
      <c r="CE79" s="71"/>
      <c r="CF79" s="40"/>
      <c r="CG79" s="71"/>
      <c r="CH79" s="71"/>
      <c r="CI79" s="40"/>
      <c r="CJ79" s="71"/>
      <c r="CK79" s="71"/>
      <c r="CL79" s="40"/>
      <c r="CM79" s="71"/>
      <c r="CN79" s="71"/>
      <c r="CO79" s="40"/>
      <c r="CP79" s="40"/>
    </row>
    <row r="80" spans="1:94">
      <c r="A80" s="38"/>
      <c r="B80" s="68"/>
      <c r="C80" s="49" t="s">
        <v>196</v>
      </c>
      <c r="D80" s="49"/>
      <c r="E80" s="95"/>
      <c r="F80" s="49"/>
      <c r="G80" s="49"/>
      <c r="H80" s="49"/>
      <c r="I80" s="52" t="s">
        <v>197</v>
      </c>
      <c r="J80" s="52"/>
      <c r="K80" s="52"/>
      <c r="L80" s="72"/>
      <c r="M80" s="72"/>
      <c r="N80" s="72"/>
      <c r="O80" s="72"/>
      <c r="P80" s="72"/>
      <c r="Q80" s="72"/>
      <c r="R80" s="72" t="s">
        <v>125</v>
      </c>
      <c r="S80" s="72"/>
      <c r="T80" s="72"/>
      <c r="U80" s="72"/>
      <c r="V80" s="72"/>
      <c r="W80" s="72"/>
      <c r="X80" s="72"/>
      <c r="Y80" s="72"/>
      <c r="Z80" s="72"/>
      <c r="AA80" s="72" t="s">
        <v>206</v>
      </c>
      <c r="AB80" s="72"/>
      <c r="AC80" s="72"/>
      <c r="AD80" s="72"/>
      <c r="AE80" s="72"/>
      <c r="AF80" s="72"/>
      <c r="AG80" s="40"/>
      <c r="AH80" s="72"/>
      <c r="AI80" s="72"/>
      <c r="AJ80" s="40"/>
      <c r="AK80" s="72"/>
      <c r="AL80" s="72"/>
      <c r="AM80" s="40"/>
      <c r="AN80" s="72"/>
      <c r="AO80" s="72"/>
      <c r="AP80" s="40"/>
      <c r="AQ80" s="72"/>
      <c r="AR80" s="72"/>
      <c r="AS80" s="40"/>
      <c r="AT80" s="72"/>
      <c r="AU80" s="72"/>
      <c r="AV80" s="40"/>
      <c r="AW80" s="72"/>
      <c r="AX80" s="72"/>
      <c r="AY80" s="40"/>
      <c r="AZ80" s="72"/>
      <c r="BA80" s="72"/>
      <c r="BB80" s="40"/>
      <c r="BC80" s="72"/>
      <c r="BD80" s="72"/>
      <c r="BE80" s="40"/>
      <c r="BF80" s="72"/>
      <c r="BG80" s="72"/>
      <c r="BH80" s="40"/>
      <c r="BI80" s="72"/>
      <c r="BJ80" s="72"/>
      <c r="BK80" s="40"/>
      <c r="BL80" s="72"/>
      <c r="BM80" s="72"/>
      <c r="BN80" s="40"/>
      <c r="BO80" s="72"/>
      <c r="BP80" s="72"/>
      <c r="BQ80" s="40"/>
      <c r="BR80" s="72"/>
      <c r="BS80" s="72"/>
      <c r="BT80" s="40"/>
      <c r="BU80" s="72"/>
      <c r="BV80" s="72"/>
      <c r="BW80" s="40"/>
      <c r="BX80" s="72"/>
      <c r="BY80" s="72"/>
      <c r="BZ80" s="40"/>
      <c r="CA80" s="72"/>
      <c r="CB80" s="72"/>
      <c r="CC80" s="40"/>
      <c r="CD80" s="72"/>
      <c r="CE80" s="72"/>
      <c r="CF80" s="40"/>
      <c r="CG80" s="72"/>
      <c r="CH80" s="72"/>
      <c r="CI80" s="40"/>
      <c r="CJ80" s="72"/>
      <c r="CK80" s="72"/>
      <c r="CL80" s="40"/>
      <c r="CM80" s="72"/>
      <c r="CN80" s="72"/>
      <c r="CO80" s="40"/>
      <c r="CP80" s="40"/>
    </row>
    <row r="81" spans="1:94">
      <c r="A81" s="38"/>
      <c r="B81" s="68"/>
      <c r="C81" s="73"/>
      <c r="D81" s="73"/>
      <c r="E81" s="98"/>
      <c r="F81" s="73"/>
      <c r="G81" s="73"/>
      <c r="H81" s="73"/>
      <c r="I81" s="73" t="s">
        <v>207</v>
      </c>
      <c r="J81" s="73"/>
      <c r="K81" s="73"/>
      <c r="L81" s="73"/>
      <c r="M81" s="73"/>
      <c r="N81" s="73"/>
      <c r="O81" s="73"/>
      <c r="P81" s="73"/>
      <c r="Q81" s="73"/>
      <c r="R81" s="73" t="s">
        <v>124</v>
      </c>
      <c r="S81" s="73"/>
      <c r="T81" s="73"/>
      <c r="U81" s="73"/>
      <c r="V81" s="73"/>
      <c r="W81" s="73"/>
      <c r="X81" s="73"/>
      <c r="Y81" s="73"/>
      <c r="Z81" s="73"/>
      <c r="AA81" s="73" t="s">
        <v>208</v>
      </c>
      <c r="AB81" s="73"/>
      <c r="AC81" s="73"/>
      <c r="AD81" s="73"/>
      <c r="AE81" s="73"/>
      <c r="AF81" s="73"/>
      <c r="AG81" s="40"/>
      <c r="AH81" s="73"/>
      <c r="AI81" s="73"/>
      <c r="AJ81" s="40"/>
      <c r="AK81" s="73"/>
      <c r="AL81" s="73"/>
      <c r="AM81" s="40"/>
      <c r="AN81" s="73"/>
      <c r="AO81" s="73"/>
      <c r="AP81" s="40"/>
      <c r="AQ81" s="73"/>
      <c r="AR81" s="73"/>
      <c r="AS81" s="40"/>
      <c r="AT81" s="73"/>
      <c r="AU81" s="73"/>
      <c r="AV81" s="40"/>
      <c r="AW81" s="73"/>
      <c r="AX81" s="73"/>
      <c r="AY81" s="40"/>
      <c r="AZ81" s="73"/>
      <c r="BA81" s="73"/>
      <c r="BB81" s="40"/>
      <c r="BC81" s="73"/>
      <c r="BD81" s="73"/>
      <c r="BE81" s="40"/>
      <c r="BF81" s="73"/>
      <c r="BG81" s="73"/>
      <c r="BH81" s="40"/>
      <c r="BI81" s="73"/>
      <c r="BJ81" s="73"/>
      <c r="BK81" s="40"/>
      <c r="BL81" s="73"/>
      <c r="BM81" s="73"/>
      <c r="BN81" s="40"/>
      <c r="BO81" s="73"/>
      <c r="BP81" s="73"/>
      <c r="BQ81" s="40"/>
      <c r="BR81" s="73"/>
      <c r="BS81" s="73"/>
      <c r="BT81" s="40"/>
      <c r="BU81" s="73"/>
      <c r="BV81" s="73"/>
      <c r="BW81" s="40"/>
      <c r="BX81" s="73"/>
      <c r="BY81" s="73"/>
      <c r="BZ81" s="40"/>
      <c r="CA81" s="73"/>
      <c r="CB81" s="73"/>
      <c r="CC81" s="40"/>
      <c r="CD81" s="73"/>
      <c r="CE81" s="73"/>
      <c r="CF81" s="40"/>
      <c r="CG81" s="73"/>
      <c r="CH81" s="73"/>
      <c r="CI81" s="40"/>
      <c r="CJ81" s="73"/>
      <c r="CK81" s="73"/>
      <c r="CL81" s="40"/>
      <c r="CM81" s="73"/>
      <c r="CN81" s="73"/>
      <c r="CO81" s="40"/>
      <c r="CP81" s="40"/>
    </row>
    <row r="82" spans="1:94">
      <c r="A82" s="38"/>
      <c r="B82" s="68"/>
      <c r="C82" s="46"/>
      <c r="D82" s="46"/>
      <c r="E82" s="94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  <c r="CK82" s="40"/>
      <c r="CL82" s="40"/>
      <c r="CM82" s="40"/>
      <c r="CN82" s="40"/>
      <c r="CO82" s="40"/>
    </row>
    <row r="84" spans="1:94">
      <c r="F84" s="88">
        <v>0.59513238438994831</v>
      </c>
      <c r="G84" s="88"/>
      <c r="H84" s="88"/>
      <c r="I84" s="88">
        <v>0.62466366280764507</v>
      </c>
      <c r="J84" s="88"/>
      <c r="K84" s="88"/>
      <c r="L84" s="88">
        <v>0.84071294559921872</v>
      </c>
      <c r="M84" s="88"/>
      <c r="N84" s="88"/>
      <c r="O84" s="88">
        <v>0.60025688893482287</v>
      </c>
      <c r="P84" s="88"/>
      <c r="Q84" s="88"/>
      <c r="R84" s="88">
        <v>0.68922062653737759</v>
      </c>
      <c r="S84" s="88"/>
      <c r="T84" s="88"/>
      <c r="U84" s="88">
        <v>0.68918097578818915</v>
      </c>
      <c r="V84" s="88"/>
      <c r="W84" s="88"/>
      <c r="X84" s="88">
        <v>0.59152565883246566</v>
      </c>
      <c r="Y84" s="88"/>
      <c r="Z84" s="88"/>
      <c r="AA84" s="88">
        <v>0.5905575866424374</v>
      </c>
      <c r="AB84" s="88"/>
      <c r="AC84" s="88"/>
      <c r="AD84" s="88">
        <v>0.55209484119293362</v>
      </c>
      <c r="AE84" s="88"/>
      <c r="AF84" s="88"/>
      <c r="AG84" s="88">
        <v>0.63022185087647231</v>
      </c>
      <c r="AH84" s="88"/>
      <c r="AI84" s="88"/>
      <c r="AJ84" s="88">
        <v>0.50294956280896708</v>
      </c>
      <c r="AK84" s="88"/>
      <c r="AL84" s="88"/>
      <c r="AM84" s="88">
        <v>0.54448844668818352</v>
      </c>
      <c r="AN84" s="88"/>
      <c r="AO84" s="88"/>
      <c r="AP84" s="88">
        <v>0.54623322863643142</v>
      </c>
      <c r="AQ84" s="88"/>
      <c r="AR84" s="88"/>
      <c r="AS84" s="88">
        <v>0.41732332312878395</v>
      </c>
      <c r="AT84" s="88"/>
      <c r="AU84" s="88"/>
      <c r="AV84" s="88">
        <v>0.46034228136758021</v>
      </c>
      <c r="AW84" s="88"/>
      <c r="AX84" s="88"/>
      <c r="AY84" s="88">
        <v>0.31621783203088005</v>
      </c>
      <c r="AZ84" s="88"/>
      <c r="BA84" s="88"/>
      <c r="BB84" s="88">
        <v>0.38731965042838795</v>
      </c>
      <c r="BC84" s="88"/>
      <c r="BD84" s="88"/>
      <c r="BE84" s="88">
        <v>0.41752699182706426</v>
      </c>
      <c r="BF84" s="88"/>
      <c r="BG84" s="88"/>
      <c r="BH84" s="88">
        <v>0.47592497119118177</v>
      </c>
      <c r="BI84" s="88"/>
      <c r="BJ84" s="88"/>
      <c r="BK84" s="88">
        <v>0.53476087783790938</v>
      </c>
      <c r="BL84" s="88"/>
      <c r="BM84" s="88"/>
      <c r="BN84" s="88">
        <v>0.5227386568130542</v>
      </c>
      <c r="BO84" s="88"/>
      <c r="BP84" s="88"/>
      <c r="BQ84" s="88">
        <v>0.67175327508183991</v>
      </c>
      <c r="BR84" s="88"/>
      <c r="BS84" s="88"/>
      <c r="BT84" s="88">
        <v>0.63801684044600926</v>
      </c>
      <c r="BU84" s="88"/>
      <c r="BV84" s="88"/>
      <c r="BW84" s="88">
        <v>0.74292325511988566</v>
      </c>
      <c r="BX84" s="88"/>
      <c r="BY84" s="88"/>
      <c r="BZ84" s="88">
        <v>0.48736236942205685</v>
      </c>
      <c r="CA84" s="88"/>
      <c r="CB84" s="88"/>
      <c r="CC84" s="88">
        <v>0.67387570982474054</v>
      </c>
      <c r="CD84" s="88"/>
      <c r="CE84" s="88"/>
      <c r="CF84" s="88">
        <v>0.81121342552549858</v>
      </c>
      <c r="CG84" s="88"/>
      <c r="CH84" s="88"/>
      <c r="CI84" s="88">
        <v>0.36619326922349915</v>
      </c>
      <c r="CJ84" s="88"/>
      <c r="CK84" s="88"/>
      <c r="CL84" s="88">
        <v>0.3711721613127959</v>
      </c>
      <c r="CM84" s="88"/>
      <c r="CN84" s="88"/>
      <c r="CO84" s="88">
        <v>1</v>
      </c>
    </row>
    <row r="87" spans="1:94">
      <c r="C87" s="48"/>
      <c r="D87" s="48"/>
      <c r="E87" s="99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</row>
    <row r="88" spans="1:94">
      <c r="C88" s="53"/>
      <c r="D88" s="53"/>
      <c r="E88" s="100"/>
      <c r="F88" s="48"/>
      <c r="G88" s="48"/>
      <c r="H88" s="48"/>
      <c r="I88" s="48"/>
      <c r="J88" s="48"/>
      <c r="K88" s="48"/>
      <c r="L88" s="48"/>
      <c r="M88" s="48"/>
      <c r="N88" s="48"/>
      <c r="O88" s="54"/>
      <c r="P88" s="54"/>
      <c r="Q88" s="54"/>
      <c r="R88" s="52"/>
      <c r="S88" s="52"/>
      <c r="T88" s="52"/>
    </row>
    <row r="89" spans="1:94">
      <c r="C89" s="48"/>
      <c r="D89" s="48"/>
      <c r="E89" s="99"/>
      <c r="F89" s="48"/>
      <c r="G89" s="48"/>
      <c r="H89" s="48"/>
      <c r="I89" s="48"/>
      <c r="J89" s="48"/>
      <c r="K89" s="48"/>
      <c r="L89" s="48"/>
      <c r="M89" s="48"/>
      <c r="N89" s="48"/>
      <c r="O89" s="52"/>
      <c r="P89" s="52"/>
      <c r="Q89" s="52"/>
      <c r="R89" s="52"/>
      <c r="S89" s="52"/>
      <c r="T89" s="52"/>
    </row>
    <row r="90" spans="1:94">
      <c r="C90" s="55"/>
      <c r="D90" s="55"/>
      <c r="E90" s="99"/>
      <c r="F90" s="48"/>
      <c r="G90" s="48"/>
      <c r="H90" s="48"/>
      <c r="I90" s="48"/>
      <c r="J90" s="48"/>
      <c r="K90" s="48"/>
      <c r="L90" s="48"/>
      <c r="M90" s="48"/>
      <c r="N90" s="48"/>
      <c r="O90" s="54"/>
      <c r="P90" s="54"/>
      <c r="Q90" s="54"/>
      <c r="R90" s="52"/>
      <c r="S90" s="52"/>
      <c r="T90" s="52"/>
    </row>
    <row r="91" spans="1:94">
      <c r="C91" s="48"/>
      <c r="D91" s="48"/>
      <c r="E91" s="99"/>
      <c r="F91" s="48"/>
      <c r="G91" s="48"/>
      <c r="H91" s="48"/>
      <c r="I91" s="52"/>
      <c r="J91" s="52"/>
      <c r="K91" s="52"/>
      <c r="L91" s="48"/>
      <c r="M91" s="48"/>
      <c r="N91" s="48"/>
      <c r="O91" s="48"/>
      <c r="P91" s="48"/>
      <c r="Q91" s="48"/>
      <c r="R91" s="52"/>
      <c r="S91" s="52"/>
      <c r="T91" s="52"/>
    </row>
    <row r="92" spans="1:94">
      <c r="C92" s="48"/>
      <c r="D92" s="48"/>
      <c r="E92" s="99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</row>
  </sheetData>
  <mergeCells count="1">
    <mergeCell ref="A2:AA2"/>
  </mergeCells>
  <pageMargins left="0.78740157480314965" right="0.59055118110236227" top="0.59055118110236227" bottom="0.59055118110236227" header="0.11811023622047245" footer="0.11811023622047245"/>
  <pageSetup paperSize="9" firstPageNumber="609" orientation="landscape" useFirstPageNumber="1" r:id="rId1"/>
  <headerFooter>
    <oddFooter>&amp;R&amp;P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8"/>
  <sheetViews>
    <sheetView workbookViewId="0">
      <selection activeCell="E5" sqref="E5"/>
    </sheetView>
  </sheetViews>
  <sheetFormatPr defaultRowHeight="18.75"/>
  <cols>
    <col min="1" max="1" width="3.42578125" style="108" customWidth="1"/>
    <col min="2" max="2" width="47.7109375" style="108" customWidth="1"/>
    <col min="3" max="18" width="25.140625" style="109" customWidth="1"/>
    <col min="19" max="16384" width="9.140625" style="108"/>
  </cols>
  <sheetData>
    <row r="1" spans="2:3" ht="65.25" customHeight="1">
      <c r="B1" s="124" t="s">
        <v>225</v>
      </c>
      <c r="C1" s="124"/>
    </row>
    <row r="3" spans="2:3" ht="57" customHeight="1">
      <c r="B3" s="110" t="s">
        <v>223</v>
      </c>
      <c r="C3" s="111" t="s">
        <v>224</v>
      </c>
    </row>
    <row r="4" spans="2:3" ht="75">
      <c r="B4" s="112" t="s">
        <v>89</v>
      </c>
      <c r="C4" s="111">
        <v>0.96</v>
      </c>
    </row>
    <row r="5" spans="2:3" ht="37.5">
      <c r="B5" s="112" t="s">
        <v>134</v>
      </c>
      <c r="C5" s="111">
        <v>0.94</v>
      </c>
    </row>
    <row r="6" spans="2:3" ht="37.5">
      <c r="B6" s="112" t="s">
        <v>189</v>
      </c>
      <c r="C6" s="111">
        <v>0.91</v>
      </c>
    </row>
    <row r="7" spans="2:3">
      <c r="B7" s="112" t="s">
        <v>178</v>
      </c>
      <c r="C7" s="111">
        <v>0.79</v>
      </c>
    </row>
    <row r="8" spans="2:3">
      <c r="B8" s="112" t="s">
        <v>76</v>
      </c>
      <c r="C8" s="111">
        <v>0.64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20</vt:i4>
      </vt:variant>
    </vt:vector>
  </HeadingPairs>
  <TitlesOfParts>
    <vt:vector size="35" baseType="lpstr">
      <vt:lpstr>Обложка</vt:lpstr>
      <vt:lpstr>Усл.обозначения</vt:lpstr>
      <vt:lpstr>Содержание</vt:lpstr>
      <vt:lpstr>Метод.пояснения</vt:lpstr>
      <vt:lpstr>1.</vt:lpstr>
      <vt:lpstr>2.</vt:lpstr>
      <vt:lpstr>3.</vt:lpstr>
      <vt:lpstr>4.</vt:lpstr>
      <vt:lpstr>5.</vt:lpstr>
      <vt:lpstr>6.</vt:lpstr>
      <vt:lpstr>7.</vt:lpstr>
      <vt:lpstr>8.</vt:lpstr>
      <vt:lpstr>9.</vt:lpstr>
      <vt:lpstr>10.</vt:lpstr>
      <vt:lpstr>Лист1</vt:lpstr>
      <vt:lpstr>'1.'!Заголовки_для_печати</vt:lpstr>
      <vt:lpstr>'10.'!Заголовки_для_печати</vt:lpstr>
      <vt:lpstr>'2.'!Заголовки_для_печати</vt:lpstr>
      <vt:lpstr>'3.'!Заголовки_для_печати</vt:lpstr>
      <vt:lpstr>'4.'!Заголовки_для_печати</vt:lpstr>
      <vt:lpstr>'5.'!Заголовки_для_печати</vt:lpstr>
      <vt:lpstr>'6.'!Заголовки_для_печати</vt:lpstr>
      <vt:lpstr>'7.'!Заголовки_для_печати</vt:lpstr>
      <vt:lpstr>'8.'!Заголовки_для_печати</vt:lpstr>
      <vt:lpstr>'9.'!Заголовки_для_печати</vt:lpstr>
      <vt:lpstr>'1.'!Область_печати</vt:lpstr>
      <vt:lpstr>'10.'!Область_печати</vt:lpstr>
      <vt:lpstr>'2.'!Область_печати</vt:lpstr>
      <vt:lpstr>'3.'!Область_печати</vt:lpstr>
      <vt:lpstr>'4.'!Область_печати</vt:lpstr>
      <vt:lpstr>'5.'!Область_печати</vt:lpstr>
      <vt:lpstr>'6.'!Область_печати</vt:lpstr>
      <vt:lpstr>'7.'!Область_печати</vt:lpstr>
      <vt:lpstr>'8.'!Область_печати</vt:lpstr>
      <vt:lpstr>'9.'!Область_печати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Даулет Жамбайбеков</cp:lastModifiedBy>
  <cp:lastPrinted>2025-12-11T11:34:30Z</cp:lastPrinted>
  <dcterms:created xsi:type="dcterms:W3CDTF">2022-07-01T06:06:04Z</dcterms:created>
  <dcterms:modified xsi:type="dcterms:W3CDTF">2026-07-13T11:02:27Z</dcterms:modified>
</cp:coreProperties>
</file>